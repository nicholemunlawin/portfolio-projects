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Data\Excel\"/>
    </mc:Choice>
  </mc:AlternateContent>
  <xr:revisionPtr revIDLastSave="0" documentId="13_ncr:1_{ED0A2DDA-A19F-4412-B334-255A7AC2BD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2" r:id="rId1"/>
    <sheet name="Analysis" sheetId="7" r:id="rId2"/>
    <sheet name="Employee_Data" sheetId="1" r:id="rId3"/>
    <sheet name="Metrics" sheetId="6" r:id="rId4"/>
    <sheet name="Lookup_Lists" sheetId="4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7" i="2"/>
  <c r="D18" i="2"/>
  <c r="D19" i="2"/>
  <c r="B7" i="6"/>
  <c r="B6" i="6"/>
  <c r="B5" i="6"/>
  <c r="B4" i="6" a="1"/>
  <c r="B4" i="6" s="1"/>
  <c r="G5" i="2"/>
  <c r="G6" i="2"/>
  <c r="G7" i="2"/>
  <c r="G8" i="2"/>
  <c r="G9" i="2"/>
  <c r="G4" i="2"/>
  <c r="F5" i="2"/>
  <c r="F6" i="2"/>
  <c r="F7" i="2"/>
  <c r="F8" i="2"/>
  <c r="F9" i="2"/>
  <c r="F4" i="2"/>
  <c r="E5" i="2"/>
  <c r="H5" i="2" s="1"/>
  <c r="E6" i="2"/>
  <c r="H6" i="2" s="1"/>
  <c r="E7" i="2"/>
  <c r="H7" i="2" s="1"/>
  <c r="E8" i="2"/>
  <c r="H8" i="2" s="1"/>
  <c r="E9" i="2"/>
  <c r="H9" i="2" s="1"/>
  <c r="E4" i="2"/>
  <c r="H4" i="2" s="1"/>
  <c r="G13" i="2"/>
  <c r="G14" i="2"/>
  <c r="G15" i="2"/>
  <c r="G16" i="2"/>
  <c r="G17" i="2"/>
  <c r="G18" i="2"/>
  <c r="G19" i="2"/>
  <c r="G12" i="2"/>
  <c r="F13" i="2"/>
  <c r="F14" i="2"/>
  <c r="F15" i="2"/>
  <c r="F16" i="2"/>
  <c r="F17" i="2"/>
  <c r="F18" i="2"/>
  <c r="F19" i="2"/>
  <c r="F12" i="2"/>
  <c r="B9" i="2"/>
  <c r="B8" i="2"/>
  <c r="B7" i="2"/>
  <c r="B6" i="2"/>
  <c r="B5" i="2"/>
  <c r="B4" i="2"/>
  <c r="B3" i="6"/>
  <c r="B2" i="6"/>
  <c r="C25" i="6"/>
  <c r="B25" i="6"/>
  <c r="C24" i="6"/>
  <c r="B24" i="6"/>
  <c r="A18" i="6" a="1"/>
  <c r="A11" i="6" a="1"/>
  <c r="C13" i="2"/>
  <c r="C14" i="2"/>
  <c r="C15" i="2"/>
  <c r="C16" i="2"/>
  <c r="C17" i="2"/>
  <c r="C18" i="2"/>
  <c r="C19" i="2"/>
  <c r="C12" i="2"/>
  <c r="C19" i="6" l="1"/>
  <c r="C20" i="6"/>
  <c r="A18" i="6"/>
  <c r="C18" i="6" s="1"/>
  <c r="A11" i="6"/>
  <c r="C11" i="6" s="1" a="1"/>
  <c r="C11" i="6" s="1"/>
  <c r="B11" i="6" a="1"/>
  <c r="B11" i="6" s="1"/>
  <c r="E14" i="2"/>
  <c r="E15" i="2"/>
  <c r="E16" i="2"/>
  <c r="E19" i="2"/>
  <c r="E13" i="2"/>
  <c r="E17" i="2"/>
  <c r="E18" i="2"/>
  <c r="E12" i="2"/>
  <c r="D13" i="6" l="1"/>
  <c r="D11" i="6"/>
  <c r="D12" i="6"/>
  <c r="D14" i="6"/>
  <c r="B18" i="6" a="1"/>
  <c r="D20" i="6" l="1"/>
  <c r="D19" i="6"/>
  <c r="B18" i="6"/>
  <c r="D1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<sst xmlns="http://schemas.openxmlformats.org/spreadsheetml/2006/main" count="8563" uniqueCount="862">
  <si>
    <t>Employee_ID</t>
  </si>
  <si>
    <t>Hire_Date</t>
  </si>
  <si>
    <t>Termination_Date</t>
  </si>
  <si>
    <t>Active_Status</t>
  </si>
  <si>
    <t>Attrition_Flag</t>
  </si>
  <si>
    <t>Department</t>
  </si>
  <si>
    <t>Job_Level</t>
  </si>
  <si>
    <t>Job_Title</t>
  </si>
  <si>
    <t>Location</t>
  </si>
  <si>
    <t>Gender</t>
  </si>
  <si>
    <t>Age</t>
  </si>
  <si>
    <t>Education_Level</t>
  </si>
  <si>
    <t>Recruitment_Source</t>
  </si>
  <si>
    <t>Employment_Type</t>
  </si>
  <si>
    <t>Annual_Salary</t>
  </si>
  <si>
    <t>Monthly_Salary</t>
  </si>
  <si>
    <t>Tenure_Months</t>
  </si>
  <si>
    <t>Performance_Rating</t>
  </si>
  <si>
    <t>Engagement_Score</t>
  </si>
  <si>
    <t>Training_Hours</t>
  </si>
  <si>
    <t>Overtime_Hours_Monthly</t>
  </si>
  <si>
    <t>Absence_Days</t>
  </si>
  <si>
    <t>Promotion_Last_2Yrs</t>
  </si>
  <si>
    <t>Manager_Rating</t>
  </si>
  <si>
    <t>Remote_Work_Days</t>
  </si>
  <si>
    <t>Commute_Distance_KM</t>
  </si>
  <si>
    <t>EMP-0001</t>
  </si>
  <si>
    <t>Active</t>
  </si>
  <si>
    <t>Customer Support</t>
  </si>
  <si>
    <t>Entry</t>
  </si>
  <si>
    <t>Support Specialist</t>
  </si>
  <si>
    <t>Taguig</t>
  </si>
  <si>
    <t>Male</t>
  </si>
  <si>
    <t>Bachelor's</t>
  </si>
  <si>
    <t>Referral</t>
  </si>
  <si>
    <t>Full-time</t>
  </si>
  <si>
    <t>Meets Expectations</t>
  </si>
  <si>
    <t>No</t>
  </si>
  <si>
    <t>EMP-0002</t>
  </si>
  <si>
    <t>Human Resources</t>
  </si>
  <si>
    <t>Recruiter</t>
  </si>
  <si>
    <t>Manila</t>
  </si>
  <si>
    <t>Master's</t>
  </si>
  <si>
    <t>Job Board</t>
  </si>
  <si>
    <t>Yes</t>
  </si>
  <si>
    <t>EMP-0003</t>
  </si>
  <si>
    <t>Marketing</t>
  </si>
  <si>
    <t>Marketing Specialist</t>
  </si>
  <si>
    <t>Makati</t>
  </si>
  <si>
    <t>EMP-0004</t>
  </si>
  <si>
    <t>Product</t>
  </si>
  <si>
    <t>Mid</t>
  </si>
  <si>
    <t>UX Researcher</t>
  </si>
  <si>
    <t>Quezon City</t>
  </si>
  <si>
    <t>Female</t>
  </si>
  <si>
    <t>Exceeds Expectations</t>
  </si>
  <si>
    <t>EMP-0005</t>
  </si>
  <si>
    <t>Terminated</t>
  </si>
  <si>
    <t>Company Website</t>
  </si>
  <si>
    <t>EMP-0006</t>
  </si>
  <si>
    <t>Operations</t>
  </si>
  <si>
    <t>Process Improvement Lead</t>
  </si>
  <si>
    <t>Cebu</t>
  </si>
  <si>
    <t>EMP-0007</t>
  </si>
  <si>
    <t>Support Team Lead</t>
  </si>
  <si>
    <t>LinkedIn</t>
  </si>
  <si>
    <t>EMP-0008</t>
  </si>
  <si>
    <t>Sales</t>
  </si>
  <si>
    <t>Business Development Rep</t>
  </si>
  <si>
    <t>EMP-0009</t>
  </si>
  <si>
    <t>Associate</t>
  </si>
  <si>
    <t>Brand Manager</t>
  </si>
  <si>
    <t>EMP-0010</t>
  </si>
  <si>
    <t>Engineering</t>
  </si>
  <si>
    <t>QA Engineer</t>
  </si>
  <si>
    <t>Davao</t>
  </si>
  <si>
    <t>EMP-0011</t>
  </si>
  <si>
    <t>Sales Manager</t>
  </si>
  <si>
    <t>Campus Hiring</t>
  </si>
  <si>
    <t>EMP-0012</t>
  </si>
  <si>
    <t>Sales Representative</t>
  </si>
  <si>
    <t>EMP-0013</t>
  </si>
  <si>
    <t>Vocational</t>
  </si>
  <si>
    <t>EMP-0014</t>
  </si>
  <si>
    <t>EMP-0015</t>
  </si>
  <si>
    <t>HR Generalist</t>
  </si>
  <si>
    <t>EMP-0016</t>
  </si>
  <si>
    <t>EMP-0017</t>
  </si>
  <si>
    <t>Senior</t>
  </si>
  <si>
    <t>Product Manager</t>
  </si>
  <si>
    <t>EMP-0018</t>
  </si>
  <si>
    <t>Manager</t>
  </si>
  <si>
    <t>SEO Analyst</t>
  </si>
  <si>
    <t>Contract</t>
  </si>
  <si>
    <t>EMP-0019</t>
  </si>
  <si>
    <t>Account Executive</t>
  </si>
  <si>
    <t>Doctorate</t>
  </si>
  <si>
    <t>EMP-0020</t>
  </si>
  <si>
    <t>Finance</t>
  </si>
  <si>
    <t>Financial Analyst</t>
  </si>
  <si>
    <t>EMP-0021</t>
  </si>
  <si>
    <t>EMP-0022</t>
  </si>
  <si>
    <t>Engineering Manager</t>
  </si>
  <si>
    <t>Needs Improvement</t>
  </si>
  <si>
    <t>EMP-0023</t>
  </si>
  <si>
    <t>Director</t>
  </si>
  <si>
    <t>Payroll Specialist</t>
  </si>
  <si>
    <t>EMP-0024</t>
  </si>
  <si>
    <t>EMP-0025</t>
  </si>
  <si>
    <t>Logistics Coordinator</t>
  </si>
  <si>
    <t>EMP-0026</t>
  </si>
  <si>
    <t>EMP-0027</t>
  </si>
  <si>
    <t>Operations Analyst</t>
  </si>
  <si>
    <t>EMP-0028</t>
  </si>
  <si>
    <t>EMP-0029</t>
  </si>
  <si>
    <t>EMP-0030</t>
  </si>
  <si>
    <t>Outstanding</t>
  </si>
  <si>
    <t>EMP-0031</t>
  </si>
  <si>
    <t>Software Engineer</t>
  </si>
  <si>
    <t>EMP-0032</t>
  </si>
  <si>
    <t>EMP-0033</t>
  </si>
  <si>
    <t>Customer Success Associate</t>
  </si>
  <si>
    <t>EMP-0034</t>
  </si>
  <si>
    <t>EMP-0035</t>
  </si>
  <si>
    <t>Product Analyst</t>
  </si>
  <si>
    <t>EMP-0036</t>
  </si>
  <si>
    <t>Data Engineer</t>
  </si>
  <si>
    <t>EMP-0037</t>
  </si>
  <si>
    <t>EMP-0038</t>
  </si>
  <si>
    <t>EMP-0039</t>
  </si>
  <si>
    <t>High School</t>
  </si>
  <si>
    <t>EMP-0040</t>
  </si>
  <si>
    <t>EMP-0041</t>
  </si>
  <si>
    <t>EMP-0042</t>
  </si>
  <si>
    <t>Prefer not to say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</si>
  <si>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</si>
  <si>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</si>
  <si>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</si>
  <si>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</si>
  <si>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</si>
  <si>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</si>
  <si>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</si>
  <si>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</si>
  <si>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</si>
  <si>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</si>
  <si>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</si>
  <si>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</si>
  <si>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</si>
  <si>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</si>
  <si>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Non-binary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</si>
  <si>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</si>
  <si>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</si>
  <si>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</si>
  <si>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</si>
  <si>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</si>
  <si>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</si>
  <si>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</si>
  <si>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</si>
  <si>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</si>
  <si>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</si>
  <si>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</si>
  <si>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</si>
  <si>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Content Strategist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</si>
  <si>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</si>
  <si>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</si>
  <si>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</si>
  <si>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</si>
  <si>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</si>
  <si>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</si>
  <si>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</si>
  <si>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</si>
  <si>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</si>
  <si>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</si>
  <si>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</si>
  <si>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</si>
  <si>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</si>
  <si>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</si>
  <si>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</si>
  <si>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</si>
  <si>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</si>
  <si>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</si>
  <si>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</si>
  <si>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</si>
  <si>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</si>
  <si>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</si>
  <si>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</si>
  <si>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</si>
  <si>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</si>
  <si>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</si>
  <si>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</si>
  <si>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</si>
  <si>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</si>
  <si>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</si>
  <si>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</si>
  <si>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Part-time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</si>
  <si>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</si>
  <si>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</si>
  <si>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</si>
  <si>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</si>
  <si>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</si>
  <si>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</si>
  <si>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</si>
  <si>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</si>
  <si>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</si>
  <si>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People Operations Specialist</t>
  </si>
  <si>
    <t>EMP-0109</t>
  </si>
  <si>
    <t>EMP-0110</t>
  </si>
  <si>
    <t>EMP-0111</t>
  </si>
  <si>
    <t>EMP-0112</t>
  </si>
  <si>
    <t>EMP-0113</t>
  </si>
  <si>
    <t>EMP-0114</t>
  </si>
  <si>
    <t>EMP-0115</t>
  </si>
  <si>
    <t>Accountant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</si>
  <si>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</si>
  <si>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</si>
  <si>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</si>
  <si>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</si>
  <si>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</si>
  <si>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</si>
  <si>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</si>
  <si>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</si>
  <si>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</si>
  <si>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</si>
  <si>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</si>
  <si>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</si>
  <si>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</si>
  <si>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</si>
  <si>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</si>
  <si>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</si>
  <si>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</si>
  <si>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</si>
  <si>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</si>
  <si>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</si>
  <si>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</si>
  <si>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</si>
  <si>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</si>
  <si>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</si>
  <si>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</si>
  <si>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</si>
  <si>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</si>
  <si>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</si>
  <si>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</si>
  <si>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</si>
  <si>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</si>
  <si>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</si>
  <si>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</si>
  <si>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</si>
  <si>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</si>
  <si>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</si>
  <si>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</si>
  <si>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</si>
  <si>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</si>
  <si>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</si>
  <si>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</si>
  <si>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</si>
  <si>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</si>
  <si>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</si>
  <si>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</si>
  <si>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</si>
  <si>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</si>
  <si>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</si>
  <si>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</si>
  <si>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</si>
  <si>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</si>
  <si>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</si>
  <si>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</si>
  <si>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</si>
  <si>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</si>
  <si>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</si>
  <si>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</si>
  <si>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</si>
  <si>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</si>
  <si>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</si>
  <si>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</si>
  <si>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</si>
  <si>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</si>
  <si>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</si>
  <si>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</si>
  <si>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</si>
  <si>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</si>
  <si>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</si>
  <si>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</si>
  <si>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</si>
  <si>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</si>
  <si>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</si>
  <si>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</si>
  <si>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</si>
  <si>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</si>
  <si>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</si>
  <si>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</si>
  <si>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</si>
  <si>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</si>
  <si>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</si>
  <si>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</si>
  <si>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</si>
  <si>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</si>
  <si>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</si>
  <si>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</si>
  <si>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</si>
  <si>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</si>
  <si>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</si>
  <si>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</si>
  <si>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</si>
  <si>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</si>
  <si>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</si>
  <si>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</si>
  <si>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</si>
  <si>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</si>
  <si>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</si>
  <si>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</si>
  <si>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</si>
  <si>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</si>
  <si>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</si>
  <si>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</si>
  <si>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</si>
  <si>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</si>
  <si>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</si>
  <si>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</si>
  <si>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</si>
  <si>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</si>
  <si>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</si>
  <si>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</si>
  <si>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</si>
  <si>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</si>
  <si>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</si>
  <si>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</si>
  <si>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</si>
  <si>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</si>
  <si>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</si>
  <si>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</si>
  <si>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</si>
  <si>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</si>
  <si>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</si>
  <si>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</si>
  <si>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</si>
  <si>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</si>
  <si>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</si>
  <si>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</si>
  <si>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</si>
  <si>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</si>
  <si>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</si>
  <si>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</si>
  <si>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</si>
  <si>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</si>
  <si>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</si>
  <si>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</si>
  <si>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</si>
  <si>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</si>
  <si>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</si>
  <si>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</si>
  <si>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</si>
  <si>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</si>
  <si>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Finance Manager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</si>
  <si>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</si>
  <si>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</si>
  <si>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</si>
  <si>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</si>
  <si>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</si>
  <si>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</si>
  <si>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</si>
  <si>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</si>
  <si>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</si>
  <si>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</si>
  <si>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</si>
  <si>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</si>
  <si>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</si>
  <si>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</si>
  <si>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</si>
  <si>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</si>
  <si>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</si>
  <si>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</si>
  <si>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</si>
  <si>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</si>
  <si>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</si>
  <si>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</si>
  <si>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</si>
  <si>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</si>
  <si>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</si>
  <si>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</si>
  <si>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</si>
  <si>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</si>
  <si>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</si>
  <si>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</si>
  <si>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</si>
  <si>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</si>
  <si>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</si>
  <si>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</si>
  <si>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</si>
  <si>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</si>
  <si>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</si>
  <si>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</si>
  <si>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</si>
  <si>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</si>
  <si>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</si>
  <si>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</si>
  <si>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</si>
  <si>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</si>
  <si>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</si>
  <si>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</si>
  <si>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</si>
  <si>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</si>
  <si>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</si>
  <si>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</si>
  <si>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</si>
  <si>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</si>
  <si>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</si>
  <si>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</si>
  <si>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</si>
  <si>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</si>
  <si>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</si>
  <si>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</si>
  <si>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</si>
  <si>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</si>
  <si>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</si>
  <si>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</si>
  <si>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</si>
  <si>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</si>
  <si>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</si>
  <si>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</si>
  <si>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</si>
  <si>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</si>
  <si>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</si>
  <si>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</si>
  <si>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</si>
  <si>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</si>
  <si>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</si>
  <si>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</si>
  <si>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</si>
  <si>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</si>
  <si>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</si>
  <si>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</si>
  <si>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</si>
  <si>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</si>
  <si>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</si>
  <si>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</si>
  <si>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</si>
  <si>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</si>
  <si>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</si>
  <si>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</si>
  <si>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</si>
  <si>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</si>
  <si>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</si>
  <si>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</si>
  <si>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</si>
  <si>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</si>
  <si>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</si>
  <si>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</si>
  <si>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</si>
  <si>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</si>
  <si>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</si>
  <si>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</si>
  <si>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</si>
  <si>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</si>
  <si>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</si>
  <si>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</si>
  <si>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</si>
  <si>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</si>
  <si>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</si>
  <si>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</si>
  <si>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</si>
  <si>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</si>
  <si>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</si>
  <si>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</si>
  <si>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</si>
  <si>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</si>
  <si>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</si>
  <si>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</si>
  <si>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</si>
  <si>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</si>
  <si>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</si>
  <si>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</si>
  <si>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</si>
  <si>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</si>
  <si>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</si>
  <si>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</si>
  <si>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</si>
  <si>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</si>
  <si>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</si>
  <si>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</si>
  <si>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</si>
  <si>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</si>
  <si>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</si>
  <si>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</si>
  <si>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</si>
  <si>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</si>
  <si>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</si>
  <si>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</si>
  <si>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</si>
  <si>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</si>
  <si>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</si>
  <si>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</si>
  <si>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</si>
  <si>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</si>
  <si>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</si>
  <si>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</si>
  <si>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</si>
  <si>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</si>
  <si>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</si>
  <si>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</si>
  <si>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</si>
  <si>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</si>
  <si>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</si>
  <si>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</si>
  <si>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</si>
  <si>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</si>
  <si>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</si>
  <si>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</si>
  <si>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</si>
  <si>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</si>
  <si>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</si>
  <si>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</si>
  <si>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</si>
  <si>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</si>
  <si>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</si>
  <si>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</si>
  <si>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</si>
  <si>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</si>
  <si>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</si>
  <si>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</si>
  <si>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</si>
  <si>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</si>
  <si>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</si>
  <si>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</si>
  <si>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</si>
  <si>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</si>
  <si>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</si>
  <si>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</si>
  <si>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</si>
  <si>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</si>
  <si>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</si>
  <si>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</si>
  <si>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</si>
  <si>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</si>
  <si>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</si>
  <si>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</si>
  <si>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</si>
  <si>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</si>
  <si>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</si>
  <si>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</si>
  <si>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</si>
  <si>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</si>
  <si>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</si>
  <si>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</si>
  <si>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</si>
  <si>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</si>
  <si>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</si>
  <si>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</si>
  <si>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</si>
  <si>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</si>
  <si>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</si>
  <si>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</si>
  <si>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</si>
  <si>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</si>
  <si>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</si>
  <si>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</si>
  <si>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</si>
  <si>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</si>
  <si>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</si>
  <si>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</si>
  <si>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</si>
  <si>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</si>
  <si>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</si>
  <si>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</si>
  <si>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</si>
  <si>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</si>
  <si>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</si>
  <si>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</si>
  <si>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</si>
  <si>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</si>
  <si>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</si>
  <si>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</si>
  <si>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</si>
  <si>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</si>
  <si>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</si>
  <si>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</si>
  <si>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</si>
  <si>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</si>
  <si>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</si>
  <si>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</si>
  <si>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</si>
  <si>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</si>
  <si>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</si>
  <si>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</si>
  <si>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</si>
  <si>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</si>
  <si>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</si>
  <si>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</si>
  <si>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</si>
  <si>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</si>
  <si>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</si>
  <si>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</si>
  <si>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</si>
  <si>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</si>
  <si>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</si>
  <si>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</si>
  <si>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</si>
  <si>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</si>
  <si>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</si>
  <si>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</si>
  <si>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</si>
  <si>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</si>
  <si>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</si>
  <si>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</si>
  <si>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</si>
  <si>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</si>
  <si>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</si>
  <si>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</si>
  <si>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</si>
  <si>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</si>
  <si>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</si>
  <si>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</si>
  <si>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</si>
  <si>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</si>
  <si>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</si>
  <si>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</si>
  <si>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</si>
  <si>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</si>
  <si>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</si>
  <si>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</si>
  <si>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</si>
  <si>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</si>
  <si>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</si>
  <si>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</si>
  <si>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</si>
  <si>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</si>
  <si>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</si>
  <si>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</si>
  <si>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</si>
  <si>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</si>
  <si>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</si>
  <si>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</si>
  <si>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</si>
  <si>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</si>
  <si>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</si>
  <si>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</si>
  <si>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</si>
  <si>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</si>
  <si>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</si>
  <si>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</si>
  <si>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</si>
  <si>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</si>
  <si>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</si>
  <si>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</si>
  <si>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</si>
  <si>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</si>
  <si>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</si>
  <si>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</si>
  <si>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</si>
  <si>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</si>
  <si>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</si>
  <si>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</si>
  <si>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</si>
  <si>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</si>
  <si>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</si>
  <si>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</si>
  <si>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</si>
  <si>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</si>
  <si>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</si>
  <si>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</si>
  <si>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</si>
  <si>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</si>
  <si>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</si>
  <si>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</si>
  <si>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</si>
  <si>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</si>
  <si>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</si>
  <si>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</si>
  <si>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</si>
  <si>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</si>
  <si>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</si>
  <si>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</si>
  <si>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</si>
  <si>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</si>
  <si>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</si>
  <si>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</si>
  <si>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</si>
  <si>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</si>
  <si>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</si>
  <si>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</si>
  <si>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</si>
  <si>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</si>
  <si>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</si>
  <si>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</si>
  <si>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</si>
  <si>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</si>
  <si>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</si>
  <si>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</si>
  <si>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</si>
  <si>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</si>
  <si>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</si>
  <si>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</si>
  <si>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</si>
  <si>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</si>
  <si>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</si>
  <si>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</si>
  <si>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</si>
  <si>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</si>
  <si>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</si>
  <si>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</si>
  <si>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</si>
  <si>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</si>
  <si>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</si>
  <si>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</si>
  <si>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</si>
  <si>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</si>
  <si>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</si>
  <si>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</si>
  <si>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</si>
  <si>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</si>
  <si>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</si>
  <si>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</si>
  <si>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</si>
  <si>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</si>
  <si>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</si>
  <si>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</si>
  <si>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</si>
  <si>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</si>
  <si>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</si>
  <si>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</si>
  <si>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</si>
  <si>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</si>
  <si>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</si>
  <si>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</si>
  <si>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</si>
  <si>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</si>
  <si>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</si>
  <si>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</si>
  <si>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</si>
  <si>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</si>
  <si>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</si>
  <si>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</si>
  <si>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</si>
  <si>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</si>
  <si>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</si>
  <si>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</si>
  <si>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</si>
  <si>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</si>
  <si>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</si>
  <si>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</si>
  <si>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</si>
  <si>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</si>
  <si>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</si>
  <si>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</si>
  <si>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</si>
  <si>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</si>
  <si>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</si>
  <si>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</si>
  <si>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</si>
  <si>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</si>
  <si>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</si>
  <si>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</si>
  <si>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</si>
  <si>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</si>
  <si>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</si>
  <si>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</si>
  <si>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</si>
  <si>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</si>
  <si>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</si>
  <si>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</si>
  <si>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</si>
  <si>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</si>
  <si>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</si>
  <si>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</si>
  <si>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</si>
  <si>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</si>
  <si>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</si>
  <si>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</si>
  <si>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</si>
  <si>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</si>
  <si>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</si>
  <si>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</si>
  <si>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</si>
  <si>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</si>
  <si>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</si>
  <si>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</si>
  <si>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</si>
  <si>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</si>
  <si>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</si>
  <si>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</si>
  <si>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</si>
  <si>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</si>
  <si>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</si>
  <si>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</si>
  <si>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</si>
  <si>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</si>
  <si>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</si>
  <si>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</si>
  <si>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</si>
  <si>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</si>
  <si>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</si>
  <si>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</si>
  <si>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</si>
  <si>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</si>
  <si>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</si>
  <si>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</si>
  <si>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</si>
  <si>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</si>
  <si>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</si>
  <si>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</si>
  <si>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Metric</t>
  </si>
  <si>
    <t>Value</t>
  </si>
  <si>
    <t>Total Employees</t>
  </si>
  <si>
    <t>Active Employees</t>
  </si>
  <si>
    <t>Attrition Rate</t>
  </si>
  <si>
    <t>Avg Engagement</t>
  </si>
  <si>
    <t>Avg Salary</t>
  </si>
  <si>
    <t>Avg Tenure Months</t>
  </si>
  <si>
    <t>Employees</t>
  </si>
  <si>
    <t>Terminations</t>
  </si>
  <si>
    <t>Job Level</t>
  </si>
  <si>
    <t>Avg Tenure</t>
  </si>
  <si>
    <t>Lookup Lists</t>
  </si>
  <si>
    <t>Departments</t>
  </si>
  <si>
    <t>Job Levels</t>
  </si>
  <si>
    <t>Locations</t>
  </si>
  <si>
    <t>Education Levels</t>
  </si>
  <si>
    <t>Performance Ratings</t>
  </si>
  <si>
    <t>Recruitment Sources</t>
  </si>
  <si>
    <t>Employment Types</t>
  </si>
  <si>
    <t>Performance Rating</t>
  </si>
  <si>
    <t>Employment Type</t>
  </si>
  <si>
    <t>Attrition Count</t>
  </si>
  <si>
    <t>Average Tenure</t>
  </si>
  <si>
    <t>Inactive</t>
  </si>
  <si>
    <t>HR Analytics Dashboard</t>
  </si>
  <si>
    <t>Business question</t>
  </si>
  <si>
    <t>Insight</t>
  </si>
  <si>
    <t>Suggested action</t>
  </si>
  <si>
    <t>How healthy is the overall workforce base?</t>
  </si>
  <si>
    <t>The workforce is sizeable and mostly active, but the current attrition level still creates a meaningful retention-management need.</t>
  </si>
  <si>
    <t>Track attrition and engagement monthly; set a target threshold and review movement by department and role level.</t>
  </si>
  <si>
    <t>Where is retention risk most concentrated by department?</t>
  </si>
  <si>
    <t>The highest-risk department combines a high attrition rate with meaningful headcount impact, so improvements there can materially reduce overall turnover.</t>
  </si>
  <si>
    <t>Prioritize exit-interview themes, manager check-ins, and retention actions for the highest-attrition department.</t>
  </si>
  <si>
    <t>Which departments appear to be retention strengths?</t>
  </si>
  <si>
    <t>Low-attrition teams may have practices, manager behaviors, or work-design conditions worth replicating elsewhere.</t>
  </si>
  <si>
    <t>Interview leaders in the lowest-attrition departments and translate their practices into repeatable retention playbooks.</t>
  </si>
  <si>
    <t>Is attrition concentrated by job level?</t>
  </si>
  <si>
    <t>Attrition at specific levels can signal career-path, compensation, manager-readiness, or workload issues that averages hide.</t>
  </si>
  <si>
    <t>Review promotion velocity, compensation competitiveness, and manager support for the highest-attrition job level.</t>
  </si>
  <si>
    <t>How does performance rating relate to attrition?</t>
  </si>
  <si>
    <t>Higher attrition among weaker performance groups may be healthy performance management, but it can also point to coaching or role-fit gaps.</t>
  </si>
  <si>
    <t>Separate regrettable vs. managed exits; strengthen coaching, expectations, and role-fit interventions for at-risk performance groups.</t>
  </si>
  <si>
    <t>Does employment type create additional turnover risk?</t>
  </si>
  <si>
    <t>Non-standard employment groups can be less sticky, raising continuity, knowledge-transfer, and workforce-planning risk.</t>
  </si>
  <si>
    <t>Review onboarding, contract length, conversion paths, and manager touchpoints for higher-risk employment types.</t>
  </si>
  <si>
    <t>Where should engagement follow-up start?</t>
  </si>
  <si>
    <t>Low engagement may become a leading indicator of future turnover even where current attrition is not yet elevated.</t>
  </si>
  <si>
    <t>Run focused pulse checks and manager action planning in the lowest-engagement department.</t>
  </si>
  <si>
    <t>What does tenure suggest about turnover timing?</t>
  </si>
  <si>
    <t>Departures are occurring much earlier than the tenure profile of active employees, highlighting an early/mid-tenure retention window.</t>
  </si>
  <si>
    <t>Strengthen onboarding, first-year career conversations, stay interviews, and 24-month retention checkpoints.</t>
  </si>
  <si>
    <t>HR Analytics Dashboard Analysis</t>
  </si>
  <si>
    <t>Implication</t>
  </si>
  <si>
    <t>Total headcount is 700, with 628 active employees, 10.3% attrition, 3.5 engagement, and 56.0 months average tenure.</t>
  </si>
  <si>
    <t>Engineering has the highest department attrition at 15.0% with 23 terminations.</t>
  </si>
  <si>
    <t>Marketing has the lowest department attrition at 5.0%.</t>
  </si>
  <si>
    <t>Senior has the highest job-level attrition at 11.6% vs. overall attrition of 10.3%.</t>
  </si>
  <si>
    <t>Needs Improvement employees show the highest attrition at 18.2%.</t>
  </si>
  <si>
    <t>Contract employees have the highest attrition by employment type at 18.0%.</t>
  </si>
  <si>
    <t>Operations has the lowest average engagement at 3.3 vs. company average of 3.5.</t>
  </si>
  <si>
    <t>Terminated employees average 25.3 months tenure vs. 59.5 months for active employees.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</si>
</sst>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₱#,##0"/>
    <numFmt numFmtId="166" formatCode="0.0"/>
    <numFmt numFmtId="167" formatCode="0.0%"/>
  </numFmts>
  <fonts count="10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6"/>
      <color rgb="FF1F4E79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8"/>
      <color rgb="FFFFFFFF"/>
      <name val="Carlito"/>
    </font>
    <font>
      <sz val="11"/>
      <color rgb="FF000000"/>
      <name val="Carlito"/>
    </font>
    <font>
      <b/>
      <sz val="20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4" fillId="3" borderId="0" xfId="0" applyFont="1" applyFill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6" fontId="0" fillId="0" borderId="5" xfId="0" applyNumberFormat="1" applyBorder="1"/>
    <xf numFmtId="165" fontId="0" fillId="0" borderId="5" xfId="0" applyNumberFormat="1" applyBorder="1"/>
    <xf numFmtId="0" fontId="0" fillId="0" borderId="7" xfId="0" applyBorder="1"/>
    <xf numFmtId="166" fontId="0" fillId="0" borderId="8" xfId="0" applyNumberFormat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14" fontId="0" fillId="0" borderId="0" xfId="0" applyNumberFormat="1"/>
    <xf numFmtId="0" fontId="0" fillId="4" borderId="0" xfId="0" applyFill="1"/>
    <xf numFmtId="0" fontId="1" fillId="4" borderId="3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right" indent="1"/>
    </xf>
    <xf numFmtId="0" fontId="4" fillId="4" borderId="0" xfId="0" applyFont="1" applyFill="1"/>
    <xf numFmtId="0" fontId="0" fillId="4" borderId="9" xfId="0" applyFill="1" applyBorder="1" applyAlignment="1">
      <alignment horizontal="right" indent="1"/>
    </xf>
    <xf numFmtId="166" fontId="0" fillId="4" borderId="0" xfId="0" applyNumberFormat="1" applyFill="1"/>
    <xf numFmtId="165" fontId="0" fillId="4" borderId="18" xfId="0" applyNumberFormat="1" applyFill="1" applyBorder="1"/>
    <xf numFmtId="0" fontId="0" fillId="4" borderId="19" xfId="0" applyFill="1" applyBorder="1"/>
    <xf numFmtId="167" fontId="0" fillId="4" borderId="19" xfId="0" applyNumberFormat="1" applyFill="1" applyBorder="1"/>
    <xf numFmtId="167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9" xfId="0" applyBorder="1"/>
    <xf numFmtId="166" fontId="0" fillId="0" borderId="19" xfId="0" applyNumberFormat="1" applyBorder="1"/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0" fontId="0" fillId="0" borderId="0" xfId="0" applyAlignment="1">
      <alignment horizontal="right"/>
    </xf>
    <xf numFmtId="0" fontId="8" fillId="7" borderId="20" xfId="0" applyFont="1" applyFill="1" applyBorder="1" applyAlignment="1">
      <alignment horizontal="left" vertical="center" wrapText="1"/>
    </xf>
    <xf numFmtId="0" fontId="6" fillId="5" borderId="2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numFmt numFmtId="19" formatCode="dd/mm/yyyy"/>
    </dxf>
    <dxf>
      <numFmt numFmtId="19" formatCode="dd/mm/yyyy"/>
    </dxf>
    <dxf>
      <font>
        <b val="0"/>
        <strike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>
        <bottom style="medium">
          <color rgb="FF1F4E79"/>
        </bottom>
      </border>
    </dxf>
    <dxf>
      <font>
        <b/>
        <strike val="0"/>
        <outline val="0"/>
        <shadow val="0"/>
        <u val="none"/>
        <vertAlign val="baseline"/>
        <sz val="14"/>
        <color rgb="FFFFFFFF"/>
        <name val="Carlito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AF7"/>
        </left>
        <right style="thin">
          <color rgb="FFD9EAF7"/>
        </right>
        <top/>
        <bottom/>
      </border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0">
                <a:solidFill>
                  <a:schemeClr val="bg2">
                    <a:lumMod val="25000"/>
                  </a:scheme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Employees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Dashboard!$B$12:$B$19</c:f>
              <c:strCache>
                <c:ptCount val="8"/>
                <c:pt idx="0">
                  <c:v>Sales</c:v>
                </c:pt>
                <c:pt idx="1">
                  <c:v>Marketing</c:v>
                </c:pt>
                <c:pt idx="2">
                  <c:v>Engineering</c:v>
                </c:pt>
                <c:pt idx="3">
                  <c:v>Customer Support</c:v>
                </c:pt>
                <c:pt idx="4">
                  <c:v>Finance</c:v>
                </c:pt>
                <c:pt idx="5">
                  <c:v>Human Resources</c:v>
                </c:pt>
                <c:pt idx="6">
                  <c:v>Operations</c:v>
                </c:pt>
                <c:pt idx="7">
                  <c:v>Product</c:v>
                </c:pt>
              </c:strCache>
            </c:strRef>
          </c:cat>
          <c:val>
            <c:numRef>
              <c:f>Dashboard!$C$12:$C$19</c:f>
              <c:numCache>
                <c:formatCode>General</c:formatCode>
                <c:ptCount val="8"/>
                <c:pt idx="0">
                  <c:v>132</c:v>
                </c:pt>
                <c:pt idx="1">
                  <c:v>60</c:v>
                </c:pt>
                <c:pt idx="2">
                  <c:v>153</c:v>
                </c:pt>
                <c:pt idx="3">
                  <c:v>106</c:v>
                </c:pt>
                <c:pt idx="4">
                  <c:v>58</c:v>
                </c:pt>
                <c:pt idx="5">
                  <c:v>44</c:v>
                </c:pt>
                <c:pt idx="6">
                  <c:v>77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C-40CF-B97C-291A9B8BB4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Employee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Dashboard!$D$4:$D$9</c:f>
              <c:strCache>
                <c:ptCount val="6"/>
                <c:pt idx="0">
                  <c:v>Entry</c:v>
                </c:pt>
                <c:pt idx="1">
                  <c:v>Associate</c:v>
                </c:pt>
                <c:pt idx="2">
                  <c:v>Mid</c:v>
                </c:pt>
                <c:pt idx="3">
                  <c:v>Senior</c:v>
                </c:pt>
                <c:pt idx="4">
                  <c:v>Manager</c:v>
                </c:pt>
                <c:pt idx="5">
                  <c:v>Director</c:v>
                </c:pt>
              </c:strCache>
            </c:strRef>
          </c:cat>
          <c:val>
            <c:numRef>
              <c:f>Dashboard!$E$4:$E$9</c:f>
              <c:numCache>
                <c:formatCode>General</c:formatCode>
                <c:ptCount val="6"/>
                <c:pt idx="0">
                  <c:v>122</c:v>
                </c:pt>
                <c:pt idx="1">
                  <c:v>132</c:v>
                </c:pt>
                <c:pt idx="2">
                  <c:v>195</c:v>
                </c:pt>
                <c:pt idx="3">
                  <c:v>147</c:v>
                </c:pt>
                <c:pt idx="4">
                  <c:v>73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C-40DF-A031-B6CDB0483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431552"/>
        <c:axId val="863423872"/>
      </c:barChart>
      <c:lineChart>
        <c:grouping val="standard"/>
        <c:varyColors val="0"/>
        <c:ser>
          <c:idx val="1"/>
          <c:order val="1"/>
          <c:tx>
            <c:strRef>
              <c:f>Dashboard!$F$3</c:f>
              <c:strCache>
                <c:ptCount val="1"/>
                <c:pt idx="0">
                  <c:v>Avg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Dashboard!$D$4:$D$9</c:f>
              <c:strCache>
                <c:ptCount val="6"/>
                <c:pt idx="0">
                  <c:v>Entry</c:v>
                </c:pt>
                <c:pt idx="1">
                  <c:v>Associate</c:v>
                </c:pt>
                <c:pt idx="2">
                  <c:v>Mid</c:v>
                </c:pt>
                <c:pt idx="3">
                  <c:v>Senior</c:v>
                </c:pt>
                <c:pt idx="4">
                  <c:v>Manager</c:v>
                </c:pt>
                <c:pt idx="5">
                  <c:v>Director</c:v>
                </c:pt>
              </c:strCache>
            </c:strRef>
          </c:cat>
          <c:val>
            <c:numRef>
              <c:f>Dashboard!$F$4:$F$9</c:f>
              <c:numCache>
                <c:formatCode>\₱#,##0</c:formatCode>
                <c:ptCount val="6"/>
                <c:pt idx="0">
                  <c:v>389622.95081967214</c:v>
                </c:pt>
                <c:pt idx="1">
                  <c:v>540621.21212121216</c:v>
                </c:pt>
                <c:pt idx="2">
                  <c:v>816071.79487179487</c:v>
                </c:pt>
                <c:pt idx="3">
                  <c:v>1086265.306122449</c:v>
                </c:pt>
                <c:pt idx="4">
                  <c:v>1437945.2054794522</c:v>
                </c:pt>
                <c:pt idx="5">
                  <c:v>2013838.7096774194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C-40DF-A031-B6CDB0483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438752"/>
        <c:axId val="863423392"/>
      </c:lineChart>
      <c:catAx>
        <c:axId val="8634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23872"/>
        <c:crosses val="autoZero"/>
        <c:auto val="1"/>
        <c:lblAlgn val="ctr"/>
        <c:lblOffset val="100"/>
        <c:noMultiLvlLbl val="0"/>
      </c:catAx>
      <c:valAx>
        <c:axId val="8634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31552"/>
        <c:crosses val="autoZero"/>
        <c:crossBetween val="between"/>
      </c:valAx>
      <c:valAx>
        <c:axId val="863423392"/>
        <c:scaling>
          <c:orientation val="minMax"/>
        </c:scaling>
        <c:delete val="0"/>
        <c:axPos val="r"/>
        <c:numFmt formatCode="\₱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38752"/>
        <c:crosses val="max"/>
        <c:crossBetween val="between"/>
      </c:valAx>
      <c:catAx>
        <c:axId val="863438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3423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Dashboard!$B$12:$B$19</c:f>
              <c:strCache>
                <c:ptCount val="8"/>
                <c:pt idx="0">
                  <c:v>Sales</c:v>
                </c:pt>
                <c:pt idx="1">
                  <c:v>Marketing</c:v>
                </c:pt>
                <c:pt idx="2">
                  <c:v>Engineering</c:v>
                </c:pt>
                <c:pt idx="3">
                  <c:v>Customer Support</c:v>
                </c:pt>
                <c:pt idx="4">
                  <c:v>Finance</c:v>
                </c:pt>
                <c:pt idx="5">
                  <c:v>Human Resources</c:v>
                </c:pt>
                <c:pt idx="6">
                  <c:v>Operations</c:v>
                </c:pt>
                <c:pt idx="7">
                  <c:v>Product</c:v>
                </c:pt>
              </c:strCache>
            </c:strRef>
          </c:cat>
          <c:val>
            <c:numRef>
              <c:f>Dashboard!$E$12:$E$19</c:f>
              <c:numCache>
                <c:formatCode>0.0%</c:formatCode>
                <c:ptCount val="8"/>
                <c:pt idx="0">
                  <c:v>0.12121212121212122</c:v>
                </c:pt>
                <c:pt idx="1">
                  <c:v>0.05</c:v>
                </c:pt>
                <c:pt idx="2">
                  <c:v>0.15032679738562091</c:v>
                </c:pt>
                <c:pt idx="3">
                  <c:v>6.6037735849056603E-2</c:v>
                </c:pt>
                <c:pt idx="4">
                  <c:v>8.6206896551724144E-2</c:v>
                </c:pt>
                <c:pt idx="5">
                  <c:v>0.13636363636363635</c:v>
                </c:pt>
                <c:pt idx="6">
                  <c:v>6.4935064935064929E-2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4-4FE7-9E56-566E6002C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474272"/>
        <c:axId val="863479552"/>
      </c:barChart>
      <c:catAx>
        <c:axId val="86347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79552"/>
        <c:crosses val="autoZero"/>
        <c:auto val="1"/>
        <c:lblAlgn val="ctr"/>
        <c:lblOffset val="100"/>
        <c:noMultiLvlLbl val="0"/>
      </c:catAx>
      <c:valAx>
        <c:axId val="86347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47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</xdr:rowOff>
    </xdr:from>
    <xdr:to>
      <xdr:col>7</xdr:col>
      <xdr:colOff>676274</xdr:colOff>
      <xdr:row>36</xdr:row>
      <xdr:rowOff>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2</xdr:row>
      <xdr:rowOff>0</xdr:rowOff>
    </xdr:from>
    <xdr:to>
      <xdr:col>14</xdr:col>
      <xdr:colOff>0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BB25CD-06D1-6891-EB29-8AC48EC22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333375</xdr:colOff>
      <xdr:row>16</xdr:row>
      <xdr:rowOff>133350</xdr:rowOff>
    </xdr:from>
    <xdr:to>
      <xdr:col>14</xdr:col>
      <xdr:colOff>0</xdr:colOff>
      <xdr:row>31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49A86E-6999-4E5E-0ACF-F1AB8A4AD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tion_Dashboard"/>
      <sheetName val="Sheet4"/>
      <sheetName val="Employee_Data"/>
      <sheetName val="Sheet3"/>
      <sheetName val="Sheet5"/>
      <sheetName val="Book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6ECC1-468D-4CFA-A625-CDBCC23B2BEB}" name="AnalysisTable" displayName="AnalysisTable" ref="A2:D10" totalsRowShown="0" headerRowDxfId="8" dataDxfId="6" headerRowBorderDxfId="7">
  <tableColumns count="4">
    <tableColumn id="1" xr3:uid="{8785D7E5-28F2-4516-A831-A7CE0249EC76}" name="Business question" dataDxfId="5"/>
    <tableColumn id="2" xr3:uid="{545B937C-9D6F-47F8-8A41-C9AD91CFC5DF}" name="Insight" dataDxfId="4"/>
    <tableColumn id="3" xr3:uid="{DC26ED4D-B670-42E3-90A7-C798927E1D7A}" name="Implication" dataDxfId="3"/>
    <tableColumn id="4" xr3:uid="{C48F3A93-07C8-4952-9FA3-CBC706CBF65C}" name="Suggested action" dataDxfId="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Z701">
  <tableColumns count="26">
    <tableColumn id="1" xr3:uid="{00000000-0010-0000-0000-000001000000}" name="Employee_ID"/>
    <tableColumn id="2" xr3:uid="{00000000-0010-0000-0000-000002000000}" name="Hire_Date" dataDxfId="1"/>
    <tableColumn id="3" xr3:uid="{00000000-0010-0000-0000-000003000000}" name="Termination_Date" dataDxfId="0"/>
    <tableColumn id="4" xr3:uid="{00000000-0010-0000-0000-000004000000}" name="Active_Status"/>
    <tableColumn id="5" xr3:uid="{00000000-0010-0000-0000-000005000000}" name="Attrition_Flag"/>
    <tableColumn id="6" xr3:uid="{00000000-0010-0000-0000-000006000000}" name="Department"/>
    <tableColumn id="7" xr3:uid="{00000000-0010-0000-0000-000007000000}" name="Job_Level"/>
    <tableColumn id="8" xr3:uid="{00000000-0010-0000-0000-000008000000}" name="Job_Title"/>
    <tableColumn id="9" xr3:uid="{00000000-0010-0000-0000-000009000000}" name="Location"/>
    <tableColumn id="10" xr3:uid="{00000000-0010-0000-0000-00000A000000}" name="Gender"/>
    <tableColumn id="11" xr3:uid="{00000000-0010-0000-0000-00000B000000}" name="Age"/>
    <tableColumn id="12" xr3:uid="{00000000-0010-0000-0000-00000C000000}" name="Education_Level"/>
    <tableColumn id="13" xr3:uid="{00000000-0010-0000-0000-00000D000000}" name="Recruitment_Source"/>
    <tableColumn id="14" xr3:uid="{00000000-0010-0000-0000-00000E000000}" name="Employment_Type"/>
    <tableColumn id="15" xr3:uid="{00000000-0010-0000-0000-00000F000000}" name="Annual_Salary"/>
    <tableColumn id="16" xr3:uid="{00000000-0010-0000-0000-000010000000}" name="Monthly_Salary"/>
    <tableColumn id="17" xr3:uid="{00000000-0010-0000-0000-000011000000}" name="Tenure_Months"/>
    <tableColumn id="18" xr3:uid="{00000000-0010-0000-0000-000012000000}" name="Performance_Rating"/>
    <tableColumn id="19" xr3:uid="{00000000-0010-0000-0000-000013000000}" name="Engagement_Score"/>
    <tableColumn id="20" xr3:uid="{00000000-0010-0000-0000-000014000000}" name="Training_Hours"/>
    <tableColumn id="21" xr3:uid="{00000000-0010-0000-0000-000015000000}" name="Overtime_Hours_Monthly"/>
    <tableColumn id="22" xr3:uid="{00000000-0010-0000-0000-000016000000}" name="Absence_Days"/>
    <tableColumn id="23" xr3:uid="{00000000-0010-0000-0000-000017000000}" name="Promotion_Last_2Yrs"/>
    <tableColumn id="24" xr3:uid="{00000000-0010-0000-0000-000018000000}" name="Manager_Rating"/>
    <tableColumn id="25" xr3:uid="{00000000-0010-0000-0000-000019000000}" name="Remote_Work_Days"/>
    <tableColumn id="26" xr3:uid="{00000000-0010-0000-0000-00001A000000}" name="Commute_Distance_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F5B131-53D9-4AF1-B180-97F1D06718AF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499984740745262"/>
  </sheetPr>
  <dimension ref="A1:O21"/>
  <sheetViews>
    <sheetView showGridLines="0" tabSelected="1" zoomScaleNormal="100" workbookViewId="0">
      <selection activeCell="P13" sqref="P13"/>
    </sheetView>
  </sheetViews>
  <sheetFormatPr defaultRowHeight="14.25"/>
  <cols>
    <col min="1" max="1" width="16.625" style="22" bestFit="1" customWidth="1"/>
    <col min="2" max="2" width="16.375" style="22" bestFit="1" customWidth="1"/>
    <col min="3" max="3" width="11.625" style="22" customWidth="1"/>
    <col min="4" max="4" width="13.5" style="22" customWidth="1"/>
    <col min="5" max="5" width="14.875" style="22" customWidth="1"/>
    <col min="6" max="6" width="17" style="22" customWidth="1"/>
    <col min="7" max="7" width="10.125" style="22" bestFit="1" customWidth="1"/>
    <col min="8" max="8" width="8.875" style="22" bestFit="1" customWidth="1"/>
    <col min="9" max="9" width="10.5" style="22" bestFit="1" customWidth="1"/>
    <col min="10" max="10" width="14" style="22" customWidth="1"/>
    <col min="11" max="11" width="9" style="22" customWidth="1"/>
    <col min="12" max="12" width="11" style="22" customWidth="1"/>
    <col min="13" max="13" width="9" style="22"/>
    <col min="14" max="14" width="14.375" style="22" bestFit="1" customWidth="1"/>
    <col min="15" max="15" width="10" style="22" bestFit="1" customWidth="1"/>
    <col min="16" max="16384" width="9" style="22"/>
  </cols>
  <sheetData>
    <row r="1" spans="1:15" ht="24" customHeight="1">
      <c r="A1" s="55" t="s">
        <v>824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3" spans="1:15" ht="30">
      <c r="A3" s="9" t="s">
        <v>799</v>
      </c>
      <c r="B3" s="10" t="s">
        <v>800</v>
      </c>
      <c r="C3" s="23"/>
      <c r="D3" s="16" t="s">
        <v>809</v>
      </c>
      <c r="E3" s="36" t="s">
        <v>807</v>
      </c>
      <c r="F3" s="17" t="s">
        <v>805</v>
      </c>
      <c r="G3" s="17" t="s">
        <v>810</v>
      </c>
      <c r="H3" s="18" t="s">
        <v>803</v>
      </c>
    </row>
    <row r="4" spans="1:15">
      <c r="A4" s="11" t="s">
        <v>801</v>
      </c>
      <c r="B4" s="47">
        <f>COUNTA(EmployeeData[Employee_ID])</f>
        <v>700</v>
      </c>
      <c r="C4" s="24"/>
      <c r="D4" s="19" t="s">
        <v>29</v>
      </c>
      <c r="E4" s="41">
        <f>COUNTIF(EmployeeData[Job_Level],D4)</f>
        <v>122</v>
      </c>
      <c r="F4" s="45">
        <f>AVERAGEIF(EmployeeData[Job_Level],D4,EmployeeData[Annual_Salary])</f>
        <v>389622.95081967214</v>
      </c>
      <c r="G4" s="40">
        <f>AVERAGEIF(EmployeeData[Job_Level],D4,EmployeeData[Tenure_Months])</f>
        <v>55.614754098360656</v>
      </c>
      <c r="H4" s="46">
        <f>IFERROR(SUMIF(EmployeeData[Job_Level],D4,EmployeeData[Attrition_Flag])/E4,0)</f>
        <v>0.11475409836065574</v>
      </c>
    </row>
    <row r="5" spans="1:15">
      <c r="A5" s="11" t="s">
        <v>802</v>
      </c>
      <c r="B5" s="47">
        <f>COUNTIF(EmployeeData[Active_Status],"Active")</f>
        <v>628</v>
      </c>
      <c r="C5" s="24"/>
      <c r="D5" s="19" t="s">
        <v>70</v>
      </c>
      <c r="E5" s="41">
        <f>COUNTIF(EmployeeData[Job_Level],D5)</f>
        <v>132</v>
      </c>
      <c r="F5" s="45">
        <f>AVERAGEIF(EmployeeData[Job_Level],D5,EmployeeData[Annual_Salary])</f>
        <v>540621.21212121216</v>
      </c>
      <c r="G5" s="40">
        <f>AVERAGEIF(EmployeeData[Job_Level],D5,EmployeeData[Tenure_Months])</f>
        <v>55.265151515151516</v>
      </c>
      <c r="H5" s="46">
        <f>IFERROR(SUMIF(EmployeeData[Job_Level],D5,EmployeeData[Attrition_Flag])/E5,0)</f>
        <v>9.8484848484848481E-2</v>
      </c>
    </row>
    <row r="6" spans="1:15" ht="15">
      <c r="A6" s="11" t="s">
        <v>803</v>
      </c>
      <c r="B6" s="48">
        <f>SUM(EmployeeData[Attrition_Flag])/COUNTA(EmployeeData[Attrition_Flag])</f>
        <v>0.10285714285714286</v>
      </c>
      <c r="C6" s="24"/>
      <c r="D6" s="19" t="s">
        <v>51</v>
      </c>
      <c r="E6" s="41">
        <f>COUNTIF(EmployeeData[Job_Level],D6)</f>
        <v>195</v>
      </c>
      <c r="F6" s="45">
        <f>AVERAGEIF(EmployeeData[Job_Level],D6,EmployeeData[Annual_Salary])</f>
        <v>816071.79487179487</v>
      </c>
      <c r="G6" s="40">
        <f>AVERAGEIF(EmployeeData[Job_Level],D6,EmployeeData[Tenure_Months])</f>
        <v>54.015384615384619</v>
      </c>
      <c r="H6" s="46">
        <f>IFERROR(SUMIF(EmployeeData[Job_Level],D6,EmployeeData[Attrition_Flag])/E6,0)</f>
        <v>8.7179487179487175E-2</v>
      </c>
      <c r="N6" s="25"/>
      <c r="O6" s="25"/>
    </row>
    <row r="7" spans="1:15">
      <c r="A7" s="11" t="s">
        <v>804</v>
      </c>
      <c r="B7" s="49">
        <f>AVERAGE(EmployeeData[Engagement_Score])</f>
        <v>3.4935714285714274</v>
      </c>
      <c r="C7" s="24"/>
      <c r="D7" s="19" t="s">
        <v>88</v>
      </c>
      <c r="E7" s="41">
        <f>COUNTIF(EmployeeData[Job_Level],D7)</f>
        <v>147</v>
      </c>
      <c r="F7" s="45">
        <f>AVERAGEIF(EmployeeData[Job_Level],D7,EmployeeData[Annual_Salary])</f>
        <v>1086265.306122449</v>
      </c>
      <c r="G7" s="40">
        <f>AVERAGEIF(EmployeeData[Job_Level],D7,EmployeeData[Tenure_Months])</f>
        <v>59.680272108843539</v>
      </c>
      <c r="H7" s="46">
        <f>IFERROR(SUMIF(EmployeeData[Job_Level],D7,EmployeeData[Attrition_Flag])/E7,0)</f>
        <v>0.11564625850340136</v>
      </c>
    </row>
    <row r="8" spans="1:15">
      <c r="A8" s="11" t="s">
        <v>805</v>
      </c>
      <c r="B8" s="50">
        <f>AVERAGE(EmployeeData[Annual_Salary])</f>
        <v>864442.85714285716</v>
      </c>
      <c r="C8" s="24"/>
      <c r="D8" s="19" t="s">
        <v>91</v>
      </c>
      <c r="E8" s="41">
        <f>COUNTIF(EmployeeData[Job_Level],D8)</f>
        <v>73</v>
      </c>
      <c r="F8" s="45">
        <f>AVERAGEIF(EmployeeData[Job_Level],D8,EmployeeData[Annual_Salary])</f>
        <v>1437945.2054794522</v>
      </c>
      <c r="G8" s="40">
        <f>AVERAGEIF(EmployeeData[Job_Level],D8,EmployeeData[Tenure_Months])</f>
        <v>53</v>
      </c>
      <c r="H8" s="46">
        <f>IFERROR(SUMIF(EmployeeData[Job_Level],D8,EmployeeData[Attrition_Flag])/E8,0)</f>
        <v>0.1095890410958904</v>
      </c>
    </row>
    <row r="9" spans="1:15">
      <c r="A9" s="14" t="s">
        <v>806</v>
      </c>
      <c r="B9" s="51">
        <f>AVERAGE(EmployeeData[Tenure_Months])</f>
        <v>56</v>
      </c>
      <c r="C9" s="26"/>
      <c r="D9" s="20" t="s">
        <v>105</v>
      </c>
      <c r="E9" s="41">
        <f>COUNTIF(EmployeeData[Job_Level],D9)</f>
        <v>31</v>
      </c>
      <c r="F9" s="45">
        <f>AVERAGEIF(EmployeeData[Job_Level],D9,EmployeeData[Annual_Salary])</f>
        <v>2013838.7096774194</v>
      </c>
      <c r="G9" s="40">
        <f>AVERAGEIF(EmployeeData[Job_Level],D9,EmployeeData[Tenure_Months])</f>
        <v>62.741935483870968</v>
      </c>
      <c r="H9" s="46">
        <f>IFERROR(SUMIF(EmployeeData[Job_Level],D9,EmployeeData[Attrition_Flag])/E9,0)</f>
        <v>9.6774193548387094E-2</v>
      </c>
    </row>
    <row r="11" spans="1:15" ht="15">
      <c r="B11" s="38" t="s">
        <v>5</v>
      </c>
      <c r="C11" s="17" t="s">
        <v>807</v>
      </c>
      <c r="D11" s="36" t="s">
        <v>808</v>
      </c>
      <c r="E11" s="17" t="s">
        <v>803</v>
      </c>
      <c r="F11" s="17" t="s">
        <v>804</v>
      </c>
      <c r="G11" s="39" t="s">
        <v>805</v>
      </c>
    </row>
    <row r="12" spans="1:15">
      <c r="B12" s="19" t="s">
        <v>67</v>
      </c>
      <c r="C12" s="41">
        <f>COUNTIF(EmployeeData[Department],B12)</f>
        <v>132</v>
      </c>
      <c r="D12" s="41">
        <f>SUMIF(EmployeeData[Department],B12,EmployeeData[Attrition_Flag])</f>
        <v>16</v>
      </c>
      <c r="E12" s="42">
        <f t="shared" ref="E12:E19" si="0">IFERROR(D12/C12,0)</f>
        <v>0.12121212121212122</v>
      </c>
      <c r="F12" s="40">
        <f>AVERAGEIF(EmployeeData[Department],B12,EmployeeData[Engagement_Score])</f>
        <v>3.4863636363636368</v>
      </c>
      <c r="G12" s="44">
        <f>AVERAGEIF(EmployeeData[Department],B12,EmployeeData[Annual_Salary])</f>
        <v>887128.78787878784</v>
      </c>
    </row>
    <row r="13" spans="1:15">
      <c r="B13" s="19" t="s">
        <v>46</v>
      </c>
      <c r="C13" s="41">
        <f>COUNTIF(EmployeeData[Department],B13)</f>
        <v>60</v>
      </c>
      <c r="D13" s="41">
        <f>SUMIF(EmployeeData[Department],B13,EmployeeData[Attrition_Flag])</f>
        <v>3</v>
      </c>
      <c r="E13" s="42">
        <f t="shared" si="0"/>
        <v>0.05</v>
      </c>
      <c r="F13" s="40">
        <f>AVERAGEIF(EmployeeData[Department],B13,EmployeeData[Engagement_Score])</f>
        <v>3.64</v>
      </c>
      <c r="G13" s="44">
        <f>AVERAGEIF(EmployeeData[Department],B13,EmployeeData[Annual_Salary])</f>
        <v>809833.33333333337</v>
      </c>
    </row>
    <row r="14" spans="1:15">
      <c r="B14" s="19" t="s">
        <v>73</v>
      </c>
      <c r="C14" s="41">
        <f>COUNTIF(EmployeeData[Department],B14)</f>
        <v>153</v>
      </c>
      <c r="D14" s="41">
        <f>SUMIF(EmployeeData[Department],B14,EmployeeData[Attrition_Flag])</f>
        <v>23</v>
      </c>
      <c r="E14" s="42">
        <f t="shared" si="0"/>
        <v>0.15032679738562091</v>
      </c>
      <c r="F14" s="40">
        <f>AVERAGEIF(EmployeeData[Department],B14,EmployeeData[Engagement_Score])</f>
        <v>3.5392156862745097</v>
      </c>
      <c r="G14" s="44">
        <f>AVERAGEIF(EmployeeData[Department],B14,EmployeeData[Annual_Salary])</f>
        <v>856915.03267973859</v>
      </c>
    </row>
    <row r="15" spans="1:15">
      <c r="B15" s="19" t="s">
        <v>28</v>
      </c>
      <c r="C15" s="41">
        <f>COUNTIF(EmployeeData[Department],B15)</f>
        <v>106</v>
      </c>
      <c r="D15" s="41">
        <f>SUMIF(EmployeeData[Department],B15,EmployeeData[Attrition_Flag])</f>
        <v>7</v>
      </c>
      <c r="E15" s="42">
        <f t="shared" si="0"/>
        <v>6.6037735849056603E-2</v>
      </c>
      <c r="F15" s="40">
        <f>AVERAGEIF(EmployeeData[Department],B15,EmployeeData[Engagement_Score])</f>
        <v>3.4915094339622637</v>
      </c>
      <c r="G15" s="44">
        <f>AVERAGEIF(EmployeeData[Department],B15,EmployeeData[Annual_Salary])</f>
        <v>848443.39622641506</v>
      </c>
    </row>
    <row r="16" spans="1:15">
      <c r="B16" s="19" t="s">
        <v>98</v>
      </c>
      <c r="C16" s="41">
        <f>COUNTIF(EmployeeData[Department],B16)</f>
        <v>58</v>
      </c>
      <c r="D16" s="41">
        <f>SUMIF(EmployeeData[Department],B16,EmployeeData[Attrition_Flag])</f>
        <v>5</v>
      </c>
      <c r="E16" s="42">
        <f t="shared" si="0"/>
        <v>8.6206896551724144E-2</v>
      </c>
      <c r="F16" s="40">
        <f>AVERAGEIF(EmployeeData[Department],B16,EmployeeData[Engagement_Score])</f>
        <v>3.6051724137931029</v>
      </c>
      <c r="G16" s="44">
        <f>AVERAGEIF(EmployeeData[Department],B16,EmployeeData[Annual_Salary])</f>
        <v>884120.68965517241</v>
      </c>
    </row>
    <row r="17" spans="2:11">
      <c r="B17" s="19" t="s">
        <v>39</v>
      </c>
      <c r="C17" s="41">
        <f>COUNTIF(EmployeeData[Department],B17)</f>
        <v>44</v>
      </c>
      <c r="D17" s="41">
        <f>SUMIF(EmployeeData[Department],B17,EmployeeData[Attrition_Flag])</f>
        <v>6</v>
      </c>
      <c r="E17" s="42">
        <f t="shared" si="0"/>
        <v>0.13636363636363635</v>
      </c>
      <c r="F17" s="40">
        <f>AVERAGEIF(EmployeeData[Department],B17,EmployeeData[Engagement_Score])</f>
        <v>3.3477272727272731</v>
      </c>
      <c r="G17" s="44">
        <f>AVERAGEIF(EmployeeData[Department],B17,EmployeeData[Annual_Salary])</f>
        <v>877295.45454545459</v>
      </c>
    </row>
    <row r="18" spans="2:11">
      <c r="B18" s="19" t="s">
        <v>60</v>
      </c>
      <c r="C18" s="41">
        <f>COUNTIF(EmployeeData[Department],B18)</f>
        <v>77</v>
      </c>
      <c r="D18" s="41">
        <f>SUMIF(EmployeeData[Department],B18,EmployeeData[Attrition_Flag])</f>
        <v>5</v>
      </c>
      <c r="E18" s="42">
        <f t="shared" si="0"/>
        <v>6.4935064935064929E-2</v>
      </c>
      <c r="F18" s="40">
        <f>AVERAGEIF(EmployeeData[Department],B18,EmployeeData[Engagement_Score])</f>
        <v>3.3116883116883118</v>
      </c>
      <c r="G18" s="44">
        <f>AVERAGEIF(EmployeeData[Department],B18,EmployeeData[Annual_Salary])</f>
        <v>853363.63636363635</v>
      </c>
    </row>
    <row r="19" spans="2:11">
      <c r="B19" s="20" t="s">
        <v>50</v>
      </c>
      <c r="C19" s="41">
        <f>COUNTIF(EmployeeData[Department],B19)</f>
        <v>70</v>
      </c>
      <c r="D19" s="41">
        <f>SUMIF(EmployeeData[Department],B19,EmployeeData[Attrition_Flag])</f>
        <v>7</v>
      </c>
      <c r="E19" s="43">
        <f t="shared" si="0"/>
        <v>0.1</v>
      </c>
      <c r="F19" s="40">
        <f>AVERAGEIF(EmployeeData[Department],B19,EmployeeData[Engagement_Score])</f>
        <v>3.4842857142857158</v>
      </c>
      <c r="G19" s="44">
        <f>AVERAGEIF(EmployeeData[Department],B19,EmployeeData[Annual_Salary])</f>
        <v>896957.14285714284</v>
      </c>
      <c r="K19" s="27"/>
    </row>
    <row r="21" spans="2:11">
      <c r="B21" s="29"/>
      <c r="C21" s="29"/>
      <c r="D21" s="30"/>
      <c r="E21" s="27"/>
      <c r="F21" s="28"/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D5DC-8A79-42C1-BC16-5AD780C8425D}">
  <sheetPr>
    <tabColor theme="3" tint="0.499984740745262"/>
  </sheetPr>
  <dimension ref="A1:D10"/>
  <sheetViews>
    <sheetView showGridLines="0" zoomScaleNormal="100" workbookViewId="0">
      <pane ySplit="2" topLeftCell="A3" activePane="bottomLeft" state="frozen"/>
      <selection pane="bottomLeft" activeCell="A6" sqref="A6"/>
    </sheetView>
  </sheetViews>
  <sheetFormatPr defaultRowHeight="14.25"/>
  <cols>
    <col min="1" max="1" width="42.5" customWidth="1"/>
    <col min="2" max="2" width="51.625" customWidth="1"/>
    <col min="3" max="3" width="68.375" customWidth="1"/>
    <col min="4" max="4" width="58.875" customWidth="1"/>
  </cols>
  <sheetData>
    <row r="1" spans="1:4" ht="26.25">
      <c r="A1" s="56" t="s">
        <v>852</v>
      </c>
      <c r="B1" s="56"/>
      <c r="C1" s="56"/>
      <c r="D1" s="56"/>
    </row>
    <row r="2" spans="1:4" ht="18">
      <c r="A2" s="54" t="s">
        <v>825</v>
      </c>
      <c r="B2" s="54" t="s">
        <v>826</v>
      </c>
      <c r="C2" s="54" t="s">
        <v>853</v>
      </c>
      <c r="D2" s="54" t="s">
        <v>827</v>
      </c>
    </row>
    <row r="3" spans="1:4" ht="50.1" customHeight="1">
      <c r="A3" s="53" t="s">
        <v>828</v>
      </c>
      <c r="B3" s="53" t="s">
        <v>854</v>
      </c>
      <c r="C3" s="53" t="s">
        <v>829</v>
      </c>
      <c r="D3" s="53" t="s">
        <v>830</v>
      </c>
    </row>
    <row r="4" spans="1:4" ht="50.1" customHeight="1">
      <c r="A4" s="53" t="s">
        <v>831</v>
      </c>
      <c r="B4" s="53" t="s">
        <v>855</v>
      </c>
      <c r="C4" s="53" t="s">
        <v>832</v>
      </c>
      <c r="D4" s="53" t="s">
        <v>833</v>
      </c>
    </row>
    <row r="5" spans="1:4" ht="50.1" customHeight="1">
      <c r="A5" s="53" t="s">
        <v>834</v>
      </c>
      <c r="B5" s="53" t="s">
        <v>856</v>
      </c>
      <c r="C5" s="53" t="s">
        <v>835</v>
      </c>
      <c r="D5" s="53" t="s">
        <v>836</v>
      </c>
    </row>
    <row r="6" spans="1:4" ht="50.1" customHeight="1">
      <c r="A6" s="53" t="s">
        <v>837</v>
      </c>
      <c r="B6" s="53" t="s">
        <v>857</v>
      </c>
      <c r="C6" s="53" t="s">
        <v>838</v>
      </c>
      <c r="D6" s="53" t="s">
        <v>839</v>
      </c>
    </row>
    <row r="7" spans="1:4" ht="50.1" customHeight="1">
      <c r="A7" s="53" t="s">
        <v>840</v>
      </c>
      <c r="B7" s="53" t="s">
        <v>858</v>
      </c>
      <c r="C7" s="53" t="s">
        <v>841</v>
      </c>
      <c r="D7" s="53" t="s">
        <v>842</v>
      </c>
    </row>
    <row r="8" spans="1:4" ht="50.1" customHeight="1">
      <c r="A8" s="53" t="s">
        <v>843</v>
      </c>
      <c r="B8" s="53" t="s">
        <v>859</v>
      </c>
      <c r="C8" s="53" t="s">
        <v>844</v>
      </c>
      <c r="D8" s="53" t="s">
        <v>845</v>
      </c>
    </row>
    <row r="9" spans="1:4" ht="50.1" customHeight="1">
      <c r="A9" s="53" t="s">
        <v>846</v>
      </c>
      <c r="B9" s="53" t="s">
        <v>860</v>
      </c>
      <c r="C9" s="53" t="s">
        <v>847</v>
      </c>
      <c r="D9" s="53" t="s">
        <v>848</v>
      </c>
    </row>
    <row r="10" spans="1:4" ht="50.1" customHeight="1">
      <c r="A10" s="53" t="s">
        <v>849</v>
      </c>
      <c r="B10" s="53" t="s">
        <v>861</v>
      </c>
      <c r="C10" s="53" t="s">
        <v>850</v>
      </c>
      <c r="D10" s="53" t="s">
        <v>851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1"/>
  <sheetViews>
    <sheetView topLeftCell="A71" workbookViewId="0">
      <selection activeCell="G22" sqref="C22:G24"/>
    </sheetView>
  </sheetViews>
  <sheetFormatPr defaultRowHeight="14.25"/>
  <cols>
    <col min="1" max="1" width="18" customWidth="1"/>
    <col min="2" max="2" width="9.875" bestFit="1" customWidth="1"/>
    <col min="3" max="3" width="13.375" customWidth="1"/>
    <col min="4" max="5" width="10.125" customWidth="1"/>
    <col min="6" max="7" width="18" customWidth="1"/>
    <col min="8" max="8" width="26" customWidth="1"/>
    <col min="9" max="9" width="18" customWidth="1"/>
    <col min="10" max="10" width="13.25" customWidth="1"/>
    <col min="11" max="11" width="2.75" customWidth="1"/>
    <col min="12" max="12" width="18" customWidth="1"/>
    <col min="13" max="13" width="20" customWidth="1"/>
    <col min="14" max="14" width="18" customWidth="1"/>
    <col min="15" max="15" width="10.625" customWidth="1"/>
    <col min="16" max="17" width="11.75" customWidth="1"/>
    <col min="18" max="18" width="18" customWidth="1"/>
    <col min="19" max="19" width="14.125" customWidth="1"/>
    <col min="20" max="20" width="11.125" customWidth="1"/>
    <col min="21" max="21" width="19.5" customWidth="1"/>
    <col min="22" max="22" width="10.625" customWidth="1"/>
    <col min="23" max="23" width="15.75" customWidth="1"/>
    <col min="24" max="24" width="12.25" customWidth="1"/>
    <col min="25" max="25" width="15.125" customWidth="1"/>
    <col min="26" max="26" width="17.875" customWidth="1"/>
  </cols>
  <sheetData>
    <row r="1" spans="1:26" ht="33.950000000000003" customHeight="1">
      <c r="A1" s="1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1" t="s">
        <v>24</v>
      </c>
      <c r="Z1" s="5" t="s">
        <v>25</v>
      </c>
    </row>
    <row r="2" spans="1:26">
      <c r="A2" t="s">
        <v>26</v>
      </c>
      <c r="B2" s="21">
        <v>43496</v>
      </c>
      <c r="C2" s="21"/>
      <c r="D2" t="s">
        <v>27</v>
      </c>
      <c r="E2">
        <v>0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34</v>
      </c>
      <c r="L2" t="s">
        <v>33</v>
      </c>
      <c r="M2" t="s">
        <v>34</v>
      </c>
      <c r="N2" t="s">
        <v>35</v>
      </c>
      <c r="O2">
        <v>329000</v>
      </c>
      <c r="P2">
        <v>27416.67</v>
      </c>
      <c r="Q2">
        <v>83</v>
      </c>
      <c r="R2" t="s">
        <v>36</v>
      </c>
      <c r="S2">
        <v>3.9</v>
      </c>
      <c r="T2">
        <v>0</v>
      </c>
      <c r="U2">
        <v>22</v>
      </c>
      <c r="V2">
        <v>8</v>
      </c>
      <c r="W2" t="s">
        <v>37</v>
      </c>
      <c r="X2">
        <v>4</v>
      </c>
      <c r="Y2">
        <v>1</v>
      </c>
      <c r="Z2">
        <v>9.5</v>
      </c>
    </row>
    <row r="3" spans="1:26">
      <c r="A3" t="s">
        <v>38</v>
      </c>
      <c r="B3" s="21">
        <v>44101</v>
      </c>
      <c r="C3" s="21"/>
      <c r="D3" t="s">
        <v>27</v>
      </c>
      <c r="E3">
        <v>0</v>
      </c>
      <c r="F3" t="s">
        <v>39</v>
      </c>
      <c r="G3" t="s">
        <v>29</v>
      </c>
      <c r="H3" t="s">
        <v>40</v>
      </c>
      <c r="I3" t="s">
        <v>41</v>
      </c>
      <c r="J3" t="s">
        <v>32</v>
      </c>
      <c r="K3">
        <v>31</v>
      </c>
      <c r="L3" t="s">
        <v>42</v>
      </c>
      <c r="M3" t="s">
        <v>43</v>
      </c>
      <c r="N3" t="s">
        <v>35</v>
      </c>
      <c r="O3">
        <v>385000</v>
      </c>
      <c r="P3">
        <v>32083.33</v>
      </c>
      <c r="Q3">
        <v>63</v>
      </c>
      <c r="R3" t="s">
        <v>36</v>
      </c>
      <c r="S3">
        <v>3.9</v>
      </c>
      <c r="T3">
        <v>73</v>
      </c>
      <c r="U3">
        <v>18</v>
      </c>
      <c r="V3">
        <v>4</v>
      </c>
      <c r="W3" t="s">
        <v>44</v>
      </c>
      <c r="X3">
        <v>4.2</v>
      </c>
      <c r="Y3">
        <v>0</v>
      </c>
      <c r="Z3">
        <v>2.2999999999999998</v>
      </c>
    </row>
    <row r="4" spans="1:26">
      <c r="A4" t="s">
        <v>45</v>
      </c>
      <c r="B4" s="21">
        <v>45078</v>
      </c>
      <c r="C4" s="21"/>
      <c r="D4" t="s">
        <v>27</v>
      </c>
      <c r="E4">
        <v>0</v>
      </c>
      <c r="F4" t="s">
        <v>46</v>
      </c>
      <c r="G4" t="s">
        <v>29</v>
      </c>
      <c r="H4" t="s">
        <v>47</v>
      </c>
      <c r="I4" t="s">
        <v>48</v>
      </c>
      <c r="J4" t="s">
        <v>32</v>
      </c>
      <c r="K4">
        <v>34</v>
      </c>
      <c r="L4" t="s">
        <v>33</v>
      </c>
      <c r="M4" t="s">
        <v>34</v>
      </c>
      <c r="N4" t="s">
        <v>35</v>
      </c>
      <c r="O4">
        <v>428000</v>
      </c>
      <c r="P4">
        <v>35666.67</v>
      </c>
      <c r="Q4">
        <v>30</v>
      </c>
      <c r="R4" t="s">
        <v>36</v>
      </c>
      <c r="S4">
        <v>4.2</v>
      </c>
      <c r="T4">
        <v>34</v>
      </c>
      <c r="U4">
        <v>17</v>
      </c>
      <c r="V4">
        <v>6</v>
      </c>
      <c r="W4" t="s">
        <v>44</v>
      </c>
      <c r="X4">
        <v>3.3</v>
      </c>
      <c r="Y4">
        <v>2</v>
      </c>
      <c r="Z4">
        <v>4.7</v>
      </c>
    </row>
    <row r="5" spans="1:26">
      <c r="A5" t="s">
        <v>49</v>
      </c>
      <c r="B5" s="21">
        <v>44651</v>
      </c>
      <c r="C5" s="21"/>
      <c r="D5" t="s">
        <v>27</v>
      </c>
      <c r="E5">
        <v>0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>
        <v>41</v>
      </c>
      <c r="L5" t="s">
        <v>42</v>
      </c>
      <c r="M5" t="s">
        <v>34</v>
      </c>
      <c r="N5" t="s">
        <v>35</v>
      </c>
      <c r="O5">
        <v>770000</v>
      </c>
      <c r="P5">
        <v>64166.67</v>
      </c>
      <c r="Q5">
        <v>45</v>
      </c>
      <c r="R5" t="s">
        <v>55</v>
      </c>
      <c r="S5">
        <v>4.2</v>
      </c>
      <c r="T5">
        <v>31</v>
      </c>
      <c r="U5">
        <v>12</v>
      </c>
      <c r="V5">
        <v>3</v>
      </c>
      <c r="W5" t="s">
        <v>37</v>
      </c>
      <c r="X5">
        <v>3.5</v>
      </c>
      <c r="Y5">
        <v>4</v>
      </c>
      <c r="Z5">
        <v>10.3</v>
      </c>
    </row>
    <row r="6" spans="1:26">
      <c r="A6" t="s">
        <v>56</v>
      </c>
      <c r="B6" s="21">
        <v>45429</v>
      </c>
      <c r="C6" s="21">
        <v>45600</v>
      </c>
      <c r="D6" t="s">
        <v>57</v>
      </c>
      <c r="E6">
        <v>1</v>
      </c>
      <c r="F6" t="s">
        <v>39</v>
      </c>
      <c r="G6" t="s">
        <v>51</v>
      </c>
      <c r="H6" t="s">
        <v>40</v>
      </c>
      <c r="I6" t="s">
        <v>48</v>
      </c>
      <c r="J6" t="s">
        <v>54</v>
      </c>
      <c r="K6">
        <v>27</v>
      </c>
      <c r="L6" t="s">
        <v>33</v>
      </c>
      <c r="M6" t="s">
        <v>58</v>
      </c>
      <c r="N6" t="s">
        <v>35</v>
      </c>
      <c r="O6">
        <v>813000</v>
      </c>
      <c r="P6">
        <v>67750</v>
      </c>
      <c r="Q6">
        <v>6</v>
      </c>
      <c r="R6" t="s">
        <v>36</v>
      </c>
      <c r="S6">
        <v>2.6</v>
      </c>
      <c r="T6">
        <v>70</v>
      </c>
      <c r="U6">
        <v>7</v>
      </c>
      <c r="V6">
        <v>6</v>
      </c>
      <c r="W6" t="s">
        <v>37</v>
      </c>
      <c r="X6">
        <v>3.9</v>
      </c>
      <c r="Y6">
        <v>0</v>
      </c>
      <c r="Z6">
        <v>10</v>
      </c>
    </row>
    <row r="7" spans="1:26">
      <c r="A7" t="s">
        <v>59</v>
      </c>
      <c r="B7" s="21">
        <v>45322</v>
      </c>
      <c r="C7" s="21"/>
      <c r="D7" t="s">
        <v>27</v>
      </c>
      <c r="E7">
        <v>0</v>
      </c>
      <c r="F7" t="s">
        <v>60</v>
      </c>
      <c r="G7" t="s">
        <v>29</v>
      </c>
      <c r="H7" t="s">
        <v>61</v>
      </c>
      <c r="I7" t="s">
        <v>62</v>
      </c>
      <c r="J7" t="s">
        <v>32</v>
      </c>
      <c r="K7">
        <v>44</v>
      </c>
      <c r="L7" t="s">
        <v>33</v>
      </c>
      <c r="M7" t="s">
        <v>43</v>
      </c>
      <c r="N7" t="s">
        <v>35</v>
      </c>
      <c r="O7">
        <v>440000</v>
      </c>
      <c r="P7">
        <v>36666.67</v>
      </c>
      <c r="Q7">
        <v>23</v>
      </c>
      <c r="R7" t="s">
        <v>36</v>
      </c>
      <c r="S7">
        <v>4.5999999999999996</v>
      </c>
      <c r="T7">
        <v>64</v>
      </c>
      <c r="U7">
        <v>12</v>
      </c>
      <c r="V7">
        <v>0</v>
      </c>
      <c r="W7" t="s">
        <v>37</v>
      </c>
      <c r="X7">
        <v>3.7</v>
      </c>
      <c r="Y7">
        <v>5</v>
      </c>
      <c r="Z7">
        <v>9.4</v>
      </c>
    </row>
    <row r="8" spans="1:26">
      <c r="A8" t="s">
        <v>63</v>
      </c>
      <c r="B8" s="21">
        <v>45493</v>
      </c>
      <c r="C8" s="21"/>
      <c r="D8" t="s">
        <v>27</v>
      </c>
      <c r="E8">
        <v>0</v>
      </c>
      <c r="F8" t="s">
        <v>28</v>
      </c>
      <c r="G8" t="s">
        <v>29</v>
      </c>
      <c r="H8" t="s">
        <v>64</v>
      </c>
      <c r="I8" t="s">
        <v>41</v>
      </c>
      <c r="J8" t="s">
        <v>54</v>
      </c>
      <c r="K8">
        <v>43</v>
      </c>
      <c r="L8" t="s">
        <v>33</v>
      </c>
      <c r="M8" t="s">
        <v>65</v>
      </c>
      <c r="N8" t="s">
        <v>35</v>
      </c>
      <c r="O8">
        <v>429000</v>
      </c>
      <c r="P8">
        <v>35750</v>
      </c>
      <c r="Q8">
        <v>17</v>
      </c>
      <c r="R8" t="s">
        <v>36</v>
      </c>
      <c r="S8">
        <v>5</v>
      </c>
      <c r="T8">
        <v>16</v>
      </c>
      <c r="U8">
        <v>27</v>
      </c>
      <c r="V8">
        <v>0</v>
      </c>
      <c r="W8" t="s">
        <v>37</v>
      </c>
      <c r="X8">
        <v>4.2</v>
      </c>
      <c r="Y8">
        <v>2</v>
      </c>
      <c r="Z8">
        <v>12.7</v>
      </c>
    </row>
    <row r="9" spans="1:26">
      <c r="A9" t="s">
        <v>66</v>
      </c>
      <c r="B9" s="21">
        <v>44621</v>
      </c>
      <c r="C9" s="21"/>
      <c r="D9" t="s">
        <v>27</v>
      </c>
      <c r="E9">
        <v>0</v>
      </c>
      <c r="F9" t="s">
        <v>67</v>
      </c>
      <c r="G9" t="s">
        <v>51</v>
      </c>
      <c r="H9" t="s">
        <v>68</v>
      </c>
      <c r="I9" t="s">
        <v>48</v>
      </c>
      <c r="J9" t="s">
        <v>54</v>
      </c>
      <c r="K9">
        <v>44</v>
      </c>
      <c r="L9" t="s">
        <v>33</v>
      </c>
      <c r="M9" t="s">
        <v>65</v>
      </c>
      <c r="N9" t="s">
        <v>35</v>
      </c>
      <c r="O9">
        <v>896000</v>
      </c>
      <c r="P9">
        <v>74666.67</v>
      </c>
      <c r="Q9">
        <v>45</v>
      </c>
      <c r="R9" t="s">
        <v>55</v>
      </c>
      <c r="S9">
        <v>4.3</v>
      </c>
      <c r="T9">
        <v>70</v>
      </c>
      <c r="U9">
        <v>0</v>
      </c>
      <c r="V9">
        <v>0</v>
      </c>
      <c r="W9" t="s">
        <v>37</v>
      </c>
      <c r="X9">
        <v>3.3</v>
      </c>
      <c r="Y9">
        <v>3</v>
      </c>
      <c r="Z9">
        <v>1</v>
      </c>
    </row>
    <row r="10" spans="1:26">
      <c r="A10" t="s">
        <v>69</v>
      </c>
      <c r="B10" s="21">
        <v>42660</v>
      </c>
      <c r="C10" s="21"/>
      <c r="D10" t="s">
        <v>27</v>
      </c>
      <c r="E10">
        <v>0</v>
      </c>
      <c r="F10" t="s">
        <v>46</v>
      </c>
      <c r="G10" t="s">
        <v>70</v>
      </c>
      <c r="H10" t="s">
        <v>71</v>
      </c>
      <c r="I10" t="s">
        <v>62</v>
      </c>
      <c r="J10" t="s">
        <v>32</v>
      </c>
      <c r="K10">
        <v>36</v>
      </c>
      <c r="L10" t="s">
        <v>42</v>
      </c>
      <c r="M10" t="s">
        <v>65</v>
      </c>
      <c r="N10" t="s">
        <v>35</v>
      </c>
      <c r="O10">
        <v>631000</v>
      </c>
      <c r="P10">
        <v>52583.33</v>
      </c>
      <c r="Q10">
        <v>110</v>
      </c>
      <c r="R10" t="s">
        <v>36</v>
      </c>
      <c r="S10">
        <v>3.2</v>
      </c>
      <c r="T10">
        <v>55</v>
      </c>
      <c r="U10">
        <v>13</v>
      </c>
      <c r="V10">
        <v>5</v>
      </c>
      <c r="W10" t="s">
        <v>37</v>
      </c>
      <c r="X10">
        <v>3.6</v>
      </c>
      <c r="Y10">
        <v>4</v>
      </c>
      <c r="Z10">
        <v>15.8</v>
      </c>
    </row>
    <row r="11" spans="1:26">
      <c r="A11" t="s">
        <v>72</v>
      </c>
      <c r="B11" s="21">
        <v>45908</v>
      </c>
      <c r="C11" s="21"/>
      <c r="D11" t="s">
        <v>27</v>
      </c>
      <c r="E11">
        <v>0</v>
      </c>
      <c r="F11" t="s">
        <v>73</v>
      </c>
      <c r="G11" t="s">
        <v>51</v>
      </c>
      <c r="H11" t="s">
        <v>74</v>
      </c>
      <c r="I11" t="s">
        <v>75</v>
      </c>
      <c r="J11" t="s">
        <v>54</v>
      </c>
      <c r="K11">
        <v>38</v>
      </c>
      <c r="L11" t="s">
        <v>42</v>
      </c>
      <c r="M11" t="s">
        <v>65</v>
      </c>
      <c r="N11" t="s">
        <v>35</v>
      </c>
      <c r="O11">
        <v>693000</v>
      </c>
      <c r="P11">
        <v>57750</v>
      </c>
      <c r="Q11">
        <v>3</v>
      </c>
      <c r="R11" t="s">
        <v>36</v>
      </c>
      <c r="S11">
        <v>2.2999999999999998</v>
      </c>
      <c r="T11">
        <v>70</v>
      </c>
      <c r="U11">
        <v>15</v>
      </c>
      <c r="V11">
        <v>4</v>
      </c>
      <c r="W11" t="s">
        <v>37</v>
      </c>
      <c r="X11">
        <v>4</v>
      </c>
      <c r="Y11">
        <v>1</v>
      </c>
      <c r="Z11">
        <v>5.5</v>
      </c>
    </row>
    <row r="12" spans="1:26">
      <c r="A12" t="s">
        <v>76</v>
      </c>
      <c r="B12" s="21">
        <v>44584</v>
      </c>
      <c r="C12" s="21">
        <v>44678</v>
      </c>
      <c r="D12" t="s">
        <v>57</v>
      </c>
      <c r="E12">
        <v>1</v>
      </c>
      <c r="F12" t="s">
        <v>67</v>
      </c>
      <c r="G12" t="s">
        <v>51</v>
      </c>
      <c r="H12" t="s">
        <v>77</v>
      </c>
      <c r="I12" t="s">
        <v>53</v>
      </c>
      <c r="J12" t="s">
        <v>54</v>
      </c>
      <c r="K12">
        <v>49</v>
      </c>
      <c r="L12" t="s">
        <v>42</v>
      </c>
      <c r="M12" t="s">
        <v>78</v>
      </c>
      <c r="N12" t="s">
        <v>35</v>
      </c>
      <c r="O12">
        <v>1037000</v>
      </c>
      <c r="P12">
        <v>86416.67</v>
      </c>
      <c r="Q12">
        <v>3</v>
      </c>
      <c r="R12" t="s">
        <v>36</v>
      </c>
      <c r="S12">
        <v>1.7</v>
      </c>
      <c r="T12">
        <v>62</v>
      </c>
      <c r="U12">
        <v>25</v>
      </c>
      <c r="V12">
        <v>1</v>
      </c>
      <c r="W12" t="s">
        <v>44</v>
      </c>
      <c r="X12">
        <v>3.9</v>
      </c>
      <c r="Y12">
        <v>0</v>
      </c>
      <c r="Z12">
        <v>14.9</v>
      </c>
    </row>
    <row r="13" spans="1:26">
      <c r="A13" t="s">
        <v>79</v>
      </c>
      <c r="B13" s="21">
        <v>42609</v>
      </c>
      <c r="C13" s="21">
        <v>43460</v>
      </c>
      <c r="D13" t="s">
        <v>57</v>
      </c>
      <c r="E13">
        <v>1</v>
      </c>
      <c r="F13" t="s">
        <v>67</v>
      </c>
      <c r="G13" t="s">
        <v>70</v>
      </c>
      <c r="H13" t="s">
        <v>80</v>
      </c>
      <c r="I13" t="s">
        <v>31</v>
      </c>
      <c r="J13" t="s">
        <v>32</v>
      </c>
      <c r="K13">
        <v>29</v>
      </c>
      <c r="L13" t="s">
        <v>33</v>
      </c>
      <c r="M13" t="s">
        <v>58</v>
      </c>
      <c r="N13" t="s">
        <v>35</v>
      </c>
      <c r="O13">
        <v>400000</v>
      </c>
      <c r="P13">
        <v>33333.33</v>
      </c>
      <c r="Q13">
        <v>28</v>
      </c>
      <c r="R13" t="s">
        <v>36</v>
      </c>
      <c r="S13">
        <v>3</v>
      </c>
      <c r="T13">
        <v>74</v>
      </c>
      <c r="U13">
        <v>11</v>
      </c>
      <c r="V13">
        <v>3</v>
      </c>
      <c r="W13" t="s">
        <v>37</v>
      </c>
      <c r="X13">
        <v>3.9</v>
      </c>
      <c r="Y13">
        <v>4</v>
      </c>
      <c r="Z13">
        <v>6.2</v>
      </c>
    </row>
    <row r="14" spans="1:26">
      <c r="A14" t="s">
        <v>81</v>
      </c>
      <c r="B14" s="21">
        <v>44087</v>
      </c>
      <c r="C14" s="21"/>
      <c r="D14" t="s">
        <v>27</v>
      </c>
      <c r="E14">
        <v>0</v>
      </c>
      <c r="F14" t="s">
        <v>28</v>
      </c>
      <c r="G14" t="s">
        <v>51</v>
      </c>
      <c r="H14" t="s">
        <v>30</v>
      </c>
      <c r="I14" t="s">
        <v>41</v>
      </c>
      <c r="J14" t="s">
        <v>54</v>
      </c>
      <c r="K14">
        <v>35</v>
      </c>
      <c r="L14" t="s">
        <v>82</v>
      </c>
      <c r="M14" t="s">
        <v>58</v>
      </c>
      <c r="N14" t="s">
        <v>35</v>
      </c>
      <c r="O14">
        <v>725000</v>
      </c>
      <c r="P14">
        <v>60416.67</v>
      </c>
      <c r="Q14">
        <v>63</v>
      </c>
      <c r="R14" t="s">
        <v>36</v>
      </c>
      <c r="S14">
        <v>2.6</v>
      </c>
      <c r="T14">
        <v>27</v>
      </c>
      <c r="U14">
        <v>9</v>
      </c>
      <c r="V14">
        <v>7</v>
      </c>
      <c r="W14" t="s">
        <v>37</v>
      </c>
      <c r="X14">
        <v>3.7</v>
      </c>
      <c r="Y14">
        <v>5</v>
      </c>
      <c r="Z14">
        <v>12.2</v>
      </c>
    </row>
    <row r="15" spans="1:26">
      <c r="A15" t="s">
        <v>83</v>
      </c>
      <c r="B15" s="21">
        <v>43799</v>
      </c>
      <c r="C15" s="21"/>
      <c r="D15" t="s">
        <v>27</v>
      </c>
      <c r="E15">
        <v>0</v>
      </c>
      <c r="F15" t="s">
        <v>28</v>
      </c>
      <c r="G15" t="s">
        <v>29</v>
      </c>
      <c r="H15" t="s">
        <v>64</v>
      </c>
      <c r="I15" t="s">
        <v>75</v>
      </c>
      <c r="J15" t="s">
        <v>32</v>
      </c>
      <c r="K15">
        <v>44</v>
      </c>
      <c r="L15" t="s">
        <v>33</v>
      </c>
      <c r="M15" t="s">
        <v>40</v>
      </c>
      <c r="N15" t="s">
        <v>35</v>
      </c>
      <c r="O15">
        <v>503000</v>
      </c>
      <c r="P15">
        <v>41916.67</v>
      </c>
      <c r="Q15">
        <v>73</v>
      </c>
      <c r="R15" t="s">
        <v>55</v>
      </c>
      <c r="S15">
        <v>2.4</v>
      </c>
      <c r="T15">
        <v>13</v>
      </c>
      <c r="U15">
        <v>8</v>
      </c>
      <c r="V15">
        <v>6</v>
      </c>
      <c r="W15" t="s">
        <v>37</v>
      </c>
      <c r="X15">
        <v>2.1</v>
      </c>
      <c r="Y15">
        <v>5</v>
      </c>
      <c r="Z15">
        <v>1</v>
      </c>
    </row>
    <row r="16" spans="1:26">
      <c r="A16" t="s">
        <v>84</v>
      </c>
      <c r="B16" s="21">
        <v>43524</v>
      </c>
      <c r="C16" s="21"/>
      <c r="D16" t="s">
        <v>27</v>
      </c>
      <c r="E16">
        <v>0</v>
      </c>
      <c r="F16" t="s">
        <v>39</v>
      </c>
      <c r="G16" t="s">
        <v>29</v>
      </c>
      <c r="H16" t="s">
        <v>85</v>
      </c>
      <c r="I16" t="s">
        <v>41</v>
      </c>
      <c r="J16" t="s">
        <v>54</v>
      </c>
      <c r="K16">
        <v>25</v>
      </c>
      <c r="L16" t="s">
        <v>33</v>
      </c>
      <c r="M16" t="s">
        <v>58</v>
      </c>
      <c r="N16" t="s">
        <v>35</v>
      </c>
      <c r="O16">
        <v>386000</v>
      </c>
      <c r="P16">
        <v>32166.67</v>
      </c>
      <c r="Q16">
        <v>82</v>
      </c>
      <c r="R16" t="s">
        <v>36</v>
      </c>
      <c r="S16">
        <v>2.7</v>
      </c>
      <c r="T16">
        <v>56</v>
      </c>
      <c r="U16">
        <v>15</v>
      </c>
      <c r="V16">
        <v>10</v>
      </c>
      <c r="W16" t="s">
        <v>37</v>
      </c>
      <c r="X16">
        <v>4.8</v>
      </c>
      <c r="Y16">
        <v>0</v>
      </c>
      <c r="Z16">
        <v>2.5</v>
      </c>
    </row>
    <row r="17" spans="1:26">
      <c r="A17" t="s">
        <v>86</v>
      </c>
      <c r="B17" s="21">
        <v>42409</v>
      </c>
      <c r="C17" s="21"/>
      <c r="D17" t="s">
        <v>27</v>
      </c>
      <c r="E17">
        <v>0</v>
      </c>
      <c r="F17" t="s">
        <v>28</v>
      </c>
      <c r="G17" t="s">
        <v>51</v>
      </c>
      <c r="H17" t="s">
        <v>30</v>
      </c>
      <c r="I17" t="s">
        <v>75</v>
      </c>
      <c r="J17" t="s">
        <v>54</v>
      </c>
      <c r="K17">
        <v>52</v>
      </c>
      <c r="L17" t="s">
        <v>33</v>
      </c>
      <c r="M17" t="s">
        <v>65</v>
      </c>
      <c r="N17" t="s">
        <v>35</v>
      </c>
      <c r="O17">
        <v>1033000</v>
      </c>
      <c r="P17">
        <v>86083.33</v>
      </c>
      <c r="Q17">
        <v>118</v>
      </c>
      <c r="R17" t="s">
        <v>36</v>
      </c>
      <c r="S17">
        <v>4.7</v>
      </c>
      <c r="T17">
        <v>52</v>
      </c>
      <c r="U17">
        <v>10</v>
      </c>
      <c r="V17">
        <v>2</v>
      </c>
      <c r="W17" t="s">
        <v>44</v>
      </c>
      <c r="X17">
        <v>3</v>
      </c>
      <c r="Y17">
        <v>0</v>
      </c>
      <c r="Z17">
        <v>6.9</v>
      </c>
    </row>
    <row r="18" spans="1:26">
      <c r="A18" t="s">
        <v>87</v>
      </c>
      <c r="B18" s="21">
        <v>43339</v>
      </c>
      <c r="C18" s="21"/>
      <c r="D18" t="s">
        <v>27</v>
      </c>
      <c r="E18">
        <v>0</v>
      </c>
      <c r="F18" t="s">
        <v>50</v>
      </c>
      <c r="G18" t="s">
        <v>88</v>
      </c>
      <c r="H18" t="s">
        <v>89</v>
      </c>
      <c r="I18" t="s">
        <v>62</v>
      </c>
      <c r="J18" t="s">
        <v>32</v>
      </c>
      <c r="K18">
        <v>55</v>
      </c>
      <c r="L18" t="s">
        <v>33</v>
      </c>
      <c r="M18" t="s">
        <v>40</v>
      </c>
      <c r="N18" t="s">
        <v>35</v>
      </c>
      <c r="O18">
        <v>1332000</v>
      </c>
      <c r="P18">
        <v>111000</v>
      </c>
      <c r="Q18">
        <v>88</v>
      </c>
      <c r="R18" t="s">
        <v>55</v>
      </c>
      <c r="S18">
        <v>1.9</v>
      </c>
      <c r="T18">
        <v>28</v>
      </c>
      <c r="U18">
        <v>18</v>
      </c>
      <c r="V18">
        <v>0</v>
      </c>
      <c r="W18" t="s">
        <v>44</v>
      </c>
      <c r="X18">
        <v>2.9</v>
      </c>
      <c r="Y18">
        <v>5</v>
      </c>
      <c r="Z18">
        <v>21.1</v>
      </c>
    </row>
    <row r="19" spans="1:26">
      <c r="A19" t="s">
        <v>90</v>
      </c>
      <c r="B19" s="21">
        <v>43802</v>
      </c>
      <c r="C19" s="21"/>
      <c r="D19" t="s">
        <v>27</v>
      </c>
      <c r="E19">
        <v>0</v>
      </c>
      <c r="F19" t="s">
        <v>46</v>
      </c>
      <c r="G19" t="s">
        <v>91</v>
      </c>
      <c r="H19" t="s">
        <v>92</v>
      </c>
      <c r="I19" t="s">
        <v>41</v>
      </c>
      <c r="J19" t="s">
        <v>54</v>
      </c>
      <c r="K19">
        <v>41</v>
      </c>
      <c r="L19" t="s">
        <v>82</v>
      </c>
      <c r="M19" t="s">
        <v>65</v>
      </c>
      <c r="N19" t="s">
        <v>93</v>
      </c>
      <c r="O19">
        <v>1433000</v>
      </c>
      <c r="P19">
        <v>119416.67</v>
      </c>
      <c r="Q19">
        <v>72</v>
      </c>
      <c r="R19" t="s">
        <v>36</v>
      </c>
      <c r="S19">
        <v>4.8</v>
      </c>
      <c r="T19">
        <v>33</v>
      </c>
      <c r="U19">
        <v>12</v>
      </c>
      <c r="V19">
        <v>5</v>
      </c>
      <c r="W19" t="s">
        <v>44</v>
      </c>
      <c r="X19">
        <v>4.9000000000000004</v>
      </c>
      <c r="Y19">
        <v>2</v>
      </c>
      <c r="Z19">
        <v>1</v>
      </c>
    </row>
    <row r="20" spans="1:26">
      <c r="A20" t="s">
        <v>94</v>
      </c>
      <c r="B20" s="21">
        <v>43785</v>
      </c>
      <c r="C20" s="21"/>
      <c r="D20" t="s">
        <v>27</v>
      </c>
      <c r="E20">
        <v>0</v>
      </c>
      <c r="F20" t="s">
        <v>67</v>
      </c>
      <c r="G20" t="s">
        <v>51</v>
      </c>
      <c r="H20" t="s">
        <v>95</v>
      </c>
      <c r="I20" t="s">
        <v>75</v>
      </c>
      <c r="J20" t="s">
        <v>54</v>
      </c>
      <c r="K20">
        <v>39</v>
      </c>
      <c r="L20" t="s">
        <v>96</v>
      </c>
      <c r="M20" t="s">
        <v>58</v>
      </c>
      <c r="N20" t="s">
        <v>35</v>
      </c>
      <c r="O20">
        <v>907000</v>
      </c>
      <c r="P20">
        <v>75583.33</v>
      </c>
      <c r="Q20">
        <v>73</v>
      </c>
      <c r="R20" t="s">
        <v>36</v>
      </c>
      <c r="S20">
        <v>2.8</v>
      </c>
      <c r="T20">
        <v>15</v>
      </c>
      <c r="U20">
        <v>4</v>
      </c>
      <c r="V20">
        <v>2</v>
      </c>
      <c r="W20" t="s">
        <v>37</v>
      </c>
      <c r="X20">
        <v>3.7</v>
      </c>
      <c r="Y20">
        <v>0</v>
      </c>
      <c r="Z20">
        <v>18.399999999999999</v>
      </c>
    </row>
    <row r="21" spans="1:26">
      <c r="A21" t="s">
        <v>97</v>
      </c>
      <c r="B21" s="21">
        <v>43636</v>
      </c>
      <c r="C21" s="21"/>
      <c r="D21" t="s">
        <v>27</v>
      </c>
      <c r="E21">
        <v>0</v>
      </c>
      <c r="F21" t="s">
        <v>98</v>
      </c>
      <c r="G21" t="s">
        <v>70</v>
      </c>
      <c r="H21" t="s">
        <v>99</v>
      </c>
      <c r="I21" t="s">
        <v>75</v>
      </c>
      <c r="J21" t="s">
        <v>54</v>
      </c>
      <c r="K21">
        <v>33</v>
      </c>
      <c r="L21" t="s">
        <v>33</v>
      </c>
      <c r="M21" t="s">
        <v>43</v>
      </c>
      <c r="N21" t="s">
        <v>35</v>
      </c>
      <c r="O21">
        <v>478000</v>
      </c>
      <c r="P21">
        <v>39833.33</v>
      </c>
      <c r="Q21">
        <v>78</v>
      </c>
      <c r="R21" t="s">
        <v>55</v>
      </c>
      <c r="S21">
        <v>2.9</v>
      </c>
      <c r="T21">
        <v>59</v>
      </c>
      <c r="U21">
        <v>8</v>
      </c>
      <c r="V21">
        <v>0</v>
      </c>
      <c r="W21" t="s">
        <v>44</v>
      </c>
      <c r="X21">
        <v>2.9</v>
      </c>
      <c r="Y21">
        <v>1</v>
      </c>
      <c r="Z21">
        <v>15.9</v>
      </c>
    </row>
    <row r="22" spans="1:26">
      <c r="A22" t="s">
        <v>100</v>
      </c>
      <c r="B22" s="21">
        <v>44463</v>
      </c>
      <c r="C22" s="21"/>
      <c r="D22" t="s">
        <v>27</v>
      </c>
      <c r="E22">
        <v>0</v>
      </c>
      <c r="F22" t="s">
        <v>73</v>
      </c>
      <c r="G22" t="s">
        <v>88</v>
      </c>
      <c r="H22" t="s">
        <v>74</v>
      </c>
      <c r="I22" t="s">
        <v>62</v>
      </c>
      <c r="J22" t="s">
        <v>54</v>
      </c>
      <c r="K22">
        <v>28</v>
      </c>
      <c r="L22" t="s">
        <v>33</v>
      </c>
      <c r="M22" t="s">
        <v>34</v>
      </c>
      <c r="N22" t="s">
        <v>35</v>
      </c>
      <c r="O22">
        <v>883000</v>
      </c>
      <c r="P22">
        <v>73583.33</v>
      </c>
      <c r="Q22">
        <v>51</v>
      </c>
      <c r="R22" t="s">
        <v>36</v>
      </c>
      <c r="S22">
        <v>3.8</v>
      </c>
      <c r="T22">
        <v>9</v>
      </c>
      <c r="U22">
        <v>13</v>
      </c>
      <c r="V22">
        <v>2</v>
      </c>
      <c r="W22" t="s">
        <v>44</v>
      </c>
      <c r="X22">
        <v>3.3</v>
      </c>
      <c r="Y22">
        <v>1</v>
      </c>
      <c r="Z22">
        <v>5</v>
      </c>
    </row>
    <row r="23" spans="1:26">
      <c r="A23" t="s">
        <v>101</v>
      </c>
      <c r="B23" s="21">
        <v>44727</v>
      </c>
      <c r="C23" s="21"/>
      <c r="D23" t="s">
        <v>27</v>
      </c>
      <c r="E23">
        <v>0</v>
      </c>
      <c r="F23" t="s">
        <v>73</v>
      </c>
      <c r="G23" t="s">
        <v>91</v>
      </c>
      <c r="H23" t="s">
        <v>102</v>
      </c>
      <c r="I23" t="s">
        <v>41</v>
      </c>
      <c r="J23" t="s">
        <v>32</v>
      </c>
      <c r="K23">
        <v>49</v>
      </c>
      <c r="L23" t="s">
        <v>42</v>
      </c>
      <c r="M23" t="s">
        <v>65</v>
      </c>
      <c r="N23" t="s">
        <v>35</v>
      </c>
      <c r="O23">
        <v>1330000</v>
      </c>
      <c r="P23">
        <v>110833.33</v>
      </c>
      <c r="Q23">
        <v>42</v>
      </c>
      <c r="R23" t="s">
        <v>103</v>
      </c>
      <c r="S23">
        <v>4.7</v>
      </c>
      <c r="T23">
        <v>59</v>
      </c>
      <c r="U23">
        <v>6</v>
      </c>
      <c r="V23">
        <v>5</v>
      </c>
      <c r="W23" t="s">
        <v>37</v>
      </c>
      <c r="X23">
        <v>3.7</v>
      </c>
      <c r="Y23">
        <v>0</v>
      </c>
      <c r="Z23">
        <v>1</v>
      </c>
    </row>
    <row r="24" spans="1:26">
      <c r="A24" t="s">
        <v>104</v>
      </c>
      <c r="B24" s="21">
        <v>44808</v>
      </c>
      <c r="C24" s="21"/>
      <c r="D24" t="s">
        <v>27</v>
      </c>
      <c r="E24">
        <v>0</v>
      </c>
      <c r="F24" t="s">
        <v>98</v>
      </c>
      <c r="G24" t="s">
        <v>105</v>
      </c>
      <c r="H24" t="s">
        <v>106</v>
      </c>
      <c r="I24" t="s">
        <v>62</v>
      </c>
      <c r="J24" t="s">
        <v>32</v>
      </c>
      <c r="K24">
        <v>44</v>
      </c>
      <c r="L24" t="s">
        <v>33</v>
      </c>
      <c r="M24" t="s">
        <v>40</v>
      </c>
      <c r="N24" t="s">
        <v>35</v>
      </c>
      <c r="O24">
        <v>1948000</v>
      </c>
      <c r="P24">
        <v>162333.32999999999</v>
      </c>
      <c r="Q24">
        <v>39</v>
      </c>
      <c r="R24" t="s">
        <v>36</v>
      </c>
      <c r="S24">
        <v>4.7</v>
      </c>
      <c r="T24">
        <v>30</v>
      </c>
      <c r="U24">
        <v>0</v>
      </c>
      <c r="V24">
        <v>7</v>
      </c>
      <c r="W24" t="s">
        <v>37</v>
      </c>
      <c r="X24">
        <v>4.3</v>
      </c>
      <c r="Y24">
        <v>1</v>
      </c>
      <c r="Z24">
        <v>5.4</v>
      </c>
    </row>
    <row r="25" spans="1:26">
      <c r="A25" t="s">
        <v>107</v>
      </c>
      <c r="B25" s="21">
        <v>43540</v>
      </c>
      <c r="C25" s="21"/>
      <c r="D25" t="s">
        <v>27</v>
      </c>
      <c r="E25">
        <v>0</v>
      </c>
      <c r="F25" t="s">
        <v>46</v>
      </c>
      <c r="G25" t="s">
        <v>29</v>
      </c>
      <c r="H25" t="s">
        <v>71</v>
      </c>
      <c r="I25" t="s">
        <v>41</v>
      </c>
      <c r="J25" t="s">
        <v>54</v>
      </c>
      <c r="K25">
        <v>34</v>
      </c>
      <c r="L25" t="s">
        <v>33</v>
      </c>
      <c r="M25" t="s">
        <v>40</v>
      </c>
      <c r="N25" t="s">
        <v>35</v>
      </c>
      <c r="O25">
        <v>409000</v>
      </c>
      <c r="P25">
        <v>34083.33</v>
      </c>
      <c r="Q25">
        <v>81</v>
      </c>
      <c r="R25" t="s">
        <v>36</v>
      </c>
      <c r="S25">
        <v>4.2</v>
      </c>
      <c r="T25">
        <v>2</v>
      </c>
      <c r="U25">
        <v>14</v>
      </c>
      <c r="V25">
        <v>3</v>
      </c>
      <c r="W25" t="s">
        <v>44</v>
      </c>
      <c r="X25">
        <v>4</v>
      </c>
      <c r="Y25">
        <v>3</v>
      </c>
      <c r="Z25">
        <v>12.4</v>
      </c>
    </row>
    <row r="26" spans="1:26">
      <c r="A26" t="s">
        <v>108</v>
      </c>
      <c r="B26" s="21">
        <v>43928</v>
      </c>
      <c r="C26" s="21"/>
      <c r="D26" t="s">
        <v>27</v>
      </c>
      <c r="E26">
        <v>0</v>
      </c>
      <c r="F26" t="s">
        <v>60</v>
      </c>
      <c r="G26" t="s">
        <v>88</v>
      </c>
      <c r="H26" t="s">
        <v>109</v>
      </c>
      <c r="I26" t="s">
        <v>53</v>
      </c>
      <c r="J26" t="s">
        <v>32</v>
      </c>
      <c r="K26">
        <v>26</v>
      </c>
      <c r="L26" t="s">
        <v>33</v>
      </c>
      <c r="M26" t="s">
        <v>43</v>
      </c>
      <c r="N26" t="s">
        <v>35</v>
      </c>
      <c r="O26">
        <v>979000</v>
      </c>
      <c r="P26">
        <v>81583.33</v>
      </c>
      <c r="Q26">
        <v>68</v>
      </c>
      <c r="R26" t="s">
        <v>55</v>
      </c>
      <c r="S26">
        <v>3.8</v>
      </c>
      <c r="T26">
        <v>21</v>
      </c>
      <c r="U26">
        <v>9</v>
      </c>
      <c r="V26">
        <v>8</v>
      </c>
      <c r="W26" t="s">
        <v>37</v>
      </c>
      <c r="X26">
        <v>2.6</v>
      </c>
      <c r="Y26">
        <v>4</v>
      </c>
      <c r="Z26">
        <v>6.7</v>
      </c>
    </row>
    <row r="27" spans="1:26">
      <c r="A27" t="s">
        <v>110</v>
      </c>
      <c r="B27" s="21">
        <v>44918</v>
      </c>
      <c r="C27" s="21"/>
      <c r="D27" t="s">
        <v>27</v>
      </c>
      <c r="E27">
        <v>0</v>
      </c>
      <c r="F27" t="s">
        <v>60</v>
      </c>
      <c r="G27" t="s">
        <v>91</v>
      </c>
      <c r="H27" t="s">
        <v>109</v>
      </c>
      <c r="I27" t="s">
        <v>75</v>
      </c>
      <c r="J27" t="s">
        <v>32</v>
      </c>
      <c r="K27">
        <v>31</v>
      </c>
      <c r="L27" t="s">
        <v>33</v>
      </c>
      <c r="M27" t="s">
        <v>78</v>
      </c>
      <c r="N27" t="s">
        <v>35</v>
      </c>
      <c r="O27">
        <v>1191000</v>
      </c>
      <c r="P27">
        <v>99250</v>
      </c>
      <c r="Q27">
        <v>36</v>
      </c>
      <c r="R27" t="s">
        <v>36</v>
      </c>
      <c r="S27">
        <v>3.1</v>
      </c>
      <c r="T27">
        <v>32</v>
      </c>
      <c r="U27">
        <v>2</v>
      </c>
      <c r="V27">
        <v>1</v>
      </c>
      <c r="W27" t="s">
        <v>44</v>
      </c>
      <c r="X27">
        <v>4</v>
      </c>
      <c r="Y27">
        <v>2</v>
      </c>
      <c r="Z27">
        <v>6.2</v>
      </c>
    </row>
    <row r="28" spans="1:26">
      <c r="A28" t="s">
        <v>111</v>
      </c>
      <c r="B28" s="21">
        <v>45438</v>
      </c>
      <c r="C28" s="21"/>
      <c r="D28" t="s">
        <v>27</v>
      </c>
      <c r="E28">
        <v>0</v>
      </c>
      <c r="F28" t="s">
        <v>60</v>
      </c>
      <c r="G28" t="s">
        <v>51</v>
      </c>
      <c r="H28" t="s">
        <v>112</v>
      </c>
      <c r="I28" t="s">
        <v>62</v>
      </c>
      <c r="J28" t="s">
        <v>54</v>
      </c>
      <c r="K28">
        <v>20</v>
      </c>
      <c r="L28" t="s">
        <v>33</v>
      </c>
      <c r="M28" t="s">
        <v>58</v>
      </c>
      <c r="N28" t="s">
        <v>35</v>
      </c>
      <c r="O28">
        <v>707000</v>
      </c>
      <c r="P28">
        <v>58916.67</v>
      </c>
      <c r="Q28">
        <v>19</v>
      </c>
      <c r="R28" t="s">
        <v>55</v>
      </c>
      <c r="S28">
        <v>2.7</v>
      </c>
      <c r="T28">
        <v>32</v>
      </c>
      <c r="U28">
        <v>5</v>
      </c>
      <c r="V28">
        <v>9</v>
      </c>
      <c r="W28" t="s">
        <v>37</v>
      </c>
      <c r="X28">
        <v>3.7</v>
      </c>
      <c r="Y28">
        <v>1</v>
      </c>
      <c r="Z28">
        <v>1</v>
      </c>
    </row>
    <row r="29" spans="1:26">
      <c r="A29" t="s">
        <v>113</v>
      </c>
      <c r="B29" s="21">
        <v>44857</v>
      </c>
      <c r="C29" s="21"/>
      <c r="D29" t="s">
        <v>27</v>
      </c>
      <c r="E29">
        <v>0</v>
      </c>
      <c r="F29" t="s">
        <v>39</v>
      </c>
      <c r="G29" t="s">
        <v>70</v>
      </c>
      <c r="H29" t="s">
        <v>85</v>
      </c>
      <c r="I29" t="s">
        <v>48</v>
      </c>
      <c r="J29" t="s">
        <v>32</v>
      </c>
      <c r="K29">
        <v>47</v>
      </c>
      <c r="L29" t="s">
        <v>33</v>
      </c>
      <c r="M29" t="s">
        <v>65</v>
      </c>
      <c r="N29" t="s">
        <v>35</v>
      </c>
      <c r="O29">
        <v>668000</v>
      </c>
      <c r="P29">
        <v>55666.67</v>
      </c>
      <c r="Q29">
        <v>38</v>
      </c>
      <c r="R29" t="s">
        <v>36</v>
      </c>
      <c r="S29">
        <v>3.2</v>
      </c>
      <c r="T29">
        <v>76</v>
      </c>
      <c r="U29">
        <v>12</v>
      </c>
      <c r="V29">
        <v>2</v>
      </c>
      <c r="W29" t="s">
        <v>37</v>
      </c>
      <c r="X29">
        <v>4.5</v>
      </c>
      <c r="Y29">
        <v>3</v>
      </c>
      <c r="Z29">
        <v>5.6</v>
      </c>
    </row>
    <row r="30" spans="1:26">
      <c r="A30" t="s">
        <v>114</v>
      </c>
      <c r="B30" s="21">
        <v>44688</v>
      </c>
      <c r="C30" s="21"/>
      <c r="D30" t="s">
        <v>27</v>
      </c>
      <c r="E30">
        <v>0</v>
      </c>
      <c r="F30" t="s">
        <v>60</v>
      </c>
      <c r="G30" t="s">
        <v>88</v>
      </c>
      <c r="H30" t="s">
        <v>109</v>
      </c>
      <c r="I30" t="s">
        <v>31</v>
      </c>
      <c r="J30" t="s">
        <v>54</v>
      </c>
      <c r="K30">
        <v>44</v>
      </c>
      <c r="L30" t="s">
        <v>33</v>
      </c>
      <c r="M30" t="s">
        <v>43</v>
      </c>
      <c r="N30" t="s">
        <v>35</v>
      </c>
      <c r="O30">
        <v>1061000</v>
      </c>
      <c r="P30">
        <v>88416.67</v>
      </c>
      <c r="Q30">
        <v>43</v>
      </c>
      <c r="R30" t="s">
        <v>36</v>
      </c>
      <c r="S30">
        <v>2.8</v>
      </c>
      <c r="T30">
        <v>78</v>
      </c>
      <c r="U30">
        <v>5</v>
      </c>
      <c r="V30">
        <v>6</v>
      </c>
      <c r="W30" t="s">
        <v>37</v>
      </c>
      <c r="X30">
        <v>4.5</v>
      </c>
      <c r="Y30">
        <v>0</v>
      </c>
      <c r="Z30">
        <v>1</v>
      </c>
    </row>
    <row r="31" spans="1:26">
      <c r="A31" t="s">
        <v>115</v>
      </c>
      <c r="B31" s="21">
        <v>44350</v>
      </c>
      <c r="C31" s="21"/>
      <c r="D31" t="s">
        <v>27</v>
      </c>
      <c r="E31">
        <v>0</v>
      </c>
      <c r="F31" t="s">
        <v>60</v>
      </c>
      <c r="G31" t="s">
        <v>51</v>
      </c>
      <c r="H31" t="s">
        <v>109</v>
      </c>
      <c r="I31" t="s">
        <v>41</v>
      </c>
      <c r="J31" t="s">
        <v>32</v>
      </c>
      <c r="K31">
        <v>27</v>
      </c>
      <c r="L31" t="s">
        <v>33</v>
      </c>
      <c r="M31" t="s">
        <v>34</v>
      </c>
      <c r="N31" t="s">
        <v>35</v>
      </c>
      <c r="O31">
        <v>774000</v>
      </c>
      <c r="P31">
        <v>64500</v>
      </c>
      <c r="Q31">
        <v>54</v>
      </c>
      <c r="R31" t="s">
        <v>116</v>
      </c>
      <c r="S31">
        <v>3.8</v>
      </c>
      <c r="T31">
        <v>33</v>
      </c>
      <c r="U31">
        <v>6</v>
      </c>
      <c r="V31">
        <v>3</v>
      </c>
      <c r="W31" t="s">
        <v>37</v>
      </c>
      <c r="X31">
        <v>3.6</v>
      </c>
      <c r="Y31">
        <v>3</v>
      </c>
      <c r="Z31">
        <v>15.5</v>
      </c>
    </row>
    <row r="32" spans="1:26">
      <c r="A32" t="s">
        <v>117</v>
      </c>
      <c r="B32" s="21">
        <v>45242</v>
      </c>
      <c r="C32" s="21"/>
      <c r="D32" t="s">
        <v>27</v>
      </c>
      <c r="E32">
        <v>0</v>
      </c>
      <c r="F32" t="s">
        <v>73</v>
      </c>
      <c r="G32" t="s">
        <v>91</v>
      </c>
      <c r="H32" t="s">
        <v>118</v>
      </c>
      <c r="I32" t="s">
        <v>41</v>
      </c>
      <c r="J32" t="s">
        <v>54</v>
      </c>
      <c r="K32">
        <v>52</v>
      </c>
      <c r="L32" t="s">
        <v>33</v>
      </c>
      <c r="M32" t="s">
        <v>34</v>
      </c>
      <c r="N32" t="s">
        <v>35</v>
      </c>
      <c r="O32">
        <v>1505000</v>
      </c>
      <c r="P32">
        <v>125416.67</v>
      </c>
      <c r="Q32">
        <v>25</v>
      </c>
      <c r="R32" t="s">
        <v>36</v>
      </c>
      <c r="S32">
        <v>2.8</v>
      </c>
      <c r="T32">
        <v>47</v>
      </c>
      <c r="U32">
        <v>6</v>
      </c>
      <c r="V32">
        <v>4</v>
      </c>
      <c r="W32" t="s">
        <v>44</v>
      </c>
      <c r="X32">
        <v>3.2</v>
      </c>
      <c r="Y32">
        <v>3</v>
      </c>
      <c r="Z32">
        <v>7.5</v>
      </c>
    </row>
    <row r="33" spans="1:26">
      <c r="A33" t="s">
        <v>119</v>
      </c>
      <c r="B33" s="21">
        <v>44112</v>
      </c>
      <c r="C33" s="21"/>
      <c r="D33" t="s">
        <v>27</v>
      </c>
      <c r="E33">
        <v>0</v>
      </c>
      <c r="F33" t="s">
        <v>73</v>
      </c>
      <c r="G33" t="s">
        <v>51</v>
      </c>
      <c r="H33" t="s">
        <v>74</v>
      </c>
      <c r="I33" t="s">
        <v>62</v>
      </c>
      <c r="J33" t="s">
        <v>54</v>
      </c>
      <c r="K33">
        <v>48</v>
      </c>
      <c r="L33" t="s">
        <v>33</v>
      </c>
      <c r="M33" t="s">
        <v>78</v>
      </c>
      <c r="N33" t="s">
        <v>93</v>
      </c>
      <c r="O33">
        <v>961000</v>
      </c>
      <c r="P33">
        <v>80083.33</v>
      </c>
      <c r="Q33">
        <v>62</v>
      </c>
      <c r="R33" t="s">
        <v>36</v>
      </c>
      <c r="S33">
        <v>3.5</v>
      </c>
      <c r="T33">
        <v>67</v>
      </c>
      <c r="U33">
        <v>6</v>
      </c>
      <c r="V33">
        <v>8</v>
      </c>
      <c r="W33" t="s">
        <v>37</v>
      </c>
      <c r="X33">
        <v>3.6</v>
      </c>
      <c r="Y33">
        <v>5</v>
      </c>
      <c r="Z33">
        <v>3.9</v>
      </c>
    </row>
    <row r="34" spans="1:26">
      <c r="A34" t="s">
        <v>120</v>
      </c>
      <c r="B34" s="21">
        <v>45780</v>
      </c>
      <c r="C34" s="21"/>
      <c r="D34" t="s">
        <v>27</v>
      </c>
      <c r="E34">
        <v>0</v>
      </c>
      <c r="F34" t="s">
        <v>28</v>
      </c>
      <c r="G34" t="s">
        <v>105</v>
      </c>
      <c r="H34" t="s">
        <v>121</v>
      </c>
      <c r="I34" t="s">
        <v>41</v>
      </c>
      <c r="J34" t="s">
        <v>32</v>
      </c>
      <c r="K34">
        <v>50</v>
      </c>
      <c r="L34" t="s">
        <v>33</v>
      </c>
      <c r="M34" t="s">
        <v>34</v>
      </c>
      <c r="N34" t="s">
        <v>35</v>
      </c>
      <c r="O34">
        <v>2119000</v>
      </c>
      <c r="P34">
        <v>176583.33</v>
      </c>
      <c r="Q34">
        <v>7</v>
      </c>
      <c r="R34" t="s">
        <v>36</v>
      </c>
      <c r="S34">
        <v>4</v>
      </c>
      <c r="T34">
        <v>23</v>
      </c>
      <c r="U34">
        <v>12</v>
      </c>
      <c r="V34">
        <v>5</v>
      </c>
      <c r="W34" t="s">
        <v>37</v>
      </c>
      <c r="X34">
        <v>4.5999999999999996</v>
      </c>
      <c r="Y34">
        <v>5</v>
      </c>
      <c r="Z34">
        <v>7.8</v>
      </c>
    </row>
    <row r="35" spans="1:26">
      <c r="A35" t="s">
        <v>122</v>
      </c>
      <c r="B35" s="21">
        <v>45899</v>
      </c>
      <c r="C35" s="21"/>
      <c r="D35" t="s">
        <v>27</v>
      </c>
      <c r="E35">
        <v>0</v>
      </c>
      <c r="F35" t="s">
        <v>50</v>
      </c>
      <c r="G35" t="s">
        <v>70</v>
      </c>
      <c r="H35" t="s">
        <v>52</v>
      </c>
      <c r="I35" t="s">
        <v>53</v>
      </c>
      <c r="J35" t="s">
        <v>32</v>
      </c>
      <c r="K35">
        <v>24</v>
      </c>
      <c r="L35" t="s">
        <v>42</v>
      </c>
      <c r="M35" t="s">
        <v>34</v>
      </c>
      <c r="N35" t="s">
        <v>35</v>
      </c>
      <c r="O35">
        <v>399000</v>
      </c>
      <c r="P35">
        <v>33250</v>
      </c>
      <c r="Q35">
        <v>4</v>
      </c>
      <c r="R35" t="s">
        <v>103</v>
      </c>
      <c r="S35">
        <v>3.7</v>
      </c>
      <c r="T35">
        <v>57</v>
      </c>
      <c r="U35">
        <v>9</v>
      </c>
      <c r="V35">
        <v>5</v>
      </c>
      <c r="W35" t="s">
        <v>37</v>
      </c>
      <c r="X35">
        <v>4.2</v>
      </c>
      <c r="Y35">
        <v>2</v>
      </c>
      <c r="Z35">
        <v>15.2</v>
      </c>
    </row>
    <row r="36" spans="1:26">
      <c r="A36" t="s">
        <v>123</v>
      </c>
      <c r="B36" s="21">
        <v>44780</v>
      </c>
      <c r="C36" s="21">
        <v>45361</v>
      </c>
      <c r="D36" t="s">
        <v>57</v>
      </c>
      <c r="E36">
        <v>1</v>
      </c>
      <c r="F36" t="s">
        <v>50</v>
      </c>
      <c r="G36" t="s">
        <v>70</v>
      </c>
      <c r="H36" t="s">
        <v>124</v>
      </c>
      <c r="I36" t="s">
        <v>62</v>
      </c>
      <c r="J36" t="s">
        <v>54</v>
      </c>
      <c r="K36">
        <v>42</v>
      </c>
      <c r="L36" t="s">
        <v>33</v>
      </c>
      <c r="M36" t="s">
        <v>43</v>
      </c>
      <c r="N36" t="s">
        <v>35</v>
      </c>
      <c r="O36">
        <v>519000</v>
      </c>
      <c r="P36">
        <v>43250</v>
      </c>
      <c r="Q36">
        <v>19</v>
      </c>
      <c r="R36" t="s">
        <v>116</v>
      </c>
      <c r="S36">
        <v>3.5</v>
      </c>
      <c r="T36">
        <v>29</v>
      </c>
      <c r="U36">
        <v>4</v>
      </c>
      <c r="V36">
        <v>1</v>
      </c>
      <c r="W36" t="s">
        <v>37</v>
      </c>
      <c r="X36">
        <v>3.8</v>
      </c>
      <c r="Y36">
        <v>5</v>
      </c>
      <c r="Z36">
        <v>13</v>
      </c>
    </row>
    <row r="37" spans="1:26">
      <c r="A37" t="s">
        <v>125</v>
      </c>
      <c r="B37" s="21">
        <v>45890</v>
      </c>
      <c r="C37" s="21"/>
      <c r="D37" t="s">
        <v>27</v>
      </c>
      <c r="E37">
        <v>0</v>
      </c>
      <c r="F37" t="s">
        <v>73</v>
      </c>
      <c r="G37" t="s">
        <v>70</v>
      </c>
      <c r="H37" t="s">
        <v>126</v>
      </c>
      <c r="I37" t="s">
        <v>62</v>
      </c>
      <c r="J37" t="s">
        <v>54</v>
      </c>
      <c r="K37">
        <v>26</v>
      </c>
      <c r="L37" t="s">
        <v>33</v>
      </c>
      <c r="M37" t="s">
        <v>34</v>
      </c>
      <c r="N37" t="s">
        <v>35</v>
      </c>
      <c r="O37">
        <v>394000</v>
      </c>
      <c r="P37">
        <v>32833.33</v>
      </c>
      <c r="Q37">
        <v>4</v>
      </c>
      <c r="R37" t="s">
        <v>55</v>
      </c>
      <c r="S37">
        <v>3.8</v>
      </c>
      <c r="T37">
        <v>72</v>
      </c>
      <c r="U37">
        <v>24</v>
      </c>
      <c r="V37">
        <v>1</v>
      </c>
      <c r="W37" t="s">
        <v>37</v>
      </c>
      <c r="X37">
        <v>4.4000000000000004</v>
      </c>
      <c r="Y37">
        <v>4</v>
      </c>
      <c r="Z37">
        <v>6.4</v>
      </c>
    </row>
    <row r="38" spans="1:26">
      <c r="A38" t="s">
        <v>127</v>
      </c>
      <c r="B38" s="21">
        <v>44289</v>
      </c>
      <c r="C38" s="21"/>
      <c r="D38" t="s">
        <v>27</v>
      </c>
      <c r="E38">
        <v>0</v>
      </c>
      <c r="F38" t="s">
        <v>50</v>
      </c>
      <c r="G38" t="s">
        <v>51</v>
      </c>
      <c r="H38" t="s">
        <v>124</v>
      </c>
      <c r="I38" t="s">
        <v>31</v>
      </c>
      <c r="J38" t="s">
        <v>32</v>
      </c>
      <c r="K38">
        <v>35</v>
      </c>
      <c r="L38" t="s">
        <v>33</v>
      </c>
      <c r="M38" t="s">
        <v>58</v>
      </c>
      <c r="N38" t="s">
        <v>93</v>
      </c>
      <c r="O38">
        <v>635000</v>
      </c>
      <c r="P38">
        <v>52916.67</v>
      </c>
      <c r="Q38">
        <v>56</v>
      </c>
      <c r="R38" t="s">
        <v>36</v>
      </c>
      <c r="S38">
        <v>2.4</v>
      </c>
      <c r="T38">
        <v>34</v>
      </c>
      <c r="U38">
        <v>20</v>
      </c>
      <c r="V38">
        <v>3</v>
      </c>
      <c r="W38" t="s">
        <v>37</v>
      </c>
      <c r="X38">
        <v>4.4000000000000004</v>
      </c>
      <c r="Y38">
        <v>2</v>
      </c>
      <c r="Z38">
        <v>10.6</v>
      </c>
    </row>
    <row r="39" spans="1:26">
      <c r="A39" t="s">
        <v>128</v>
      </c>
      <c r="B39" s="21">
        <v>43087</v>
      </c>
      <c r="C39" s="21"/>
      <c r="D39" t="s">
        <v>27</v>
      </c>
      <c r="E39">
        <v>0</v>
      </c>
      <c r="F39" t="s">
        <v>28</v>
      </c>
      <c r="G39" t="s">
        <v>88</v>
      </c>
      <c r="H39" t="s">
        <v>30</v>
      </c>
      <c r="I39" t="s">
        <v>62</v>
      </c>
      <c r="J39" t="s">
        <v>54</v>
      </c>
      <c r="K39">
        <v>33</v>
      </c>
      <c r="L39" t="s">
        <v>42</v>
      </c>
      <c r="M39" t="s">
        <v>34</v>
      </c>
      <c r="N39" t="s">
        <v>93</v>
      </c>
      <c r="O39">
        <v>961000</v>
      </c>
      <c r="P39">
        <v>80083.33</v>
      </c>
      <c r="Q39">
        <v>96</v>
      </c>
      <c r="R39" t="s">
        <v>55</v>
      </c>
      <c r="S39">
        <v>3.7</v>
      </c>
      <c r="T39">
        <v>70</v>
      </c>
      <c r="U39">
        <v>16</v>
      </c>
      <c r="V39">
        <v>3</v>
      </c>
      <c r="W39" t="s">
        <v>37</v>
      </c>
      <c r="X39">
        <v>3.4</v>
      </c>
      <c r="Y39">
        <v>2</v>
      </c>
      <c r="Z39">
        <v>9.1</v>
      </c>
    </row>
    <row r="40" spans="1:26">
      <c r="A40" t="s">
        <v>129</v>
      </c>
      <c r="B40" s="21">
        <v>43403</v>
      </c>
      <c r="C40" s="21"/>
      <c r="D40" t="s">
        <v>27</v>
      </c>
      <c r="E40">
        <v>0</v>
      </c>
      <c r="F40" t="s">
        <v>67</v>
      </c>
      <c r="G40" t="s">
        <v>29</v>
      </c>
      <c r="H40" t="s">
        <v>68</v>
      </c>
      <c r="I40" t="s">
        <v>31</v>
      </c>
      <c r="J40" t="s">
        <v>54</v>
      </c>
      <c r="K40">
        <v>25</v>
      </c>
      <c r="L40" t="s">
        <v>130</v>
      </c>
      <c r="M40" t="s">
        <v>34</v>
      </c>
      <c r="N40" t="s">
        <v>35</v>
      </c>
      <c r="O40">
        <v>354000</v>
      </c>
      <c r="P40">
        <v>29500</v>
      </c>
      <c r="Q40">
        <v>86</v>
      </c>
      <c r="R40" t="s">
        <v>55</v>
      </c>
      <c r="S40">
        <v>5</v>
      </c>
      <c r="T40">
        <v>36</v>
      </c>
      <c r="U40">
        <v>4</v>
      </c>
      <c r="V40">
        <v>7</v>
      </c>
      <c r="W40" t="s">
        <v>37</v>
      </c>
      <c r="X40">
        <v>3</v>
      </c>
      <c r="Y40">
        <v>1</v>
      </c>
      <c r="Z40">
        <v>7.4</v>
      </c>
    </row>
    <row r="41" spans="1:26">
      <c r="A41" t="s">
        <v>131</v>
      </c>
      <c r="B41" s="21">
        <v>42867</v>
      </c>
      <c r="C41" s="21"/>
      <c r="D41" t="s">
        <v>27</v>
      </c>
      <c r="E41">
        <v>0</v>
      </c>
      <c r="F41" t="s">
        <v>73</v>
      </c>
      <c r="G41" t="s">
        <v>88</v>
      </c>
      <c r="H41" t="s">
        <v>74</v>
      </c>
      <c r="I41" t="s">
        <v>53</v>
      </c>
      <c r="J41" t="s">
        <v>32</v>
      </c>
      <c r="K41">
        <v>52</v>
      </c>
      <c r="L41" t="s">
        <v>33</v>
      </c>
      <c r="M41" t="s">
        <v>78</v>
      </c>
      <c r="N41" t="s">
        <v>35</v>
      </c>
      <c r="O41">
        <v>1018000</v>
      </c>
      <c r="P41">
        <v>84833.33</v>
      </c>
      <c r="Q41">
        <v>103</v>
      </c>
      <c r="R41" t="s">
        <v>103</v>
      </c>
      <c r="S41">
        <v>3.7</v>
      </c>
      <c r="T41">
        <v>61</v>
      </c>
      <c r="U41">
        <v>15</v>
      </c>
      <c r="V41">
        <v>0</v>
      </c>
      <c r="W41" t="s">
        <v>37</v>
      </c>
      <c r="X41">
        <v>3.3</v>
      </c>
      <c r="Y41">
        <v>0</v>
      </c>
      <c r="Z41">
        <v>11.3</v>
      </c>
    </row>
    <row r="42" spans="1:26">
      <c r="A42" t="s">
        <v>132</v>
      </c>
      <c r="B42" s="21">
        <v>44627</v>
      </c>
      <c r="C42" s="21"/>
      <c r="D42" t="s">
        <v>27</v>
      </c>
      <c r="E42">
        <v>0</v>
      </c>
      <c r="F42" t="s">
        <v>50</v>
      </c>
      <c r="G42" t="s">
        <v>70</v>
      </c>
      <c r="H42" t="s">
        <v>124</v>
      </c>
      <c r="I42" t="s">
        <v>75</v>
      </c>
      <c r="J42" t="s">
        <v>32</v>
      </c>
      <c r="K42">
        <v>39</v>
      </c>
      <c r="L42" t="s">
        <v>42</v>
      </c>
      <c r="M42" t="s">
        <v>43</v>
      </c>
      <c r="N42" t="s">
        <v>35</v>
      </c>
      <c r="O42">
        <v>565000</v>
      </c>
      <c r="P42">
        <v>47083.33</v>
      </c>
      <c r="Q42">
        <v>45</v>
      </c>
      <c r="R42" t="s">
        <v>103</v>
      </c>
      <c r="S42">
        <v>3.9</v>
      </c>
      <c r="T42">
        <v>19</v>
      </c>
      <c r="U42">
        <v>1</v>
      </c>
      <c r="V42">
        <v>1</v>
      </c>
      <c r="W42" t="s">
        <v>44</v>
      </c>
      <c r="X42">
        <v>3.9</v>
      </c>
      <c r="Y42">
        <v>2</v>
      </c>
      <c r="Z42">
        <v>1</v>
      </c>
    </row>
    <row r="43" spans="1:26">
      <c r="A43" t="s">
        <v>133</v>
      </c>
      <c r="B43" s="21">
        <v>43731</v>
      </c>
      <c r="C43" s="21"/>
      <c r="D43" t="s">
        <v>27</v>
      </c>
      <c r="E43">
        <v>0</v>
      </c>
      <c r="F43" t="s">
        <v>73</v>
      </c>
      <c r="G43" t="s">
        <v>51</v>
      </c>
      <c r="H43" t="s">
        <v>102</v>
      </c>
      <c r="I43" t="s">
        <v>53</v>
      </c>
      <c r="J43" t="s">
        <v>134</v>
      </c>
      <c r="K43">
        <v>31</v>
      </c>
      <c r="L43" t="s">
        <v>42</v>
      </c>
      <c r="M43" t="s">
        <v>43</v>
      </c>
      <c r="N43" t="s">
        <v>35</v>
      </c>
      <c r="O43">
        <v>828000</v>
      </c>
      <c r="P43">
        <v>69000</v>
      </c>
      <c r="Q43">
        <v>75</v>
      </c>
      <c r="R43" t="s">
        <v>55</v>
      </c>
      <c r="S43">
        <v>3.2</v>
      </c>
      <c r="T43">
        <v>4</v>
      </c>
      <c r="U43">
        <v>5</v>
      </c>
      <c r="V43">
        <v>5</v>
      </c>
      <c r="W43" t="s">
        <v>44</v>
      </c>
      <c r="X43">
        <v>3.2</v>
      </c>
      <c r="Y43">
        <v>3</v>
      </c>
      <c r="Z43">
        <v>7.1</v>
      </c>
    </row>
    <row r="44" spans="1:26">
      <c r="A44" t="s">
        <v>135</v>
      </c>
      <c r="B44" s="21">
        <v>43729</v>
      </c>
      <c r="C44" s="21">
        <v>44904</v>
      </c>
      <c r="D44" t="s">
        <v>57</v>
      </c>
      <c r="E44">
        <v>1</v>
      </c>
      <c r="F44" t="s">
        <v>67</v>
      </c>
      <c r="G44" t="s">
        <v>105</v>
      </c>
      <c r="H44" t="s">
        <v>68</v>
      </c>
      <c r="I44" t="s">
        <v>31</v>
      </c>
      <c r="J44" t="s">
        <v>54</v>
      </c>
      <c r="K44">
        <v>58</v>
      </c>
      <c r="L44" t="s">
        <v>33</v>
      </c>
      <c r="M44" t="s">
        <v>43</v>
      </c>
      <c r="N44" t="s">
        <v>35</v>
      </c>
      <c r="O44">
        <v>1948000</v>
      </c>
      <c r="P44">
        <v>162333.32999999999</v>
      </c>
      <c r="Q44">
        <v>39</v>
      </c>
      <c r="R44" t="s">
        <v>55</v>
      </c>
      <c r="S44">
        <v>2.2999999999999998</v>
      </c>
      <c r="T44">
        <v>40</v>
      </c>
      <c r="U44">
        <v>2</v>
      </c>
      <c r="V44">
        <v>6</v>
      </c>
      <c r="W44" t="s">
        <v>37</v>
      </c>
      <c r="X44">
        <v>2.8</v>
      </c>
      <c r="Y44">
        <v>1</v>
      </c>
      <c r="Z44">
        <v>13.7</v>
      </c>
    </row>
    <row r="45" spans="1:26">
      <c r="A45" t="s">
        <v>136</v>
      </c>
      <c r="B45" s="21">
        <v>44368</v>
      </c>
      <c r="C45" s="21"/>
      <c r="D45" t="s">
        <v>27</v>
      </c>
      <c r="E45">
        <v>0</v>
      </c>
      <c r="F45" t="s">
        <v>28</v>
      </c>
      <c r="G45" t="s">
        <v>91</v>
      </c>
      <c r="H45" t="s">
        <v>30</v>
      </c>
      <c r="I45" t="s">
        <v>53</v>
      </c>
      <c r="J45" t="s">
        <v>54</v>
      </c>
      <c r="K45">
        <v>47</v>
      </c>
      <c r="L45" t="s">
        <v>33</v>
      </c>
      <c r="M45" t="s">
        <v>65</v>
      </c>
      <c r="N45" t="s">
        <v>35</v>
      </c>
      <c r="O45">
        <v>1586000</v>
      </c>
      <c r="P45">
        <v>132166.67000000001</v>
      </c>
      <c r="Q45">
        <v>54</v>
      </c>
      <c r="R45" t="s">
        <v>116</v>
      </c>
      <c r="S45">
        <v>3.3</v>
      </c>
      <c r="T45">
        <v>7</v>
      </c>
      <c r="U45">
        <v>22</v>
      </c>
      <c r="V45">
        <v>7</v>
      </c>
      <c r="W45" t="s">
        <v>37</v>
      </c>
      <c r="X45">
        <v>3.7</v>
      </c>
      <c r="Y45">
        <v>0</v>
      </c>
      <c r="Z45">
        <v>2.6</v>
      </c>
    </row>
    <row r="46" spans="1:26">
      <c r="A46" t="s">
        <v>137</v>
      </c>
      <c r="B46" s="21">
        <v>42966</v>
      </c>
      <c r="C46" s="21"/>
      <c r="D46" t="s">
        <v>27</v>
      </c>
      <c r="E46">
        <v>0</v>
      </c>
      <c r="F46" t="s">
        <v>73</v>
      </c>
      <c r="G46" t="s">
        <v>70</v>
      </c>
      <c r="H46" t="s">
        <v>102</v>
      </c>
      <c r="I46" t="s">
        <v>31</v>
      </c>
      <c r="J46" t="s">
        <v>54</v>
      </c>
      <c r="K46">
        <v>37</v>
      </c>
      <c r="L46" t="s">
        <v>33</v>
      </c>
      <c r="M46" t="s">
        <v>65</v>
      </c>
      <c r="N46" t="s">
        <v>35</v>
      </c>
      <c r="O46">
        <v>475000</v>
      </c>
      <c r="P46">
        <v>39583.33</v>
      </c>
      <c r="Q46">
        <v>100</v>
      </c>
      <c r="R46" t="s">
        <v>36</v>
      </c>
      <c r="S46">
        <v>4.3</v>
      </c>
      <c r="T46">
        <v>36</v>
      </c>
      <c r="U46">
        <v>9</v>
      </c>
      <c r="V46">
        <v>2</v>
      </c>
      <c r="W46" t="s">
        <v>44</v>
      </c>
      <c r="X46">
        <v>2.9</v>
      </c>
      <c r="Y46">
        <v>3</v>
      </c>
      <c r="Z46">
        <v>15.1</v>
      </c>
    </row>
    <row r="47" spans="1:26">
      <c r="A47" t="s">
        <v>138</v>
      </c>
      <c r="B47" s="21">
        <v>44179</v>
      </c>
      <c r="C47" s="21">
        <v>45050</v>
      </c>
      <c r="D47" t="s">
        <v>57</v>
      </c>
      <c r="E47">
        <v>1</v>
      </c>
      <c r="F47" t="s">
        <v>98</v>
      </c>
      <c r="G47" t="s">
        <v>29</v>
      </c>
      <c r="H47" t="s">
        <v>106</v>
      </c>
      <c r="I47" t="s">
        <v>31</v>
      </c>
      <c r="J47" t="s">
        <v>54</v>
      </c>
      <c r="K47">
        <v>53</v>
      </c>
      <c r="L47" t="s">
        <v>82</v>
      </c>
      <c r="M47" t="s">
        <v>43</v>
      </c>
      <c r="N47" t="s">
        <v>35</v>
      </c>
      <c r="O47">
        <v>556000</v>
      </c>
      <c r="P47">
        <v>46333.33</v>
      </c>
      <c r="Q47">
        <v>29</v>
      </c>
      <c r="R47" t="s">
        <v>36</v>
      </c>
      <c r="S47">
        <v>2.7</v>
      </c>
      <c r="T47">
        <v>72</v>
      </c>
      <c r="U47">
        <v>5</v>
      </c>
      <c r="V47">
        <v>14</v>
      </c>
      <c r="W47" t="s">
        <v>37</v>
      </c>
      <c r="X47">
        <v>2.8</v>
      </c>
      <c r="Y47">
        <v>3</v>
      </c>
      <c r="Z47">
        <v>30.8</v>
      </c>
    </row>
    <row r="48" spans="1:26">
      <c r="A48" t="s">
        <v>139</v>
      </c>
      <c r="B48" s="21">
        <v>42570</v>
      </c>
      <c r="C48" s="21"/>
      <c r="D48" t="s">
        <v>27</v>
      </c>
      <c r="E48">
        <v>0</v>
      </c>
      <c r="F48" t="s">
        <v>60</v>
      </c>
      <c r="G48" t="s">
        <v>88</v>
      </c>
      <c r="H48" t="s">
        <v>61</v>
      </c>
      <c r="I48" t="s">
        <v>31</v>
      </c>
      <c r="J48" t="s">
        <v>32</v>
      </c>
      <c r="K48">
        <v>52</v>
      </c>
      <c r="L48" t="s">
        <v>33</v>
      </c>
      <c r="M48" t="s">
        <v>65</v>
      </c>
      <c r="N48" t="s">
        <v>35</v>
      </c>
      <c r="O48">
        <v>1254000</v>
      </c>
      <c r="P48">
        <v>104500</v>
      </c>
      <c r="Q48">
        <v>113</v>
      </c>
      <c r="R48" t="s">
        <v>36</v>
      </c>
      <c r="S48">
        <v>2.8</v>
      </c>
      <c r="T48">
        <v>5</v>
      </c>
      <c r="U48">
        <v>20</v>
      </c>
      <c r="V48">
        <v>0</v>
      </c>
      <c r="W48" t="s">
        <v>37</v>
      </c>
      <c r="X48">
        <v>3.9</v>
      </c>
      <c r="Y48">
        <v>1</v>
      </c>
      <c r="Z48">
        <v>5</v>
      </c>
    </row>
    <row r="49" spans="1:26">
      <c r="A49" t="s">
        <v>140</v>
      </c>
      <c r="B49" s="21">
        <v>44743</v>
      </c>
      <c r="C49" s="21"/>
      <c r="D49" t="s">
        <v>27</v>
      </c>
      <c r="E49">
        <v>0</v>
      </c>
      <c r="F49" t="s">
        <v>73</v>
      </c>
      <c r="G49" t="s">
        <v>51</v>
      </c>
      <c r="H49" t="s">
        <v>74</v>
      </c>
      <c r="I49" t="s">
        <v>75</v>
      </c>
      <c r="J49" t="s">
        <v>32</v>
      </c>
      <c r="K49">
        <v>37</v>
      </c>
      <c r="L49" t="s">
        <v>96</v>
      </c>
      <c r="M49" t="s">
        <v>58</v>
      </c>
      <c r="N49" t="s">
        <v>35</v>
      </c>
      <c r="O49">
        <v>925000</v>
      </c>
      <c r="P49">
        <v>77083.33</v>
      </c>
      <c r="Q49">
        <v>41</v>
      </c>
      <c r="R49" t="s">
        <v>36</v>
      </c>
      <c r="S49">
        <v>3.8</v>
      </c>
      <c r="T49">
        <v>43</v>
      </c>
      <c r="U49">
        <v>17</v>
      </c>
      <c r="V49">
        <v>3</v>
      </c>
      <c r="W49" t="s">
        <v>37</v>
      </c>
      <c r="X49">
        <v>4</v>
      </c>
      <c r="Y49">
        <v>2</v>
      </c>
      <c r="Z49">
        <v>1</v>
      </c>
    </row>
    <row r="50" spans="1:26">
      <c r="A50" t="s">
        <v>141</v>
      </c>
      <c r="B50" s="21">
        <v>42678</v>
      </c>
      <c r="C50" s="21">
        <v>43274</v>
      </c>
      <c r="D50" t="s">
        <v>57</v>
      </c>
      <c r="E50">
        <v>1</v>
      </c>
      <c r="F50" t="s">
        <v>60</v>
      </c>
      <c r="G50" t="s">
        <v>51</v>
      </c>
      <c r="H50" t="s">
        <v>61</v>
      </c>
      <c r="I50" t="s">
        <v>31</v>
      </c>
      <c r="J50" t="s">
        <v>32</v>
      </c>
      <c r="K50">
        <v>51</v>
      </c>
      <c r="L50" t="s">
        <v>33</v>
      </c>
      <c r="M50" t="s">
        <v>40</v>
      </c>
      <c r="N50" t="s">
        <v>93</v>
      </c>
      <c r="O50">
        <v>888000</v>
      </c>
      <c r="P50">
        <v>74000</v>
      </c>
      <c r="Q50">
        <v>19</v>
      </c>
      <c r="R50" t="s">
        <v>116</v>
      </c>
      <c r="S50">
        <v>5</v>
      </c>
      <c r="T50">
        <v>13</v>
      </c>
      <c r="U50">
        <v>20</v>
      </c>
      <c r="V50">
        <v>0</v>
      </c>
      <c r="W50" t="s">
        <v>37</v>
      </c>
      <c r="X50">
        <v>3.9</v>
      </c>
      <c r="Y50">
        <v>3</v>
      </c>
      <c r="Z50">
        <v>3.6</v>
      </c>
    </row>
    <row r="51" spans="1:26">
      <c r="A51" t="s">
        <v>142</v>
      </c>
      <c r="B51" s="21">
        <v>44907</v>
      </c>
      <c r="C51" s="21"/>
      <c r="D51" t="s">
        <v>27</v>
      </c>
      <c r="E51">
        <v>0</v>
      </c>
      <c r="F51" t="s">
        <v>98</v>
      </c>
      <c r="G51" t="s">
        <v>51</v>
      </c>
      <c r="H51" t="s">
        <v>99</v>
      </c>
      <c r="I51" t="s">
        <v>75</v>
      </c>
      <c r="J51" t="s">
        <v>134</v>
      </c>
      <c r="K51">
        <v>46</v>
      </c>
      <c r="L51" t="s">
        <v>33</v>
      </c>
      <c r="M51" t="s">
        <v>34</v>
      </c>
      <c r="N51" t="s">
        <v>35</v>
      </c>
      <c r="O51">
        <v>724000</v>
      </c>
      <c r="P51">
        <v>60333.33</v>
      </c>
      <c r="Q51">
        <v>36</v>
      </c>
      <c r="R51" t="s">
        <v>55</v>
      </c>
      <c r="S51">
        <v>2.8</v>
      </c>
      <c r="T51">
        <v>49</v>
      </c>
      <c r="U51">
        <v>16</v>
      </c>
      <c r="V51">
        <v>3</v>
      </c>
      <c r="W51" t="s">
        <v>44</v>
      </c>
      <c r="X51">
        <v>4.2</v>
      </c>
      <c r="Y51">
        <v>3</v>
      </c>
      <c r="Z51">
        <v>6.3</v>
      </c>
    </row>
    <row r="52" spans="1:26">
      <c r="A52" t="s">
        <v>143</v>
      </c>
      <c r="B52" s="21">
        <v>45413</v>
      </c>
      <c r="C52" s="21">
        <v>45882</v>
      </c>
      <c r="D52" t="s">
        <v>57</v>
      </c>
      <c r="E52">
        <v>1</v>
      </c>
      <c r="F52" t="s">
        <v>73</v>
      </c>
      <c r="G52" t="s">
        <v>88</v>
      </c>
      <c r="H52" t="s">
        <v>102</v>
      </c>
      <c r="I52" t="s">
        <v>62</v>
      </c>
      <c r="J52" t="s">
        <v>32</v>
      </c>
      <c r="K52">
        <v>40</v>
      </c>
      <c r="L52" t="s">
        <v>33</v>
      </c>
      <c r="M52" t="s">
        <v>43</v>
      </c>
      <c r="N52" t="s">
        <v>35</v>
      </c>
      <c r="O52">
        <v>970000</v>
      </c>
      <c r="P52">
        <v>80833.33</v>
      </c>
      <c r="Q52">
        <v>15</v>
      </c>
      <c r="R52" t="s">
        <v>55</v>
      </c>
      <c r="S52">
        <v>2.6</v>
      </c>
      <c r="T52">
        <v>45</v>
      </c>
      <c r="U52">
        <v>1</v>
      </c>
      <c r="V52">
        <v>1</v>
      </c>
      <c r="W52" t="s">
        <v>37</v>
      </c>
      <c r="X52">
        <v>4.2</v>
      </c>
      <c r="Y52">
        <v>2</v>
      </c>
      <c r="Z52">
        <v>1.8</v>
      </c>
    </row>
    <row r="53" spans="1:26">
      <c r="A53" t="s">
        <v>144</v>
      </c>
      <c r="B53" s="21">
        <v>42870</v>
      </c>
      <c r="C53" s="21"/>
      <c r="D53" t="s">
        <v>27</v>
      </c>
      <c r="E53">
        <v>0</v>
      </c>
      <c r="F53" t="s">
        <v>67</v>
      </c>
      <c r="G53" t="s">
        <v>70</v>
      </c>
      <c r="H53" t="s">
        <v>95</v>
      </c>
      <c r="I53" t="s">
        <v>48</v>
      </c>
      <c r="J53" t="s">
        <v>54</v>
      </c>
      <c r="K53">
        <v>49</v>
      </c>
      <c r="L53" t="s">
        <v>42</v>
      </c>
      <c r="M53" t="s">
        <v>34</v>
      </c>
      <c r="N53" t="s">
        <v>35</v>
      </c>
      <c r="O53">
        <v>578000</v>
      </c>
      <c r="P53">
        <v>48166.67</v>
      </c>
      <c r="Q53">
        <v>103</v>
      </c>
      <c r="R53" t="s">
        <v>116</v>
      </c>
      <c r="S53">
        <v>3</v>
      </c>
      <c r="T53">
        <v>76</v>
      </c>
      <c r="U53">
        <v>16</v>
      </c>
      <c r="V53">
        <v>6</v>
      </c>
      <c r="W53" t="s">
        <v>37</v>
      </c>
      <c r="X53">
        <v>4.3</v>
      </c>
      <c r="Y53">
        <v>1</v>
      </c>
      <c r="Z53">
        <v>10.7</v>
      </c>
    </row>
    <row r="54" spans="1:26">
      <c r="A54" t="s">
        <v>145</v>
      </c>
      <c r="B54" s="21">
        <v>42962</v>
      </c>
      <c r="C54" s="21"/>
      <c r="D54" t="s">
        <v>27</v>
      </c>
      <c r="E54">
        <v>0</v>
      </c>
      <c r="F54" t="s">
        <v>67</v>
      </c>
      <c r="G54" t="s">
        <v>88</v>
      </c>
      <c r="H54" t="s">
        <v>80</v>
      </c>
      <c r="I54" t="s">
        <v>62</v>
      </c>
      <c r="J54" t="s">
        <v>32</v>
      </c>
      <c r="K54">
        <v>51</v>
      </c>
      <c r="L54" t="s">
        <v>33</v>
      </c>
      <c r="M54" t="s">
        <v>78</v>
      </c>
      <c r="N54" t="s">
        <v>35</v>
      </c>
      <c r="O54">
        <v>1034000</v>
      </c>
      <c r="P54">
        <v>86166.67</v>
      </c>
      <c r="Q54">
        <v>100</v>
      </c>
      <c r="R54" t="s">
        <v>36</v>
      </c>
      <c r="S54">
        <v>3.4</v>
      </c>
      <c r="T54">
        <v>46</v>
      </c>
      <c r="U54">
        <v>13</v>
      </c>
      <c r="V54">
        <v>3</v>
      </c>
      <c r="W54" t="s">
        <v>37</v>
      </c>
      <c r="X54">
        <v>2.9</v>
      </c>
      <c r="Y54">
        <v>4</v>
      </c>
      <c r="Z54">
        <v>17.2</v>
      </c>
    </row>
    <row r="55" spans="1:26">
      <c r="A55" t="s">
        <v>146</v>
      </c>
      <c r="B55" s="21">
        <v>44433</v>
      </c>
      <c r="C55" s="21"/>
      <c r="D55" t="s">
        <v>27</v>
      </c>
      <c r="E55">
        <v>0</v>
      </c>
      <c r="F55" t="s">
        <v>28</v>
      </c>
      <c r="G55" t="s">
        <v>29</v>
      </c>
      <c r="H55" t="s">
        <v>30</v>
      </c>
      <c r="I55" t="s">
        <v>53</v>
      </c>
      <c r="J55" t="s">
        <v>32</v>
      </c>
      <c r="K55">
        <v>35</v>
      </c>
      <c r="L55" t="s">
        <v>33</v>
      </c>
      <c r="M55" t="s">
        <v>40</v>
      </c>
      <c r="N55" t="s">
        <v>35</v>
      </c>
      <c r="O55">
        <v>398000</v>
      </c>
      <c r="P55">
        <v>33166.67</v>
      </c>
      <c r="Q55">
        <v>52</v>
      </c>
      <c r="R55" t="s">
        <v>36</v>
      </c>
      <c r="S55">
        <v>4.5999999999999996</v>
      </c>
      <c r="T55">
        <v>18</v>
      </c>
      <c r="U55">
        <v>9</v>
      </c>
      <c r="V55">
        <v>0</v>
      </c>
      <c r="W55" t="s">
        <v>37</v>
      </c>
      <c r="X55">
        <v>3.6</v>
      </c>
      <c r="Y55">
        <v>3</v>
      </c>
      <c r="Z55">
        <v>7.8</v>
      </c>
    </row>
    <row r="56" spans="1:26">
      <c r="A56" t="s">
        <v>147</v>
      </c>
      <c r="B56" s="21">
        <v>44963</v>
      </c>
      <c r="C56" s="21"/>
      <c r="D56" t="s">
        <v>27</v>
      </c>
      <c r="E56">
        <v>0</v>
      </c>
      <c r="F56" t="s">
        <v>67</v>
      </c>
      <c r="G56" t="s">
        <v>70</v>
      </c>
      <c r="H56" t="s">
        <v>95</v>
      </c>
      <c r="I56" t="s">
        <v>53</v>
      </c>
      <c r="J56" t="s">
        <v>54</v>
      </c>
      <c r="K56">
        <v>27</v>
      </c>
      <c r="L56" t="s">
        <v>33</v>
      </c>
      <c r="M56" t="s">
        <v>34</v>
      </c>
      <c r="N56" t="s">
        <v>35</v>
      </c>
      <c r="O56">
        <v>505000</v>
      </c>
      <c r="P56">
        <v>42083.33</v>
      </c>
      <c r="Q56">
        <v>34</v>
      </c>
      <c r="R56" t="s">
        <v>36</v>
      </c>
      <c r="S56">
        <v>2.9</v>
      </c>
      <c r="T56">
        <v>53</v>
      </c>
      <c r="U56">
        <v>4</v>
      </c>
      <c r="V56">
        <v>8</v>
      </c>
      <c r="W56" t="s">
        <v>37</v>
      </c>
      <c r="X56">
        <v>2.6</v>
      </c>
      <c r="Y56">
        <v>0</v>
      </c>
      <c r="Z56">
        <v>13.5</v>
      </c>
    </row>
    <row r="57" spans="1:26">
      <c r="A57" t="s">
        <v>148</v>
      </c>
      <c r="B57" s="21">
        <v>43650</v>
      </c>
      <c r="C57" s="21"/>
      <c r="D57" t="s">
        <v>27</v>
      </c>
      <c r="E57">
        <v>0</v>
      </c>
      <c r="F57" t="s">
        <v>98</v>
      </c>
      <c r="G57" t="s">
        <v>70</v>
      </c>
      <c r="H57" t="s">
        <v>99</v>
      </c>
      <c r="I57" t="s">
        <v>48</v>
      </c>
      <c r="J57" t="s">
        <v>149</v>
      </c>
      <c r="K57">
        <v>33</v>
      </c>
      <c r="L57" t="s">
        <v>33</v>
      </c>
      <c r="M57" t="s">
        <v>43</v>
      </c>
      <c r="N57" t="s">
        <v>35</v>
      </c>
      <c r="O57">
        <v>442000</v>
      </c>
      <c r="P57">
        <v>36833.33</v>
      </c>
      <c r="Q57">
        <v>77</v>
      </c>
      <c r="R57" t="s">
        <v>55</v>
      </c>
      <c r="S57">
        <v>2.8</v>
      </c>
      <c r="T57">
        <v>54</v>
      </c>
      <c r="U57">
        <v>22</v>
      </c>
      <c r="V57">
        <v>12</v>
      </c>
      <c r="W57" t="s">
        <v>44</v>
      </c>
      <c r="X57">
        <v>4</v>
      </c>
      <c r="Y57">
        <v>5</v>
      </c>
      <c r="Z57">
        <v>10.5</v>
      </c>
    </row>
    <row r="58" spans="1:26">
      <c r="A58" t="s">
        <v>150</v>
      </c>
      <c r="B58" s="21">
        <v>43548</v>
      </c>
      <c r="C58" s="21"/>
      <c r="D58" t="s">
        <v>27</v>
      </c>
      <c r="E58">
        <v>0</v>
      </c>
      <c r="F58" t="s">
        <v>60</v>
      </c>
      <c r="G58" t="s">
        <v>88</v>
      </c>
      <c r="H58" t="s">
        <v>112</v>
      </c>
      <c r="I58" t="s">
        <v>53</v>
      </c>
      <c r="J58" t="s">
        <v>32</v>
      </c>
      <c r="K58">
        <v>37</v>
      </c>
      <c r="L58" t="s">
        <v>82</v>
      </c>
      <c r="M58" t="s">
        <v>40</v>
      </c>
      <c r="N58" t="s">
        <v>35</v>
      </c>
      <c r="O58">
        <v>973000</v>
      </c>
      <c r="P58">
        <v>81083.33</v>
      </c>
      <c r="Q58">
        <v>81</v>
      </c>
      <c r="R58" t="s">
        <v>36</v>
      </c>
      <c r="S58">
        <v>3.1</v>
      </c>
      <c r="T58">
        <v>71</v>
      </c>
      <c r="U58">
        <v>7</v>
      </c>
      <c r="V58">
        <v>3</v>
      </c>
      <c r="W58" t="s">
        <v>37</v>
      </c>
      <c r="X58">
        <v>4.8</v>
      </c>
      <c r="Y58">
        <v>2</v>
      </c>
      <c r="Z58">
        <v>16.3</v>
      </c>
    </row>
    <row r="59" spans="1:26">
      <c r="A59" t="s">
        <v>151</v>
      </c>
      <c r="B59" s="21">
        <v>45767</v>
      </c>
      <c r="C59" s="21"/>
      <c r="D59" t="s">
        <v>27</v>
      </c>
      <c r="E59">
        <v>0</v>
      </c>
      <c r="F59" t="s">
        <v>67</v>
      </c>
      <c r="G59" t="s">
        <v>91</v>
      </c>
      <c r="H59" t="s">
        <v>80</v>
      </c>
      <c r="I59" t="s">
        <v>41</v>
      </c>
      <c r="J59" t="s">
        <v>32</v>
      </c>
      <c r="K59">
        <v>45</v>
      </c>
      <c r="L59" t="s">
        <v>33</v>
      </c>
      <c r="M59" t="s">
        <v>34</v>
      </c>
      <c r="N59" t="s">
        <v>35</v>
      </c>
      <c r="O59">
        <v>1257000</v>
      </c>
      <c r="P59">
        <v>104750</v>
      </c>
      <c r="Q59">
        <v>8</v>
      </c>
      <c r="R59" t="s">
        <v>36</v>
      </c>
      <c r="S59">
        <v>3.3</v>
      </c>
      <c r="T59">
        <v>47</v>
      </c>
      <c r="U59">
        <v>10</v>
      </c>
      <c r="V59">
        <v>11</v>
      </c>
      <c r="W59" t="s">
        <v>37</v>
      </c>
      <c r="X59">
        <v>3.9</v>
      </c>
      <c r="Y59">
        <v>5</v>
      </c>
      <c r="Z59">
        <v>12</v>
      </c>
    </row>
    <row r="60" spans="1:26">
      <c r="A60" t="s">
        <v>152</v>
      </c>
      <c r="B60" s="21">
        <v>44694</v>
      </c>
      <c r="C60" s="21"/>
      <c r="D60" t="s">
        <v>27</v>
      </c>
      <c r="E60">
        <v>0</v>
      </c>
      <c r="F60" t="s">
        <v>73</v>
      </c>
      <c r="G60" t="s">
        <v>70</v>
      </c>
      <c r="H60" t="s">
        <v>118</v>
      </c>
      <c r="I60" t="s">
        <v>75</v>
      </c>
      <c r="J60" t="s">
        <v>54</v>
      </c>
      <c r="K60">
        <v>25</v>
      </c>
      <c r="L60" t="s">
        <v>33</v>
      </c>
      <c r="M60" t="s">
        <v>43</v>
      </c>
      <c r="N60" t="s">
        <v>35</v>
      </c>
      <c r="O60">
        <v>412000</v>
      </c>
      <c r="P60">
        <v>34333.33</v>
      </c>
      <c r="Q60">
        <v>43</v>
      </c>
      <c r="R60" t="s">
        <v>36</v>
      </c>
      <c r="S60">
        <v>2.6</v>
      </c>
      <c r="T60">
        <v>39</v>
      </c>
      <c r="U60">
        <v>19</v>
      </c>
      <c r="V60">
        <v>10</v>
      </c>
      <c r="W60" t="s">
        <v>44</v>
      </c>
      <c r="X60">
        <v>3</v>
      </c>
      <c r="Y60">
        <v>4</v>
      </c>
      <c r="Z60">
        <v>11.2</v>
      </c>
    </row>
    <row r="61" spans="1:26">
      <c r="A61" t="s">
        <v>153</v>
      </c>
      <c r="B61" s="21">
        <v>44824</v>
      </c>
      <c r="C61" s="21"/>
      <c r="D61" t="s">
        <v>27</v>
      </c>
      <c r="E61">
        <v>0</v>
      </c>
      <c r="F61" t="s">
        <v>67</v>
      </c>
      <c r="G61" t="s">
        <v>51</v>
      </c>
      <c r="H61" t="s">
        <v>95</v>
      </c>
      <c r="I61" t="s">
        <v>48</v>
      </c>
      <c r="J61" t="s">
        <v>32</v>
      </c>
      <c r="K61">
        <v>44</v>
      </c>
      <c r="L61" t="s">
        <v>42</v>
      </c>
      <c r="M61" t="s">
        <v>34</v>
      </c>
      <c r="N61" t="s">
        <v>35</v>
      </c>
      <c r="O61">
        <v>813000</v>
      </c>
      <c r="P61">
        <v>67750</v>
      </c>
      <c r="Q61">
        <v>39</v>
      </c>
      <c r="R61" t="s">
        <v>36</v>
      </c>
      <c r="S61">
        <v>3.7</v>
      </c>
      <c r="T61">
        <v>5</v>
      </c>
      <c r="U61">
        <v>24</v>
      </c>
      <c r="V61">
        <v>2</v>
      </c>
      <c r="W61" t="s">
        <v>37</v>
      </c>
      <c r="X61">
        <v>4.3</v>
      </c>
      <c r="Y61">
        <v>3</v>
      </c>
      <c r="Z61">
        <v>13.8</v>
      </c>
    </row>
    <row r="62" spans="1:26">
      <c r="A62" t="s">
        <v>154</v>
      </c>
      <c r="B62" s="21">
        <v>42688</v>
      </c>
      <c r="C62" s="21"/>
      <c r="D62" t="s">
        <v>27</v>
      </c>
      <c r="E62">
        <v>0</v>
      </c>
      <c r="F62" t="s">
        <v>73</v>
      </c>
      <c r="G62" t="s">
        <v>51</v>
      </c>
      <c r="H62" t="s">
        <v>126</v>
      </c>
      <c r="I62" t="s">
        <v>41</v>
      </c>
      <c r="J62" t="s">
        <v>54</v>
      </c>
      <c r="K62">
        <v>45</v>
      </c>
      <c r="L62" t="s">
        <v>33</v>
      </c>
      <c r="M62" t="s">
        <v>34</v>
      </c>
      <c r="N62" t="s">
        <v>35</v>
      </c>
      <c r="O62">
        <v>916000</v>
      </c>
      <c r="P62">
        <v>76333.33</v>
      </c>
      <c r="Q62">
        <v>109</v>
      </c>
      <c r="R62" t="s">
        <v>36</v>
      </c>
      <c r="S62">
        <v>2.7</v>
      </c>
      <c r="T62">
        <v>10</v>
      </c>
      <c r="U62">
        <v>0</v>
      </c>
      <c r="V62">
        <v>2</v>
      </c>
      <c r="W62" t="s">
        <v>37</v>
      </c>
      <c r="X62">
        <v>4.3</v>
      </c>
      <c r="Y62">
        <v>4</v>
      </c>
      <c r="Z62">
        <v>9.6999999999999993</v>
      </c>
    </row>
    <row r="63" spans="1:26">
      <c r="A63" t="s">
        <v>155</v>
      </c>
      <c r="B63" s="21">
        <v>43760</v>
      </c>
      <c r="C63" s="21"/>
      <c r="D63" t="s">
        <v>27</v>
      </c>
      <c r="E63">
        <v>0</v>
      </c>
      <c r="F63" t="s">
        <v>73</v>
      </c>
      <c r="G63" t="s">
        <v>70</v>
      </c>
      <c r="H63" t="s">
        <v>74</v>
      </c>
      <c r="I63" t="s">
        <v>75</v>
      </c>
      <c r="J63" t="s">
        <v>54</v>
      </c>
      <c r="K63">
        <v>39</v>
      </c>
      <c r="L63" t="s">
        <v>33</v>
      </c>
      <c r="M63" t="s">
        <v>40</v>
      </c>
      <c r="N63" t="s">
        <v>35</v>
      </c>
      <c r="O63">
        <v>509000</v>
      </c>
      <c r="P63">
        <v>42416.67</v>
      </c>
      <c r="Q63">
        <v>74</v>
      </c>
      <c r="R63" t="s">
        <v>36</v>
      </c>
      <c r="S63">
        <v>4.9000000000000004</v>
      </c>
      <c r="T63">
        <v>22</v>
      </c>
      <c r="U63">
        <v>22</v>
      </c>
      <c r="V63">
        <v>7</v>
      </c>
      <c r="W63" t="s">
        <v>37</v>
      </c>
      <c r="X63">
        <v>3.8</v>
      </c>
      <c r="Y63">
        <v>5</v>
      </c>
      <c r="Z63">
        <v>3.5</v>
      </c>
    </row>
    <row r="64" spans="1:26">
      <c r="A64" t="s">
        <v>156</v>
      </c>
      <c r="B64" s="21">
        <v>44270</v>
      </c>
      <c r="C64" s="21"/>
      <c r="D64" t="s">
        <v>27</v>
      </c>
      <c r="E64">
        <v>0</v>
      </c>
      <c r="F64" t="s">
        <v>50</v>
      </c>
      <c r="G64" t="s">
        <v>51</v>
      </c>
      <c r="H64" t="s">
        <v>89</v>
      </c>
      <c r="I64" t="s">
        <v>53</v>
      </c>
      <c r="J64" t="s">
        <v>32</v>
      </c>
      <c r="K64">
        <v>40</v>
      </c>
      <c r="L64" t="s">
        <v>42</v>
      </c>
      <c r="M64" t="s">
        <v>43</v>
      </c>
      <c r="N64" t="s">
        <v>35</v>
      </c>
      <c r="O64">
        <v>801000</v>
      </c>
      <c r="P64">
        <v>66750</v>
      </c>
      <c r="Q64">
        <v>57</v>
      </c>
      <c r="R64" t="s">
        <v>55</v>
      </c>
      <c r="S64">
        <v>2.1</v>
      </c>
      <c r="T64">
        <v>9</v>
      </c>
      <c r="U64">
        <v>0</v>
      </c>
      <c r="V64">
        <v>7</v>
      </c>
      <c r="W64" t="s">
        <v>37</v>
      </c>
      <c r="X64">
        <v>2.7</v>
      </c>
      <c r="Y64">
        <v>5</v>
      </c>
      <c r="Z64">
        <v>1</v>
      </c>
    </row>
    <row r="65" spans="1:26">
      <c r="A65" t="s">
        <v>157</v>
      </c>
      <c r="B65" s="21">
        <v>42603</v>
      </c>
      <c r="C65" s="21"/>
      <c r="D65" t="s">
        <v>27</v>
      </c>
      <c r="E65">
        <v>0</v>
      </c>
      <c r="F65" t="s">
        <v>73</v>
      </c>
      <c r="G65" t="s">
        <v>51</v>
      </c>
      <c r="H65" t="s">
        <v>74</v>
      </c>
      <c r="I65" t="s">
        <v>75</v>
      </c>
      <c r="J65" t="s">
        <v>32</v>
      </c>
      <c r="K65">
        <v>36</v>
      </c>
      <c r="L65" t="s">
        <v>33</v>
      </c>
      <c r="M65" t="s">
        <v>58</v>
      </c>
      <c r="N65" t="s">
        <v>35</v>
      </c>
      <c r="O65">
        <v>774000</v>
      </c>
      <c r="P65">
        <v>64500</v>
      </c>
      <c r="Q65">
        <v>112</v>
      </c>
      <c r="R65" t="s">
        <v>36</v>
      </c>
      <c r="S65">
        <v>4</v>
      </c>
      <c r="T65">
        <v>43</v>
      </c>
      <c r="U65">
        <v>0</v>
      </c>
      <c r="V65">
        <v>0</v>
      </c>
      <c r="W65" t="s">
        <v>44</v>
      </c>
      <c r="X65">
        <v>3</v>
      </c>
      <c r="Y65">
        <v>5</v>
      </c>
      <c r="Z65">
        <v>14.2</v>
      </c>
    </row>
    <row r="66" spans="1:26">
      <c r="A66" t="s">
        <v>158</v>
      </c>
      <c r="B66" s="21">
        <v>45016</v>
      </c>
      <c r="C66" s="21"/>
      <c r="D66" t="s">
        <v>27</v>
      </c>
      <c r="E66">
        <v>0</v>
      </c>
      <c r="F66" t="s">
        <v>50</v>
      </c>
      <c r="G66" t="s">
        <v>29</v>
      </c>
      <c r="H66" t="s">
        <v>124</v>
      </c>
      <c r="I66" t="s">
        <v>31</v>
      </c>
      <c r="J66" t="s">
        <v>32</v>
      </c>
      <c r="K66">
        <v>36</v>
      </c>
      <c r="L66" t="s">
        <v>130</v>
      </c>
      <c r="M66" t="s">
        <v>65</v>
      </c>
      <c r="N66" t="s">
        <v>35</v>
      </c>
      <c r="O66">
        <v>445000</v>
      </c>
      <c r="P66">
        <v>37083.33</v>
      </c>
      <c r="Q66">
        <v>33</v>
      </c>
      <c r="R66" t="s">
        <v>36</v>
      </c>
      <c r="S66">
        <v>4</v>
      </c>
      <c r="T66">
        <v>36</v>
      </c>
      <c r="U66">
        <v>4</v>
      </c>
      <c r="V66">
        <v>6</v>
      </c>
      <c r="W66" t="s">
        <v>37</v>
      </c>
      <c r="X66">
        <v>3.3</v>
      </c>
      <c r="Y66">
        <v>3</v>
      </c>
      <c r="Z66">
        <v>12.5</v>
      </c>
    </row>
    <row r="67" spans="1:26">
      <c r="A67" t="s">
        <v>159</v>
      </c>
      <c r="B67" s="21">
        <v>44838</v>
      </c>
      <c r="C67" s="21"/>
      <c r="D67" t="s">
        <v>27</v>
      </c>
      <c r="E67">
        <v>0</v>
      </c>
      <c r="F67" t="s">
        <v>46</v>
      </c>
      <c r="G67" t="s">
        <v>88</v>
      </c>
      <c r="H67" t="s">
        <v>71</v>
      </c>
      <c r="I67" t="s">
        <v>31</v>
      </c>
      <c r="J67" t="s">
        <v>32</v>
      </c>
      <c r="K67">
        <v>47</v>
      </c>
      <c r="L67" t="s">
        <v>42</v>
      </c>
      <c r="M67" t="s">
        <v>43</v>
      </c>
      <c r="N67" t="s">
        <v>35</v>
      </c>
      <c r="O67">
        <v>966000</v>
      </c>
      <c r="P67">
        <v>80500</v>
      </c>
      <c r="Q67">
        <v>38</v>
      </c>
      <c r="R67" t="s">
        <v>116</v>
      </c>
      <c r="S67">
        <v>3</v>
      </c>
      <c r="T67">
        <v>67</v>
      </c>
      <c r="U67">
        <v>8</v>
      </c>
      <c r="V67">
        <v>3</v>
      </c>
      <c r="W67" t="s">
        <v>37</v>
      </c>
      <c r="X67">
        <v>3.5</v>
      </c>
      <c r="Y67">
        <v>4</v>
      </c>
      <c r="Z67">
        <v>3.3</v>
      </c>
    </row>
    <row r="68" spans="1:26">
      <c r="A68" t="s">
        <v>160</v>
      </c>
      <c r="B68" s="21">
        <v>44452</v>
      </c>
      <c r="C68" s="21"/>
      <c r="D68" t="s">
        <v>27</v>
      </c>
      <c r="E68">
        <v>0</v>
      </c>
      <c r="F68" t="s">
        <v>67</v>
      </c>
      <c r="G68" t="s">
        <v>88</v>
      </c>
      <c r="H68" t="s">
        <v>80</v>
      </c>
      <c r="I68" t="s">
        <v>31</v>
      </c>
      <c r="J68" t="s">
        <v>54</v>
      </c>
      <c r="K68">
        <v>38</v>
      </c>
      <c r="L68" t="s">
        <v>42</v>
      </c>
      <c r="M68" t="s">
        <v>65</v>
      </c>
      <c r="N68" t="s">
        <v>35</v>
      </c>
      <c r="O68">
        <v>1195000</v>
      </c>
      <c r="P68">
        <v>99583.33</v>
      </c>
      <c r="Q68">
        <v>51</v>
      </c>
      <c r="R68" t="s">
        <v>36</v>
      </c>
      <c r="S68">
        <v>4.0999999999999996</v>
      </c>
      <c r="T68">
        <v>20</v>
      </c>
      <c r="U68">
        <v>14</v>
      </c>
      <c r="V68">
        <v>7</v>
      </c>
      <c r="W68" t="s">
        <v>37</v>
      </c>
      <c r="X68">
        <v>3.8</v>
      </c>
      <c r="Y68">
        <v>0</v>
      </c>
      <c r="Z68">
        <v>12.2</v>
      </c>
    </row>
    <row r="69" spans="1:26">
      <c r="A69" t="s">
        <v>161</v>
      </c>
      <c r="B69" s="21">
        <v>44928</v>
      </c>
      <c r="C69" s="21"/>
      <c r="D69" t="s">
        <v>27</v>
      </c>
      <c r="E69">
        <v>0</v>
      </c>
      <c r="F69" t="s">
        <v>46</v>
      </c>
      <c r="G69" t="s">
        <v>88</v>
      </c>
      <c r="H69" t="s">
        <v>162</v>
      </c>
      <c r="I69" t="s">
        <v>75</v>
      </c>
      <c r="J69" t="s">
        <v>149</v>
      </c>
      <c r="K69">
        <v>44</v>
      </c>
      <c r="L69" t="s">
        <v>42</v>
      </c>
      <c r="M69" t="s">
        <v>40</v>
      </c>
      <c r="N69" t="s">
        <v>35</v>
      </c>
      <c r="O69">
        <v>1007000</v>
      </c>
      <c r="P69">
        <v>83916.67</v>
      </c>
      <c r="Q69">
        <v>35</v>
      </c>
      <c r="R69" t="s">
        <v>36</v>
      </c>
      <c r="S69">
        <v>3.1</v>
      </c>
      <c r="T69">
        <v>73</v>
      </c>
      <c r="U69">
        <v>4</v>
      </c>
      <c r="V69">
        <v>6</v>
      </c>
      <c r="W69" t="s">
        <v>37</v>
      </c>
      <c r="X69">
        <v>3.2</v>
      </c>
      <c r="Y69">
        <v>5</v>
      </c>
      <c r="Z69">
        <v>10.7</v>
      </c>
    </row>
    <row r="70" spans="1:26">
      <c r="A70" t="s">
        <v>163</v>
      </c>
      <c r="B70" s="21">
        <v>43524</v>
      </c>
      <c r="C70" s="21"/>
      <c r="D70" t="s">
        <v>27</v>
      </c>
      <c r="E70">
        <v>0</v>
      </c>
      <c r="F70" t="s">
        <v>50</v>
      </c>
      <c r="G70" t="s">
        <v>51</v>
      </c>
      <c r="H70" t="s">
        <v>124</v>
      </c>
      <c r="I70" t="s">
        <v>31</v>
      </c>
      <c r="J70" t="s">
        <v>32</v>
      </c>
      <c r="K70">
        <v>41</v>
      </c>
      <c r="L70" t="s">
        <v>42</v>
      </c>
      <c r="M70" t="s">
        <v>34</v>
      </c>
      <c r="N70" t="s">
        <v>35</v>
      </c>
      <c r="O70">
        <v>844000</v>
      </c>
      <c r="P70">
        <v>70333.33</v>
      </c>
      <c r="Q70">
        <v>82</v>
      </c>
      <c r="R70" t="s">
        <v>36</v>
      </c>
      <c r="S70">
        <v>2.6</v>
      </c>
      <c r="T70">
        <v>34</v>
      </c>
      <c r="U70">
        <v>7</v>
      </c>
      <c r="V70">
        <v>6</v>
      </c>
      <c r="W70" t="s">
        <v>44</v>
      </c>
      <c r="X70">
        <v>3.9</v>
      </c>
      <c r="Y70">
        <v>3</v>
      </c>
      <c r="Z70">
        <v>7.6</v>
      </c>
    </row>
    <row r="71" spans="1:26">
      <c r="A71" t="s">
        <v>164</v>
      </c>
      <c r="B71" s="21">
        <v>45773</v>
      </c>
      <c r="C71" s="21"/>
      <c r="D71" t="s">
        <v>27</v>
      </c>
      <c r="E71">
        <v>0</v>
      </c>
      <c r="F71" t="s">
        <v>73</v>
      </c>
      <c r="G71" t="s">
        <v>51</v>
      </c>
      <c r="H71" t="s">
        <v>74</v>
      </c>
      <c r="I71" t="s">
        <v>41</v>
      </c>
      <c r="J71" t="s">
        <v>54</v>
      </c>
      <c r="K71">
        <v>24</v>
      </c>
      <c r="L71" t="s">
        <v>33</v>
      </c>
      <c r="M71" t="s">
        <v>78</v>
      </c>
      <c r="N71" t="s">
        <v>35</v>
      </c>
      <c r="O71">
        <v>570000</v>
      </c>
      <c r="P71">
        <v>47500</v>
      </c>
      <c r="Q71">
        <v>8</v>
      </c>
      <c r="R71" t="s">
        <v>103</v>
      </c>
      <c r="S71">
        <v>4.2</v>
      </c>
      <c r="T71">
        <v>18</v>
      </c>
      <c r="U71">
        <v>13</v>
      </c>
      <c r="V71">
        <v>9</v>
      </c>
      <c r="W71" t="s">
        <v>37</v>
      </c>
      <c r="X71">
        <v>4.5</v>
      </c>
      <c r="Y71">
        <v>1</v>
      </c>
      <c r="Z71">
        <v>11.3</v>
      </c>
    </row>
    <row r="72" spans="1:26">
      <c r="A72" t="s">
        <v>165</v>
      </c>
      <c r="B72" s="21">
        <v>45768</v>
      </c>
      <c r="C72" s="21"/>
      <c r="D72" t="s">
        <v>27</v>
      </c>
      <c r="E72">
        <v>0</v>
      </c>
      <c r="F72" t="s">
        <v>67</v>
      </c>
      <c r="G72" t="s">
        <v>70</v>
      </c>
      <c r="H72" t="s">
        <v>68</v>
      </c>
      <c r="I72" t="s">
        <v>41</v>
      </c>
      <c r="J72" t="s">
        <v>32</v>
      </c>
      <c r="K72">
        <v>23</v>
      </c>
      <c r="L72" t="s">
        <v>33</v>
      </c>
      <c r="M72" t="s">
        <v>65</v>
      </c>
      <c r="N72" t="s">
        <v>35</v>
      </c>
      <c r="O72">
        <v>491000</v>
      </c>
      <c r="P72">
        <v>40916.67</v>
      </c>
      <c r="Q72">
        <v>8</v>
      </c>
      <c r="R72" t="s">
        <v>55</v>
      </c>
      <c r="S72">
        <v>3.8</v>
      </c>
      <c r="T72">
        <v>79</v>
      </c>
      <c r="U72">
        <v>12</v>
      </c>
      <c r="V72">
        <v>0</v>
      </c>
      <c r="W72" t="s">
        <v>37</v>
      </c>
      <c r="X72">
        <v>4.2</v>
      </c>
      <c r="Y72">
        <v>1</v>
      </c>
      <c r="Z72">
        <v>9.5</v>
      </c>
    </row>
    <row r="73" spans="1:26">
      <c r="A73" t="s">
        <v>166</v>
      </c>
      <c r="B73" s="21">
        <v>44417</v>
      </c>
      <c r="C73" s="21"/>
      <c r="D73" t="s">
        <v>27</v>
      </c>
      <c r="E73">
        <v>0</v>
      </c>
      <c r="F73" t="s">
        <v>73</v>
      </c>
      <c r="G73" t="s">
        <v>29</v>
      </c>
      <c r="H73" t="s">
        <v>126</v>
      </c>
      <c r="I73" t="s">
        <v>41</v>
      </c>
      <c r="J73" t="s">
        <v>149</v>
      </c>
      <c r="K73">
        <v>32</v>
      </c>
      <c r="L73" t="s">
        <v>33</v>
      </c>
      <c r="M73" t="s">
        <v>40</v>
      </c>
      <c r="N73" t="s">
        <v>35</v>
      </c>
      <c r="O73">
        <v>413000</v>
      </c>
      <c r="P73">
        <v>34416.67</v>
      </c>
      <c r="Q73">
        <v>52</v>
      </c>
      <c r="R73" t="s">
        <v>36</v>
      </c>
      <c r="S73">
        <v>3.4</v>
      </c>
      <c r="T73">
        <v>2</v>
      </c>
      <c r="U73">
        <v>6</v>
      </c>
      <c r="V73">
        <v>4</v>
      </c>
      <c r="W73" t="s">
        <v>44</v>
      </c>
      <c r="X73">
        <v>3.3</v>
      </c>
      <c r="Y73">
        <v>3</v>
      </c>
      <c r="Z73">
        <v>6.1</v>
      </c>
    </row>
    <row r="74" spans="1:26">
      <c r="A74" t="s">
        <v>167</v>
      </c>
      <c r="B74" s="21">
        <v>44973</v>
      </c>
      <c r="C74" s="21"/>
      <c r="D74" t="s">
        <v>27</v>
      </c>
      <c r="E74">
        <v>0</v>
      </c>
      <c r="F74" t="s">
        <v>73</v>
      </c>
      <c r="G74" t="s">
        <v>51</v>
      </c>
      <c r="H74" t="s">
        <v>118</v>
      </c>
      <c r="I74" t="s">
        <v>75</v>
      </c>
      <c r="J74" t="s">
        <v>32</v>
      </c>
      <c r="K74">
        <v>34</v>
      </c>
      <c r="L74" t="s">
        <v>42</v>
      </c>
      <c r="M74" t="s">
        <v>65</v>
      </c>
      <c r="N74" t="s">
        <v>35</v>
      </c>
      <c r="O74">
        <v>723000</v>
      </c>
      <c r="P74">
        <v>60250</v>
      </c>
      <c r="Q74">
        <v>34</v>
      </c>
      <c r="R74" t="s">
        <v>36</v>
      </c>
      <c r="S74">
        <v>4</v>
      </c>
      <c r="T74">
        <v>59</v>
      </c>
      <c r="U74">
        <v>11</v>
      </c>
      <c r="V74">
        <v>1</v>
      </c>
      <c r="W74" t="s">
        <v>44</v>
      </c>
      <c r="X74">
        <v>3.5</v>
      </c>
      <c r="Y74">
        <v>4</v>
      </c>
      <c r="Z74">
        <v>6.7</v>
      </c>
    </row>
    <row r="75" spans="1:26">
      <c r="A75" t="s">
        <v>168</v>
      </c>
      <c r="B75" s="21">
        <v>43116</v>
      </c>
      <c r="C75" s="21"/>
      <c r="D75" t="s">
        <v>27</v>
      </c>
      <c r="E75">
        <v>0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>
        <v>40</v>
      </c>
      <c r="L75" t="s">
        <v>42</v>
      </c>
      <c r="M75" t="s">
        <v>65</v>
      </c>
      <c r="N75" t="s">
        <v>35</v>
      </c>
      <c r="O75">
        <v>971000</v>
      </c>
      <c r="P75">
        <v>80916.67</v>
      </c>
      <c r="Q75">
        <v>95</v>
      </c>
      <c r="R75" t="s">
        <v>103</v>
      </c>
      <c r="S75">
        <v>3.2</v>
      </c>
      <c r="T75">
        <v>6</v>
      </c>
      <c r="U75">
        <v>13</v>
      </c>
      <c r="V75">
        <v>0</v>
      </c>
      <c r="W75" t="s">
        <v>37</v>
      </c>
      <c r="X75">
        <v>3.8</v>
      </c>
      <c r="Y75">
        <v>2</v>
      </c>
      <c r="Z75">
        <v>10.7</v>
      </c>
    </row>
    <row r="76" spans="1:26">
      <c r="A76" t="s">
        <v>169</v>
      </c>
      <c r="B76" s="21">
        <v>42879</v>
      </c>
      <c r="C76" s="21"/>
      <c r="D76" t="s">
        <v>27</v>
      </c>
      <c r="E76">
        <v>0</v>
      </c>
      <c r="F76" t="s">
        <v>60</v>
      </c>
      <c r="G76" t="s">
        <v>70</v>
      </c>
      <c r="H76" t="s">
        <v>112</v>
      </c>
      <c r="I76" t="s">
        <v>31</v>
      </c>
      <c r="J76" t="s">
        <v>54</v>
      </c>
      <c r="K76">
        <v>39</v>
      </c>
      <c r="L76" t="s">
        <v>33</v>
      </c>
      <c r="M76" t="s">
        <v>58</v>
      </c>
      <c r="N76" t="s">
        <v>35</v>
      </c>
      <c r="O76">
        <v>568000</v>
      </c>
      <c r="P76">
        <v>47333.33</v>
      </c>
      <c r="Q76">
        <v>103</v>
      </c>
      <c r="R76" t="s">
        <v>36</v>
      </c>
      <c r="S76">
        <v>2.7</v>
      </c>
      <c r="T76">
        <v>37</v>
      </c>
      <c r="U76">
        <v>5</v>
      </c>
      <c r="V76">
        <v>7</v>
      </c>
      <c r="W76" t="s">
        <v>37</v>
      </c>
      <c r="X76">
        <v>4.0999999999999996</v>
      </c>
      <c r="Y76">
        <v>2</v>
      </c>
      <c r="Z76">
        <v>17.5</v>
      </c>
    </row>
    <row r="77" spans="1:26">
      <c r="A77" t="s">
        <v>170</v>
      </c>
      <c r="B77" s="21">
        <v>45077</v>
      </c>
      <c r="C77" s="21"/>
      <c r="D77" t="s">
        <v>27</v>
      </c>
      <c r="E77">
        <v>0</v>
      </c>
      <c r="F77" t="s">
        <v>73</v>
      </c>
      <c r="G77" t="s">
        <v>29</v>
      </c>
      <c r="H77" t="s">
        <v>118</v>
      </c>
      <c r="I77" t="s">
        <v>41</v>
      </c>
      <c r="J77" t="s">
        <v>32</v>
      </c>
      <c r="K77">
        <v>31</v>
      </c>
      <c r="L77" t="s">
        <v>33</v>
      </c>
      <c r="M77" t="s">
        <v>43</v>
      </c>
      <c r="N77" t="s">
        <v>35</v>
      </c>
      <c r="O77">
        <v>345000</v>
      </c>
      <c r="P77">
        <v>28750</v>
      </c>
      <c r="Q77">
        <v>31</v>
      </c>
      <c r="R77" t="s">
        <v>36</v>
      </c>
      <c r="S77">
        <v>4.3</v>
      </c>
      <c r="T77">
        <v>20</v>
      </c>
      <c r="U77">
        <v>11</v>
      </c>
      <c r="V77">
        <v>2</v>
      </c>
      <c r="W77" t="s">
        <v>37</v>
      </c>
      <c r="X77">
        <v>3.5</v>
      </c>
      <c r="Y77">
        <v>4</v>
      </c>
      <c r="Z77">
        <v>1</v>
      </c>
    </row>
    <row r="78" spans="1:26">
      <c r="A78" t="s">
        <v>171</v>
      </c>
      <c r="B78" s="21">
        <v>44858</v>
      </c>
      <c r="C78" s="21"/>
      <c r="D78" t="s">
        <v>27</v>
      </c>
      <c r="E78">
        <v>0</v>
      </c>
      <c r="F78" t="s">
        <v>50</v>
      </c>
      <c r="G78" t="s">
        <v>29</v>
      </c>
      <c r="H78" t="s">
        <v>89</v>
      </c>
      <c r="I78" t="s">
        <v>53</v>
      </c>
      <c r="J78" t="s">
        <v>32</v>
      </c>
      <c r="K78">
        <v>30</v>
      </c>
      <c r="L78" t="s">
        <v>33</v>
      </c>
      <c r="M78" t="s">
        <v>43</v>
      </c>
      <c r="N78" t="s">
        <v>35</v>
      </c>
      <c r="O78">
        <v>442000</v>
      </c>
      <c r="P78">
        <v>36833.33</v>
      </c>
      <c r="Q78">
        <v>38</v>
      </c>
      <c r="R78" t="s">
        <v>36</v>
      </c>
      <c r="S78">
        <v>2.7</v>
      </c>
      <c r="T78">
        <v>35</v>
      </c>
      <c r="U78">
        <v>16</v>
      </c>
      <c r="V78">
        <v>7</v>
      </c>
      <c r="W78" t="s">
        <v>37</v>
      </c>
      <c r="X78">
        <v>3.9</v>
      </c>
      <c r="Y78">
        <v>1</v>
      </c>
      <c r="Z78">
        <v>8.5</v>
      </c>
    </row>
    <row r="79" spans="1:26">
      <c r="A79" t="s">
        <v>172</v>
      </c>
      <c r="B79" s="21">
        <v>45383</v>
      </c>
      <c r="C79" s="21"/>
      <c r="D79" t="s">
        <v>27</v>
      </c>
      <c r="E79">
        <v>0</v>
      </c>
      <c r="F79" t="s">
        <v>46</v>
      </c>
      <c r="G79" t="s">
        <v>29</v>
      </c>
      <c r="H79" t="s">
        <v>47</v>
      </c>
      <c r="I79" t="s">
        <v>62</v>
      </c>
      <c r="J79" t="s">
        <v>32</v>
      </c>
      <c r="K79">
        <v>37</v>
      </c>
      <c r="L79" t="s">
        <v>33</v>
      </c>
      <c r="M79" t="s">
        <v>40</v>
      </c>
      <c r="N79" t="s">
        <v>35</v>
      </c>
      <c r="O79">
        <v>423000</v>
      </c>
      <c r="P79">
        <v>35250</v>
      </c>
      <c r="Q79">
        <v>20</v>
      </c>
      <c r="R79" t="s">
        <v>55</v>
      </c>
      <c r="S79">
        <v>4.4000000000000004</v>
      </c>
      <c r="T79">
        <v>11</v>
      </c>
      <c r="U79">
        <v>15</v>
      </c>
      <c r="V79">
        <v>3</v>
      </c>
      <c r="W79" t="s">
        <v>37</v>
      </c>
      <c r="X79">
        <v>3.9</v>
      </c>
      <c r="Y79">
        <v>5</v>
      </c>
      <c r="Z79">
        <v>17.100000000000001</v>
      </c>
    </row>
    <row r="80" spans="1:26">
      <c r="A80" t="s">
        <v>173</v>
      </c>
      <c r="B80" s="21">
        <v>43679</v>
      </c>
      <c r="C80" s="21"/>
      <c r="D80" t="s">
        <v>27</v>
      </c>
      <c r="E80">
        <v>0</v>
      </c>
      <c r="F80" t="s">
        <v>60</v>
      </c>
      <c r="G80" t="s">
        <v>105</v>
      </c>
      <c r="H80" t="s">
        <v>112</v>
      </c>
      <c r="I80" t="s">
        <v>62</v>
      </c>
      <c r="J80" t="s">
        <v>32</v>
      </c>
      <c r="K80">
        <v>43</v>
      </c>
      <c r="L80" t="s">
        <v>33</v>
      </c>
      <c r="M80" t="s">
        <v>34</v>
      </c>
      <c r="N80" t="s">
        <v>35</v>
      </c>
      <c r="O80">
        <v>1967000</v>
      </c>
      <c r="P80">
        <v>163916.67000000001</v>
      </c>
      <c r="Q80">
        <v>76</v>
      </c>
      <c r="R80" t="s">
        <v>36</v>
      </c>
      <c r="S80">
        <v>2.4</v>
      </c>
      <c r="T80">
        <v>73</v>
      </c>
      <c r="U80">
        <v>5</v>
      </c>
      <c r="V80">
        <v>3</v>
      </c>
      <c r="W80" t="s">
        <v>44</v>
      </c>
      <c r="X80">
        <v>3.4</v>
      </c>
      <c r="Y80">
        <v>1</v>
      </c>
      <c r="Z80">
        <v>1</v>
      </c>
    </row>
    <row r="81" spans="1:26">
      <c r="A81" t="s">
        <v>174</v>
      </c>
      <c r="B81" s="21">
        <v>44629</v>
      </c>
      <c r="C81" s="21">
        <v>45368</v>
      </c>
      <c r="D81" t="s">
        <v>57</v>
      </c>
      <c r="E81">
        <v>1</v>
      </c>
      <c r="F81" t="s">
        <v>73</v>
      </c>
      <c r="G81" t="s">
        <v>88</v>
      </c>
      <c r="H81" t="s">
        <v>102</v>
      </c>
      <c r="I81" t="s">
        <v>53</v>
      </c>
      <c r="J81" t="s">
        <v>32</v>
      </c>
      <c r="K81">
        <v>52</v>
      </c>
      <c r="L81" t="s">
        <v>33</v>
      </c>
      <c r="M81" t="s">
        <v>40</v>
      </c>
      <c r="N81" t="s">
        <v>35</v>
      </c>
      <c r="O81">
        <v>1239000</v>
      </c>
      <c r="P81">
        <v>103250</v>
      </c>
      <c r="Q81">
        <v>24</v>
      </c>
      <c r="R81" t="s">
        <v>36</v>
      </c>
      <c r="S81">
        <v>4.7</v>
      </c>
      <c r="T81">
        <v>75</v>
      </c>
      <c r="U81">
        <v>19</v>
      </c>
      <c r="V81">
        <v>6</v>
      </c>
      <c r="W81" t="s">
        <v>37</v>
      </c>
      <c r="X81">
        <v>3.1</v>
      </c>
      <c r="Y81">
        <v>4</v>
      </c>
      <c r="Z81">
        <v>12.3</v>
      </c>
    </row>
    <row r="82" spans="1:26">
      <c r="A82" t="s">
        <v>175</v>
      </c>
      <c r="B82" s="21">
        <v>44142</v>
      </c>
      <c r="C82" s="21"/>
      <c r="D82" t="s">
        <v>27</v>
      </c>
      <c r="E82">
        <v>0</v>
      </c>
      <c r="F82" t="s">
        <v>46</v>
      </c>
      <c r="G82" t="s">
        <v>105</v>
      </c>
      <c r="H82" t="s">
        <v>92</v>
      </c>
      <c r="I82" t="s">
        <v>62</v>
      </c>
      <c r="J82" t="s">
        <v>32</v>
      </c>
      <c r="K82">
        <v>34</v>
      </c>
      <c r="L82" t="s">
        <v>33</v>
      </c>
      <c r="M82" t="s">
        <v>65</v>
      </c>
      <c r="N82" t="s">
        <v>35</v>
      </c>
      <c r="O82">
        <v>2160000</v>
      </c>
      <c r="P82">
        <v>180000</v>
      </c>
      <c r="Q82">
        <v>61</v>
      </c>
      <c r="R82" t="s">
        <v>36</v>
      </c>
      <c r="S82">
        <v>3.5</v>
      </c>
      <c r="T82">
        <v>68</v>
      </c>
      <c r="U82">
        <v>16</v>
      </c>
      <c r="V82">
        <v>0</v>
      </c>
      <c r="W82" t="s">
        <v>44</v>
      </c>
      <c r="X82">
        <v>4.2</v>
      </c>
      <c r="Y82">
        <v>4</v>
      </c>
      <c r="Z82">
        <v>7.3</v>
      </c>
    </row>
    <row r="83" spans="1:26">
      <c r="A83" t="s">
        <v>176</v>
      </c>
      <c r="B83" s="21">
        <v>44794</v>
      </c>
      <c r="C83" s="21">
        <v>45426</v>
      </c>
      <c r="D83" t="s">
        <v>57</v>
      </c>
      <c r="E83">
        <v>1</v>
      </c>
      <c r="F83" t="s">
        <v>67</v>
      </c>
      <c r="G83" t="s">
        <v>51</v>
      </c>
      <c r="H83" t="s">
        <v>68</v>
      </c>
      <c r="I83" t="s">
        <v>48</v>
      </c>
      <c r="J83" t="s">
        <v>32</v>
      </c>
      <c r="K83">
        <v>43</v>
      </c>
      <c r="L83" t="s">
        <v>33</v>
      </c>
      <c r="M83" t="s">
        <v>43</v>
      </c>
      <c r="N83" t="s">
        <v>35</v>
      </c>
      <c r="O83">
        <v>889000</v>
      </c>
      <c r="P83">
        <v>74083.33</v>
      </c>
      <c r="Q83">
        <v>21</v>
      </c>
      <c r="R83" t="s">
        <v>55</v>
      </c>
      <c r="S83">
        <v>3.3</v>
      </c>
      <c r="T83">
        <v>38</v>
      </c>
      <c r="U83">
        <v>5</v>
      </c>
      <c r="V83">
        <v>0</v>
      </c>
      <c r="W83" t="s">
        <v>37</v>
      </c>
      <c r="X83">
        <v>2.5</v>
      </c>
      <c r="Y83">
        <v>0</v>
      </c>
      <c r="Z83">
        <v>4.5999999999999996</v>
      </c>
    </row>
    <row r="84" spans="1:26">
      <c r="A84" t="s">
        <v>177</v>
      </c>
      <c r="B84" s="21">
        <v>45175</v>
      </c>
      <c r="C84" s="21"/>
      <c r="D84" t="s">
        <v>27</v>
      </c>
      <c r="E84">
        <v>0</v>
      </c>
      <c r="F84" t="s">
        <v>73</v>
      </c>
      <c r="G84" t="s">
        <v>88</v>
      </c>
      <c r="H84" t="s">
        <v>126</v>
      </c>
      <c r="I84" t="s">
        <v>53</v>
      </c>
      <c r="J84" t="s">
        <v>54</v>
      </c>
      <c r="K84">
        <v>36</v>
      </c>
      <c r="L84" t="s">
        <v>33</v>
      </c>
      <c r="M84" t="s">
        <v>43</v>
      </c>
      <c r="N84" t="s">
        <v>35</v>
      </c>
      <c r="O84">
        <v>1264000</v>
      </c>
      <c r="P84">
        <v>105333.33</v>
      </c>
      <c r="Q84">
        <v>27</v>
      </c>
      <c r="R84" t="s">
        <v>36</v>
      </c>
      <c r="S84">
        <v>4</v>
      </c>
      <c r="T84">
        <v>59</v>
      </c>
      <c r="U84">
        <v>10</v>
      </c>
      <c r="V84">
        <v>2</v>
      </c>
      <c r="W84" t="s">
        <v>37</v>
      </c>
      <c r="X84">
        <v>3.5</v>
      </c>
      <c r="Y84">
        <v>5</v>
      </c>
      <c r="Z84">
        <v>11.8</v>
      </c>
    </row>
    <row r="85" spans="1:26">
      <c r="A85" t="s">
        <v>178</v>
      </c>
      <c r="B85" s="21">
        <v>42947</v>
      </c>
      <c r="C85" s="21"/>
      <c r="D85" t="s">
        <v>27</v>
      </c>
      <c r="E85">
        <v>0</v>
      </c>
      <c r="F85" t="s">
        <v>67</v>
      </c>
      <c r="G85" t="s">
        <v>51</v>
      </c>
      <c r="H85" t="s">
        <v>95</v>
      </c>
      <c r="I85" t="s">
        <v>53</v>
      </c>
      <c r="J85" t="s">
        <v>134</v>
      </c>
      <c r="K85">
        <v>44</v>
      </c>
      <c r="L85" t="s">
        <v>33</v>
      </c>
      <c r="M85" t="s">
        <v>40</v>
      </c>
      <c r="N85" t="s">
        <v>35</v>
      </c>
      <c r="O85">
        <v>754000</v>
      </c>
      <c r="P85">
        <v>62833.33</v>
      </c>
      <c r="Q85">
        <v>101</v>
      </c>
      <c r="R85" t="s">
        <v>55</v>
      </c>
      <c r="S85">
        <v>3.9</v>
      </c>
      <c r="T85">
        <v>11</v>
      </c>
      <c r="U85">
        <v>3</v>
      </c>
      <c r="V85">
        <v>8</v>
      </c>
      <c r="W85" t="s">
        <v>37</v>
      </c>
      <c r="X85">
        <v>4</v>
      </c>
      <c r="Y85">
        <v>4</v>
      </c>
      <c r="Z85">
        <v>13.5</v>
      </c>
    </row>
    <row r="86" spans="1:26">
      <c r="A86" t="s">
        <v>179</v>
      </c>
      <c r="B86" s="21">
        <v>43356</v>
      </c>
      <c r="C86" s="21"/>
      <c r="D86" t="s">
        <v>27</v>
      </c>
      <c r="E86">
        <v>0</v>
      </c>
      <c r="F86" t="s">
        <v>50</v>
      </c>
      <c r="G86" t="s">
        <v>51</v>
      </c>
      <c r="H86" t="s">
        <v>52</v>
      </c>
      <c r="I86" t="s">
        <v>75</v>
      </c>
      <c r="J86" t="s">
        <v>32</v>
      </c>
      <c r="K86">
        <v>41</v>
      </c>
      <c r="L86" t="s">
        <v>33</v>
      </c>
      <c r="M86" t="s">
        <v>34</v>
      </c>
      <c r="N86" t="s">
        <v>35</v>
      </c>
      <c r="O86">
        <v>946000</v>
      </c>
      <c r="P86">
        <v>78833.33</v>
      </c>
      <c r="Q86">
        <v>87</v>
      </c>
      <c r="R86" t="s">
        <v>55</v>
      </c>
      <c r="S86">
        <v>4.2</v>
      </c>
      <c r="T86">
        <v>24</v>
      </c>
      <c r="U86">
        <v>20</v>
      </c>
      <c r="V86">
        <v>6</v>
      </c>
      <c r="W86" t="s">
        <v>37</v>
      </c>
      <c r="X86">
        <v>2.8</v>
      </c>
      <c r="Y86">
        <v>0</v>
      </c>
      <c r="Z86">
        <v>10.4</v>
      </c>
    </row>
    <row r="87" spans="1:26">
      <c r="A87" t="s">
        <v>180</v>
      </c>
      <c r="B87" s="21">
        <v>43952</v>
      </c>
      <c r="C87" s="21"/>
      <c r="D87" t="s">
        <v>27</v>
      </c>
      <c r="E87">
        <v>0</v>
      </c>
      <c r="F87" t="s">
        <v>73</v>
      </c>
      <c r="G87" t="s">
        <v>70</v>
      </c>
      <c r="H87" t="s">
        <v>74</v>
      </c>
      <c r="I87" t="s">
        <v>62</v>
      </c>
      <c r="J87" t="s">
        <v>32</v>
      </c>
      <c r="K87">
        <v>25</v>
      </c>
      <c r="L87" t="s">
        <v>33</v>
      </c>
      <c r="M87" t="s">
        <v>65</v>
      </c>
      <c r="N87" t="s">
        <v>35</v>
      </c>
      <c r="O87">
        <v>431000</v>
      </c>
      <c r="P87">
        <v>35916.67</v>
      </c>
      <c r="Q87">
        <v>67</v>
      </c>
      <c r="R87" t="s">
        <v>36</v>
      </c>
      <c r="S87">
        <v>3.5</v>
      </c>
      <c r="T87">
        <v>42</v>
      </c>
      <c r="U87">
        <v>7</v>
      </c>
      <c r="V87">
        <v>16</v>
      </c>
      <c r="W87" t="s">
        <v>37</v>
      </c>
      <c r="X87">
        <v>4.4000000000000004</v>
      </c>
      <c r="Y87">
        <v>2</v>
      </c>
      <c r="Z87">
        <v>8.1</v>
      </c>
    </row>
    <row r="88" spans="1:26">
      <c r="A88" t="s">
        <v>181</v>
      </c>
      <c r="B88" s="21">
        <v>42980</v>
      </c>
      <c r="C88" s="21"/>
      <c r="D88" t="s">
        <v>27</v>
      </c>
      <c r="E88">
        <v>0</v>
      </c>
      <c r="F88" t="s">
        <v>60</v>
      </c>
      <c r="G88" t="s">
        <v>51</v>
      </c>
      <c r="H88" t="s">
        <v>109</v>
      </c>
      <c r="I88" t="s">
        <v>31</v>
      </c>
      <c r="J88" t="s">
        <v>32</v>
      </c>
      <c r="K88">
        <v>33</v>
      </c>
      <c r="L88" t="s">
        <v>33</v>
      </c>
      <c r="M88" t="s">
        <v>65</v>
      </c>
      <c r="N88" t="s">
        <v>35</v>
      </c>
      <c r="O88">
        <v>770000</v>
      </c>
      <c r="P88">
        <v>64166.67</v>
      </c>
      <c r="Q88">
        <v>99</v>
      </c>
      <c r="R88" t="s">
        <v>116</v>
      </c>
      <c r="S88">
        <v>2.9</v>
      </c>
      <c r="T88">
        <v>14</v>
      </c>
      <c r="U88">
        <v>6</v>
      </c>
      <c r="V88">
        <v>9</v>
      </c>
      <c r="W88" t="s">
        <v>44</v>
      </c>
      <c r="X88">
        <v>3.7</v>
      </c>
      <c r="Y88">
        <v>2</v>
      </c>
      <c r="Z88">
        <v>4</v>
      </c>
    </row>
    <row r="89" spans="1:26">
      <c r="A89" t="s">
        <v>182</v>
      </c>
      <c r="B89" s="21">
        <v>45633</v>
      </c>
      <c r="C89" s="21"/>
      <c r="D89" t="s">
        <v>27</v>
      </c>
      <c r="E89">
        <v>0</v>
      </c>
      <c r="F89" t="s">
        <v>50</v>
      </c>
      <c r="G89" t="s">
        <v>51</v>
      </c>
      <c r="H89" t="s">
        <v>124</v>
      </c>
      <c r="I89" t="s">
        <v>48</v>
      </c>
      <c r="J89" t="s">
        <v>32</v>
      </c>
      <c r="K89">
        <v>51</v>
      </c>
      <c r="L89" t="s">
        <v>33</v>
      </c>
      <c r="M89" t="s">
        <v>40</v>
      </c>
      <c r="N89" t="s">
        <v>35</v>
      </c>
      <c r="O89">
        <v>928000</v>
      </c>
      <c r="P89">
        <v>77333.33</v>
      </c>
      <c r="Q89">
        <v>12</v>
      </c>
      <c r="R89" t="s">
        <v>55</v>
      </c>
      <c r="S89">
        <v>2.5</v>
      </c>
      <c r="T89">
        <v>31</v>
      </c>
      <c r="U89">
        <v>4</v>
      </c>
      <c r="V89">
        <v>1</v>
      </c>
      <c r="W89" t="s">
        <v>37</v>
      </c>
      <c r="X89">
        <v>4.5999999999999996</v>
      </c>
      <c r="Y89">
        <v>1</v>
      </c>
      <c r="Z89">
        <v>7.6</v>
      </c>
    </row>
    <row r="90" spans="1:26">
      <c r="A90" t="s">
        <v>183</v>
      </c>
      <c r="B90" s="21">
        <v>42820</v>
      </c>
      <c r="C90" s="21"/>
      <c r="D90" t="s">
        <v>27</v>
      </c>
      <c r="E90">
        <v>0</v>
      </c>
      <c r="F90" t="s">
        <v>67</v>
      </c>
      <c r="G90" t="s">
        <v>91</v>
      </c>
      <c r="H90" t="s">
        <v>95</v>
      </c>
      <c r="I90" t="s">
        <v>48</v>
      </c>
      <c r="J90" t="s">
        <v>54</v>
      </c>
      <c r="K90">
        <v>48</v>
      </c>
      <c r="L90" t="s">
        <v>42</v>
      </c>
      <c r="M90" t="s">
        <v>43</v>
      </c>
      <c r="N90" t="s">
        <v>35</v>
      </c>
      <c r="O90">
        <v>1595000</v>
      </c>
      <c r="P90">
        <v>132916.67000000001</v>
      </c>
      <c r="Q90">
        <v>105</v>
      </c>
      <c r="R90" t="s">
        <v>36</v>
      </c>
      <c r="S90">
        <v>4.3</v>
      </c>
      <c r="T90">
        <v>22</v>
      </c>
      <c r="U90">
        <v>4</v>
      </c>
      <c r="V90">
        <v>7</v>
      </c>
      <c r="W90" t="s">
        <v>44</v>
      </c>
      <c r="X90">
        <v>3.1</v>
      </c>
      <c r="Y90">
        <v>5</v>
      </c>
      <c r="Z90">
        <v>4.5999999999999996</v>
      </c>
    </row>
    <row r="91" spans="1:26">
      <c r="A91" t="s">
        <v>184</v>
      </c>
      <c r="B91" s="21">
        <v>44607</v>
      </c>
      <c r="C91" s="21"/>
      <c r="D91" t="s">
        <v>27</v>
      </c>
      <c r="E91">
        <v>0</v>
      </c>
      <c r="F91" t="s">
        <v>73</v>
      </c>
      <c r="G91" t="s">
        <v>51</v>
      </c>
      <c r="H91" t="s">
        <v>126</v>
      </c>
      <c r="I91" t="s">
        <v>75</v>
      </c>
      <c r="J91" t="s">
        <v>32</v>
      </c>
      <c r="K91">
        <v>32</v>
      </c>
      <c r="L91" t="s">
        <v>42</v>
      </c>
      <c r="M91" t="s">
        <v>34</v>
      </c>
      <c r="N91" t="s">
        <v>35</v>
      </c>
      <c r="O91">
        <v>896000</v>
      </c>
      <c r="P91">
        <v>74666.67</v>
      </c>
      <c r="Q91">
        <v>46</v>
      </c>
      <c r="R91" t="s">
        <v>36</v>
      </c>
      <c r="S91">
        <v>4.5999999999999996</v>
      </c>
      <c r="T91">
        <v>71</v>
      </c>
      <c r="U91">
        <v>9</v>
      </c>
      <c r="V91">
        <v>0</v>
      </c>
      <c r="W91" t="s">
        <v>37</v>
      </c>
      <c r="X91">
        <v>3.9</v>
      </c>
      <c r="Y91">
        <v>4</v>
      </c>
      <c r="Z91">
        <v>13.2</v>
      </c>
    </row>
    <row r="92" spans="1:26">
      <c r="A92" t="s">
        <v>185</v>
      </c>
      <c r="B92" s="21">
        <v>43490</v>
      </c>
      <c r="C92" s="21"/>
      <c r="D92" t="s">
        <v>27</v>
      </c>
      <c r="E92">
        <v>0</v>
      </c>
      <c r="F92" t="s">
        <v>50</v>
      </c>
      <c r="G92" t="s">
        <v>88</v>
      </c>
      <c r="H92" t="s">
        <v>89</v>
      </c>
      <c r="I92" t="s">
        <v>53</v>
      </c>
      <c r="J92" t="s">
        <v>32</v>
      </c>
      <c r="K92">
        <v>40</v>
      </c>
      <c r="L92" t="s">
        <v>42</v>
      </c>
      <c r="M92" t="s">
        <v>65</v>
      </c>
      <c r="N92" t="s">
        <v>35</v>
      </c>
      <c r="O92">
        <v>1179000</v>
      </c>
      <c r="P92">
        <v>98250</v>
      </c>
      <c r="Q92">
        <v>83</v>
      </c>
      <c r="R92" t="s">
        <v>36</v>
      </c>
      <c r="S92">
        <v>4.5</v>
      </c>
      <c r="T92">
        <v>34</v>
      </c>
      <c r="U92">
        <v>0</v>
      </c>
      <c r="V92">
        <v>2</v>
      </c>
      <c r="W92" t="s">
        <v>37</v>
      </c>
      <c r="X92">
        <v>3.8</v>
      </c>
      <c r="Y92">
        <v>0</v>
      </c>
      <c r="Z92">
        <v>5.7</v>
      </c>
    </row>
    <row r="93" spans="1:26">
      <c r="A93" t="s">
        <v>186</v>
      </c>
      <c r="B93" s="21">
        <v>42932</v>
      </c>
      <c r="C93" s="21"/>
      <c r="D93" t="s">
        <v>27</v>
      </c>
      <c r="E93">
        <v>0</v>
      </c>
      <c r="F93" t="s">
        <v>50</v>
      </c>
      <c r="G93" t="s">
        <v>88</v>
      </c>
      <c r="H93" t="s">
        <v>124</v>
      </c>
      <c r="I93" t="s">
        <v>41</v>
      </c>
      <c r="J93" t="s">
        <v>149</v>
      </c>
      <c r="K93">
        <v>51</v>
      </c>
      <c r="L93" t="s">
        <v>82</v>
      </c>
      <c r="M93" t="s">
        <v>65</v>
      </c>
      <c r="N93" t="s">
        <v>35</v>
      </c>
      <c r="O93">
        <v>1003000</v>
      </c>
      <c r="P93">
        <v>83583.33</v>
      </c>
      <c r="Q93">
        <v>101</v>
      </c>
      <c r="R93" t="s">
        <v>36</v>
      </c>
      <c r="S93">
        <v>4.3</v>
      </c>
      <c r="T93">
        <v>60</v>
      </c>
      <c r="U93">
        <v>12</v>
      </c>
      <c r="V93">
        <v>6</v>
      </c>
      <c r="W93" t="s">
        <v>37</v>
      </c>
      <c r="X93">
        <v>3.7</v>
      </c>
      <c r="Y93">
        <v>2</v>
      </c>
      <c r="Z93">
        <v>11.7</v>
      </c>
    </row>
    <row r="94" spans="1:26">
      <c r="A94" t="s">
        <v>187</v>
      </c>
      <c r="B94" s="21">
        <v>43546</v>
      </c>
      <c r="C94" s="21"/>
      <c r="D94" t="s">
        <v>27</v>
      </c>
      <c r="E94">
        <v>0</v>
      </c>
      <c r="F94" t="s">
        <v>73</v>
      </c>
      <c r="G94" t="s">
        <v>70</v>
      </c>
      <c r="H94" t="s">
        <v>118</v>
      </c>
      <c r="I94" t="s">
        <v>53</v>
      </c>
      <c r="J94" t="s">
        <v>32</v>
      </c>
      <c r="K94">
        <v>32</v>
      </c>
      <c r="L94" t="s">
        <v>33</v>
      </c>
      <c r="M94" t="s">
        <v>78</v>
      </c>
      <c r="N94" t="s">
        <v>35</v>
      </c>
      <c r="O94">
        <v>581000</v>
      </c>
      <c r="P94">
        <v>48416.67</v>
      </c>
      <c r="Q94">
        <v>81</v>
      </c>
      <c r="R94" t="s">
        <v>36</v>
      </c>
      <c r="S94">
        <v>4.5</v>
      </c>
      <c r="T94">
        <v>37</v>
      </c>
      <c r="U94">
        <v>14</v>
      </c>
      <c r="V94">
        <v>4</v>
      </c>
      <c r="W94" t="s">
        <v>37</v>
      </c>
      <c r="X94">
        <v>3.4</v>
      </c>
      <c r="Y94">
        <v>1</v>
      </c>
      <c r="Z94">
        <v>1</v>
      </c>
    </row>
    <row r="95" spans="1:26">
      <c r="A95" t="s">
        <v>188</v>
      </c>
      <c r="B95" s="21">
        <v>44696</v>
      </c>
      <c r="C95" s="21"/>
      <c r="D95" t="s">
        <v>27</v>
      </c>
      <c r="E95">
        <v>0</v>
      </c>
      <c r="F95" t="s">
        <v>60</v>
      </c>
      <c r="G95" t="s">
        <v>29</v>
      </c>
      <c r="H95" t="s">
        <v>112</v>
      </c>
      <c r="I95" t="s">
        <v>75</v>
      </c>
      <c r="J95" t="s">
        <v>54</v>
      </c>
      <c r="K95">
        <v>21</v>
      </c>
      <c r="L95" t="s">
        <v>33</v>
      </c>
      <c r="M95" t="s">
        <v>34</v>
      </c>
      <c r="N95" t="s">
        <v>35</v>
      </c>
      <c r="O95">
        <v>257000</v>
      </c>
      <c r="P95">
        <v>21416.67</v>
      </c>
      <c r="Q95">
        <v>43</v>
      </c>
      <c r="R95" t="s">
        <v>36</v>
      </c>
      <c r="S95">
        <v>2.4</v>
      </c>
      <c r="T95">
        <v>43</v>
      </c>
      <c r="U95">
        <v>7</v>
      </c>
      <c r="V95">
        <v>8</v>
      </c>
      <c r="W95" t="s">
        <v>37</v>
      </c>
      <c r="X95">
        <v>4</v>
      </c>
      <c r="Y95">
        <v>4</v>
      </c>
      <c r="Z95">
        <v>6.9</v>
      </c>
    </row>
    <row r="96" spans="1:26">
      <c r="A96" t="s">
        <v>189</v>
      </c>
      <c r="B96" s="21">
        <v>45471</v>
      </c>
      <c r="C96" s="21"/>
      <c r="D96" t="s">
        <v>27</v>
      </c>
      <c r="E96">
        <v>0</v>
      </c>
      <c r="F96" t="s">
        <v>60</v>
      </c>
      <c r="G96" t="s">
        <v>51</v>
      </c>
      <c r="H96" t="s">
        <v>112</v>
      </c>
      <c r="I96" t="s">
        <v>75</v>
      </c>
      <c r="J96" t="s">
        <v>54</v>
      </c>
      <c r="K96">
        <v>43</v>
      </c>
      <c r="L96" t="s">
        <v>33</v>
      </c>
      <c r="M96" t="s">
        <v>34</v>
      </c>
      <c r="N96" t="s">
        <v>35</v>
      </c>
      <c r="O96">
        <v>977000</v>
      </c>
      <c r="P96">
        <v>81416.67</v>
      </c>
      <c r="Q96">
        <v>18</v>
      </c>
      <c r="R96" t="s">
        <v>36</v>
      </c>
      <c r="S96">
        <v>4.5</v>
      </c>
      <c r="T96">
        <v>74</v>
      </c>
      <c r="U96">
        <v>6</v>
      </c>
      <c r="V96">
        <v>1</v>
      </c>
      <c r="W96" t="s">
        <v>37</v>
      </c>
      <c r="X96">
        <v>3.4</v>
      </c>
      <c r="Y96">
        <v>1</v>
      </c>
      <c r="Z96">
        <v>10.6</v>
      </c>
    </row>
    <row r="97" spans="1:26">
      <c r="A97" t="s">
        <v>190</v>
      </c>
      <c r="B97" s="21">
        <v>45047</v>
      </c>
      <c r="C97" s="21"/>
      <c r="D97" t="s">
        <v>27</v>
      </c>
      <c r="E97">
        <v>0</v>
      </c>
      <c r="F97" t="s">
        <v>98</v>
      </c>
      <c r="G97" t="s">
        <v>29</v>
      </c>
      <c r="H97" t="s">
        <v>106</v>
      </c>
      <c r="I97" t="s">
        <v>75</v>
      </c>
      <c r="J97" t="s">
        <v>32</v>
      </c>
      <c r="K97">
        <v>30</v>
      </c>
      <c r="L97" t="s">
        <v>33</v>
      </c>
      <c r="M97" t="s">
        <v>65</v>
      </c>
      <c r="N97" t="s">
        <v>35</v>
      </c>
      <c r="O97">
        <v>394000</v>
      </c>
      <c r="P97">
        <v>32833.33</v>
      </c>
      <c r="Q97">
        <v>31</v>
      </c>
      <c r="R97" t="s">
        <v>55</v>
      </c>
      <c r="S97">
        <v>4</v>
      </c>
      <c r="T97">
        <v>77</v>
      </c>
      <c r="U97">
        <v>7</v>
      </c>
      <c r="V97">
        <v>1</v>
      </c>
      <c r="W97" t="s">
        <v>44</v>
      </c>
      <c r="X97">
        <v>5</v>
      </c>
      <c r="Y97">
        <v>2</v>
      </c>
      <c r="Z97">
        <v>3.2</v>
      </c>
    </row>
    <row r="98" spans="1:26">
      <c r="A98" t="s">
        <v>191</v>
      </c>
      <c r="B98" s="21">
        <v>44298</v>
      </c>
      <c r="C98" s="21"/>
      <c r="D98" t="s">
        <v>27</v>
      </c>
      <c r="E98">
        <v>0</v>
      </c>
      <c r="F98" t="s">
        <v>73</v>
      </c>
      <c r="G98" t="s">
        <v>88</v>
      </c>
      <c r="H98" t="s">
        <v>118</v>
      </c>
      <c r="I98" t="s">
        <v>41</v>
      </c>
      <c r="J98" t="s">
        <v>32</v>
      </c>
      <c r="K98">
        <v>43</v>
      </c>
      <c r="L98" t="s">
        <v>42</v>
      </c>
      <c r="M98" t="s">
        <v>65</v>
      </c>
      <c r="N98" t="s">
        <v>35</v>
      </c>
      <c r="O98">
        <v>934000</v>
      </c>
      <c r="P98">
        <v>77833.33</v>
      </c>
      <c r="Q98">
        <v>56</v>
      </c>
      <c r="R98" t="s">
        <v>36</v>
      </c>
      <c r="S98">
        <v>2.1</v>
      </c>
      <c r="T98">
        <v>21</v>
      </c>
      <c r="U98">
        <v>18</v>
      </c>
      <c r="V98">
        <v>0</v>
      </c>
      <c r="W98" t="s">
        <v>37</v>
      </c>
      <c r="X98">
        <v>3.9</v>
      </c>
      <c r="Y98">
        <v>4</v>
      </c>
      <c r="Z98">
        <v>1.9</v>
      </c>
    </row>
    <row r="99" spans="1:26">
      <c r="A99" t="s">
        <v>192</v>
      </c>
      <c r="B99" s="21">
        <v>42846</v>
      </c>
      <c r="C99" s="21">
        <v>44829</v>
      </c>
      <c r="D99" t="s">
        <v>57</v>
      </c>
      <c r="E99">
        <v>1</v>
      </c>
      <c r="F99" t="s">
        <v>73</v>
      </c>
      <c r="G99" t="s">
        <v>51</v>
      </c>
      <c r="H99" t="s">
        <v>126</v>
      </c>
      <c r="I99" t="s">
        <v>31</v>
      </c>
      <c r="J99" t="s">
        <v>54</v>
      </c>
      <c r="K99">
        <v>35</v>
      </c>
      <c r="L99" t="s">
        <v>33</v>
      </c>
      <c r="M99" t="s">
        <v>65</v>
      </c>
      <c r="N99" t="s">
        <v>35</v>
      </c>
      <c r="O99">
        <v>836000</v>
      </c>
      <c r="P99">
        <v>69666.67</v>
      </c>
      <c r="Q99">
        <v>65</v>
      </c>
      <c r="R99" t="s">
        <v>103</v>
      </c>
      <c r="S99">
        <v>2.2999999999999998</v>
      </c>
      <c r="T99">
        <v>9</v>
      </c>
      <c r="U99">
        <v>0</v>
      </c>
      <c r="V99">
        <v>5</v>
      </c>
      <c r="W99" t="s">
        <v>37</v>
      </c>
      <c r="X99">
        <v>4.2</v>
      </c>
      <c r="Y99">
        <v>4</v>
      </c>
      <c r="Z99">
        <v>13.6</v>
      </c>
    </row>
    <row r="100" spans="1:26">
      <c r="A100" t="s">
        <v>193</v>
      </c>
      <c r="B100" s="21">
        <v>42631</v>
      </c>
      <c r="C100" s="21"/>
      <c r="D100" t="s">
        <v>27</v>
      </c>
      <c r="E100">
        <v>0</v>
      </c>
      <c r="F100" t="s">
        <v>67</v>
      </c>
      <c r="G100" t="s">
        <v>70</v>
      </c>
      <c r="H100" t="s">
        <v>68</v>
      </c>
      <c r="I100" t="s">
        <v>75</v>
      </c>
      <c r="J100" t="s">
        <v>134</v>
      </c>
      <c r="K100">
        <v>34</v>
      </c>
      <c r="L100" t="s">
        <v>33</v>
      </c>
      <c r="M100" t="s">
        <v>40</v>
      </c>
      <c r="N100" t="s">
        <v>194</v>
      </c>
      <c r="O100">
        <v>556000</v>
      </c>
      <c r="P100">
        <v>46333.33</v>
      </c>
      <c r="Q100">
        <v>111</v>
      </c>
      <c r="R100" t="s">
        <v>36</v>
      </c>
      <c r="S100">
        <v>3.4</v>
      </c>
      <c r="T100">
        <v>48</v>
      </c>
      <c r="U100">
        <v>30</v>
      </c>
      <c r="V100">
        <v>0</v>
      </c>
      <c r="W100" t="s">
        <v>37</v>
      </c>
      <c r="X100">
        <v>3.9</v>
      </c>
      <c r="Y100">
        <v>5</v>
      </c>
      <c r="Z100">
        <v>11.9</v>
      </c>
    </row>
    <row r="101" spans="1:26">
      <c r="A101" t="s">
        <v>195</v>
      </c>
      <c r="B101" s="21">
        <v>45952</v>
      </c>
      <c r="C101" s="21"/>
      <c r="D101" t="s">
        <v>27</v>
      </c>
      <c r="E101">
        <v>0</v>
      </c>
      <c r="F101" t="s">
        <v>67</v>
      </c>
      <c r="G101" t="s">
        <v>105</v>
      </c>
      <c r="H101" t="s">
        <v>68</v>
      </c>
      <c r="I101" t="s">
        <v>31</v>
      </c>
      <c r="J101" t="s">
        <v>32</v>
      </c>
      <c r="K101">
        <v>39</v>
      </c>
      <c r="L101" t="s">
        <v>33</v>
      </c>
      <c r="M101" t="s">
        <v>34</v>
      </c>
      <c r="N101" t="s">
        <v>35</v>
      </c>
      <c r="O101">
        <v>2300000</v>
      </c>
      <c r="P101">
        <v>191666.67</v>
      </c>
      <c r="Q101">
        <v>2</v>
      </c>
      <c r="R101" t="s">
        <v>36</v>
      </c>
      <c r="S101">
        <v>3.2</v>
      </c>
      <c r="T101">
        <v>58</v>
      </c>
      <c r="U101">
        <v>9</v>
      </c>
      <c r="V101">
        <v>7</v>
      </c>
      <c r="W101" t="s">
        <v>37</v>
      </c>
      <c r="X101">
        <v>3.6</v>
      </c>
      <c r="Y101">
        <v>0</v>
      </c>
      <c r="Z101">
        <v>4.8</v>
      </c>
    </row>
    <row r="102" spans="1:26">
      <c r="A102" t="s">
        <v>196</v>
      </c>
      <c r="B102" s="21">
        <v>45954</v>
      </c>
      <c r="C102" s="21"/>
      <c r="D102" t="s">
        <v>27</v>
      </c>
      <c r="E102">
        <v>0</v>
      </c>
      <c r="F102" t="s">
        <v>73</v>
      </c>
      <c r="G102" t="s">
        <v>70</v>
      </c>
      <c r="H102" t="s">
        <v>118</v>
      </c>
      <c r="I102" t="s">
        <v>62</v>
      </c>
      <c r="J102" t="s">
        <v>32</v>
      </c>
      <c r="K102">
        <v>36</v>
      </c>
      <c r="L102" t="s">
        <v>33</v>
      </c>
      <c r="M102" t="s">
        <v>34</v>
      </c>
      <c r="N102" t="s">
        <v>35</v>
      </c>
      <c r="O102">
        <v>530000</v>
      </c>
      <c r="P102">
        <v>44166.67</v>
      </c>
      <c r="Q102">
        <v>2</v>
      </c>
      <c r="R102" t="s">
        <v>55</v>
      </c>
      <c r="S102">
        <v>3.1</v>
      </c>
      <c r="T102">
        <v>7</v>
      </c>
      <c r="U102">
        <v>15</v>
      </c>
      <c r="V102">
        <v>1</v>
      </c>
      <c r="W102" t="s">
        <v>37</v>
      </c>
      <c r="X102">
        <v>4.2</v>
      </c>
      <c r="Y102">
        <v>0</v>
      </c>
      <c r="Z102">
        <v>9.4</v>
      </c>
    </row>
    <row r="103" spans="1:26">
      <c r="A103" t="s">
        <v>197</v>
      </c>
      <c r="B103" s="21">
        <v>43329</v>
      </c>
      <c r="C103" s="21"/>
      <c r="D103" t="s">
        <v>27</v>
      </c>
      <c r="E103">
        <v>0</v>
      </c>
      <c r="F103" t="s">
        <v>67</v>
      </c>
      <c r="G103" t="s">
        <v>105</v>
      </c>
      <c r="H103" t="s">
        <v>77</v>
      </c>
      <c r="I103" t="s">
        <v>41</v>
      </c>
      <c r="J103" t="s">
        <v>32</v>
      </c>
      <c r="K103">
        <v>53</v>
      </c>
      <c r="L103" t="s">
        <v>33</v>
      </c>
      <c r="M103" t="s">
        <v>78</v>
      </c>
      <c r="N103" t="s">
        <v>35</v>
      </c>
      <c r="O103">
        <v>1968000</v>
      </c>
      <c r="P103">
        <v>164000</v>
      </c>
      <c r="Q103">
        <v>88</v>
      </c>
      <c r="R103" t="s">
        <v>36</v>
      </c>
      <c r="S103">
        <v>2.2999999999999998</v>
      </c>
      <c r="T103">
        <v>54</v>
      </c>
      <c r="U103">
        <v>7</v>
      </c>
      <c r="V103">
        <v>9</v>
      </c>
      <c r="W103" t="s">
        <v>37</v>
      </c>
      <c r="X103">
        <v>3.6</v>
      </c>
      <c r="Y103">
        <v>5</v>
      </c>
      <c r="Z103">
        <v>12.2</v>
      </c>
    </row>
    <row r="104" spans="1:26">
      <c r="A104" t="s">
        <v>198</v>
      </c>
      <c r="B104" s="21">
        <v>43780</v>
      </c>
      <c r="C104" s="21"/>
      <c r="D104" t="s">
        <v>27</v>
      </c>
      <c r="E104">
        <v>0</v>
      </c>
      <c r="F104" t="s">
        <v>28</v>
      </c>
      <c r="G104" t="s">
        <v>29</v>
      </c>
      <c r="H104" t="s">
        <v>64</v>
      </c>
      <c r="I104" t="s">
        <v>62</v>
      </c>
      <c r="J104" t="s">
        <v>32</v>
      </c>
      <c r="K104">
        <v>43</v>
      </c>
      <c r="L104" t="s">
        <v>42</v>
      </c>
      <c r="M104" t="s">
        <v>43</v>
      </c>
      <c r="N104" t="s">
        <v>93</v>
      </c>
      <c r="O104">
        <v>427000</v>
      </c>
      <c r="P104">
        <v>35583.33</v>
      </c>
      <c r="Q104">
        <v>73</v>
      </c>
      <c r="R104" t="s">
        <v>36</v>
      </c>
      <c r="S104">
        <v>3.1</v>
      </c>
      <c r="T104">
        <v>71</v>
      </c>
      <c r="U104">
        <v>13</v>
      </c>
      <c r="V104">
        <v>1</v>
      </c>
      <c r="W104" t="s">
        <v>37</v>
      </c>
      <c r="X104">
        <v>2.9</v>
      </c>
      <c r="Y104">
        <v>3</v>
      </c>
      <c r="Z104">
        <v>16</v>
      </c>
    </row>
    <row r="105" spans="1:26">
      <c r="A105" t="s">
        <v>199</v>
      </c>
      <c r="B105" s="21">
        <v>43414</v>
      </c>
      <c r="C105" s="21"/>
      <c r="D105" t="s">
        <v>27</v>
      </c>
      <c r="E105">
        <v>0</v>
      </c>
      <c r="F105" t="s">
        <v>28</v>
      </c>
      <c r="G105" t="s">
        <v>51</v>
      </c>
      <c r="H105" t="s">
        <v>30</v>
      </c>
      <c r="I105" t="s">
        <v>62</v>
      </c>
      <c r="J105" t="s">
        <v>32</v>
      </c>
      <c r="K105">
        <v>42</v>
      </c>
      <c r="L105" t="s">
        <v>33</v>
      </c>
      <c r="M105" t="s">
        <v>43</v>
      </c>
      <c r="N105" t="s">
        <v>35</v>
      </c>
      <c r="O105">
        <v>692000</v>
      </c>
      <c r="P105">
        <v>57666.67</v>
      </c>
      <c r="Q105">
        <v>85</v>
      </c>
      <c r="R105" t="s">
        <v>55</v>
      </c>
      <c r="S105">
        <v>4.5999999999999996</v>
      </c>
      <c r="T105">
        <v>26</v>
      </c>
      <c r="U105">
        <v>25</v>
      </c>
      <c r="V105">
        <v>1</v>
      </c>
      <c r="W105" t="s">
        <v>44</v>
      </c>
      <c r="X105">
        <v>3.9</v>
      </c>
      <c r="Y105">
        <v>5</v>
      </c>
      <c r="Z105">
        <v>13.4</v>
      </c>
    </row>
    <row r="106" spans="1:26">
      <c r="A106" t="s">
        <v>200</v>
      </c>
      <c r="B106" s="21">
        <v>42432</v>
      </c>
      <c r="C106" s="21"/>
      <c r="D106" t="s">
        <v>27</v>
      </c>
      <c r="E106">
        <v>0</v>
      </c>
      <c r="F106" t="s">
        <v>60</v>
      </c>
      <c r="G106" t="s">
        <v>70</v>
      </c>
      <c r="H106" t="s">
        <v>109</v>
      </c>
      <c r="I106" t="s">
        <v>53</v>
      </c>
      <c r="J106" t="s">
        <v>54</v>
      </c>
      <c r="K106">
        <v>38</v>
      </c>
      <c r="L106" t="s">
        <v>33</v>
      </c>
      <c r="M106" t="s">
        <v>34</v>
      </c>
      <c r="N106" t="s">
        <v>35</v>
      </c>
      <c r="O106">
        <v>567000</v>
      </c>
      <c r="P106">
        <v>47250</v>
      </c>
      <c r="Q106">
        <v>117</v>
      </c>
      <c r="R106" t="s">
        <v>116</v>
      </c>
      <c r="S106">
        <v>4</v>
      </c>
      <c r="T106">
        <v>63</v>
      </c>
      <c r="U106">
        <v>11</v>
      </c>
      <c r="V106">
        <v>0</v>
      </c>
      <c r="W106" t="s">
        <v>37</v>
      </c>
      <c r="X106">
        <v>3.3</v>
      </c>
      <c r="Y106">
        <v>3</v>
      </c>
      <c r="Z106">
        <v>1</v>
      </c>
    </row>
    <row r="107" spans="1:26">
      <c r="A107" t="s">
        <v>201</v>
      </c>
      <c r="B107" s="21">
        <v>45329</v>
      </c>
      <c r="C107" s="21"/>
      <c r="D107" t="s">
        <v>27</v>
      </c>
      <c r="E107">
        <v>0</v>
      </c>
      <c r="F107" t="s">
        <v>73</v>
      </c>
      <c r="G107" t="s">
        <v>88</v>
      </c>
      <c r="H107" t="s">
        <v>102</v>
      </c>
      <c r="I107" t="s">
        <v>75</v>
      </c>
      <c r="J107" t="s">
        <v>54</v>
      </c>
      <c r="K107">
        <v>29</v>
      </c>
      <c r="L107" t="s">
        <v>33</v>
      </c>
      <c r="M107" t="s">
        <v>34</v>
      </c>
      <c r="N107" t="s">
        <v>35</v>
      </c>
      <c r="O107">
        <v>1042000</v>
      </c>
      <c r="P107">
        <v>86833.33</v>
      </c>
      <c r="Q107">
        <v>22</v>
      </c>
      <c r="R107" t="s">
        <v>36</v>
      </c>
      <c r="S107">
        <v>3.8</v>
      </c>
      <c r="T107">
        <v>63</v>
      </c>
      <c r="U107">
        <v>18</v>
      </c>
      <c r="V107">
        <v>3</v>
      </c>
      <c r="W107" t="s">
        <v>37</v>
      </c>
      <c r="X107">
        <v>3.8</v>
      </c>
      <c r="Y107">
        <v>2</v>
      </c>
      <c r="Z107">
        <v>12.3</v>
      </c>
    </row>
    <row r="108" spans="1:26">
      <c r="A108" t="s">
        <v>202</v>
      </c>
      <c r="B108" s="21">
        <v>43752</v>
      </c>
      <c r="C108" s="21"/>
      <c r="D108" t="s">
        <v>27</v>
      </c>
      <c r="E108">
        <v>0</v>
      </c>
      <c r="F108" t="s">
        <v>28</v>
      </c>
      <c r="G108" t="s">
        <v>91</v>
      </c>
      <c r="H108" t="s">
        <v>64</v>
      </c>
      <c r="I108" t="s">
        <v>31</v>
      </c>
      <c r="J108" t="s">
        <v>149</v>
      </c>
      <c r="K108">
        <v>45</v>
      </c>
      <c r="L108" t="s">
        <v>33</v>
      </c>
      <c r="M108" t="s">
        <v>40</v>
      </c>
      <c r="N108" t="s">
        <v>35</v>
      </c>
      <c r="O108">
        <v>1281000</v>
      </c>
      <c r="P108">
        <v>106750</v>
      </c>
      <c r="Q108">
        <v>74</v>
      </c>
      <c r="R108" t="s">
        <v>36</v>
      </c>
      <c r="S108">
        <v>5</v>
      </c>
      <c r="T108">
        <v>6</v>
      </c>
      <c r="U108">
        <v>23</v>
      </c>
      <c r="V108">
        <v>3</v>
      </c>
      <c r="W108" t="s">
        <v>37</v>
      </c>
      <c r="X108">
        <v>3.8</v>
      </c>
      <c r="Y108">
        <v>5</v>
      </c>
      <c r="Z108">
        <v>5.5</v>
      </c>
    </row>
    <row r="109" spans="1:26">
      <c r="A109" t="s">
        <v>203</v>
      </c>
      <c r="B109" s="21">
        <v>45821</v>
      </c>
      <c r="C109" s="21"/>
      <c r="D109" t="s">
        <v>27</v>
      </c>
      <c r="E109">
        <v>0</v>
      </c>
      <c r="F109" t="s">
        <v>39</v>
      </c>
      <c r="G109" t="s">
        <v>51</v>
      </c>
      <c r="H109" t="s">
        <v>204</v>
      </c>
      <c r="I109" t="s">
        <v>48</v>
      </c>
      <c r="J109" t="s">
        <v>54</v>
      </c>
      <c r="K109">
        <v>38</v>
      </c>
      <c r="L109" t="s">
        <v>130</v>
      </c>
      <c r="M109" t="s">
        <v>78</v>
      </c>
      <c r="N109" t="s">
        <v>35</v>
      </c>
      <c r="O109">
        <v>655000</v>
      </c>
      <c r="P109">
        <v>54583.33</v>
      </c>
      <c r="Q109">
        <v>6</v>
      </c>
      <c r="R109" t="s">
        <v>103</v>
      </c>
      <c r="S109">
        <v>3.3</v>
      </c>
      <c r="T109">
        <v>36</v>
      </c>
      <c r="U109">
        <v>15</v>
      </c>
      <c r="V109">
        <v>7</v>
      </c>
      <c r="W109" t="s">
        <v>37</v>
      </c>
      <c r="X109">
        <v>2.6</v>
      </c>
      <c r="Y109">
        <v>3</v>
      </c>
      <c r="Z109">
        <v>1</v>
      </c>
    </row>
    <row r="110" spans="1:26">
      <c r="A110" t="s">
        <v>205</v>
      </c>
      <c r="B110" s="21">
        <v>45130</v>
      </c>
      <c r="C110" s="21"/>
      <c r="D110" t="s">
        <v>27</v>
      </c>
      <c r="E110">
        <v>0</v>
      </c>
      <c r="F110" t="s">
        <v>67</v>
      </c>
      <c r="G110" t="s">
        <v>88</v>
      </c>
      <c r="H110" t="s">
        <v>77</v>
      </c>
      <c r="I110" t="s">
        <v>53</v>
      </c>
      <c r="J110" t="s">
        <v>54</v>
      </c>
      <c r="K110">
        <v>27</v>
      </c>
      <c r="L110" t="s">
        <v>33</v>
      </c>
      <c r="M110" t="s">
        <v>43</v>
      </c>
      <c r="N110" t="s">
        <v>35</v>
      </c>
      <c r="O110">
        <v>948000</v>
      </c>
      <c r="P110">
        <v>79000</v>
      </c>
      <c r="Q110">
        <v>29</v>
      </c>
      <c r="R110" t="s">
        <v>36</v>
      </c>
      <c r="S110">
        <v>4.3</v>
      </c>
      <c r="T110">
        <v>10</v>
      </c>
      <c r="U110">
        <v>19</v>
      </c>
      <c r="V110">
        <v>13</v>
      </c>
      <c r="W110" t="s">
        <v>37</v>
      </c>
      <c r="X110">
        <v>3.3</v>
      </c>
      <c r="Y110">
        <v>2</v>
      </c>
      <c r="Z110">
        <v>5.9</v>
      </c>
    </row>
    <row r="111" spans="1:26">
      <c r="A111" t="s">
        <v>206</v>
      </c>
      <c r="B111" s="21">
        <v>45481</v>
      </c>
      <c r="C111" s="21"/>
      <c r="D111" t="s">
        <v>27</v>
      </c>
      <c r="E111">
        <v>0</v>
      </c>
      <c r="F111" t="s">
        <v>98</v>
      </c>
      <c r="G111" t="s">
        <v>88</v>
      </c>
      <c r="H111" t="s">
        <v>99</v>
      </c>
      <c r="I111" t="s">
        <v>48</v>
      </c>
      <c r="J111" t="s">
        <v>32</v>
      </c>
      <c r="K111">
        <v>49</v>
      </c>
      <c r="L111" t="s">
        <v>33</v>
      </c>
      <c r="M111" t="s">
        <v>40</v>
      </c>
      <c r="N111" t="s">
        <v>35</v>
      </c>
      <c r="O111">
        <v>1184000</v>
      </c>
      <c r="P111">
        <v>98666.67</v>
      </c>
      <c r="Q111">
        <v>17</v>
      </c>
      <c r="R111" t="s">
        <v>55</v>
      </c>
      <c r="S111">
        <v>3.7</v>
      </c>
      <c r="T111">
        <v>72</v>
      </c>
      <c r="U111">
        <v>5</v>
      </c>
      <c r="V111">
        <v>8</v>
      </c>
      <c r="W111" t="s">
        <v>37</v>
      </c>
      <c r="X111">
        <v>4.9000000000000004</v>
      </c>
      <c r="Y111">
        <v>5</v>
      </c>
      <c r="Z111">
        <v>14.8</v>
      </c>
    </row>
    <row r="112" spans="1:26">
      <c r="A112" t="s">
        <v>207</v>
      </c>
      <c r="B112" s="21">
        <v>42674</v>
      </c>
      <c r="C112" s="21"/>
      <c r="D112" t="s">
        <v>27</v>
      </c>
      <c r="E112">
        <v>0</v>
      </c>
      <c r="F112" t="s">
        <v>73</v>
      </c>
      <c r="G112" t="s">
        <v>29</v>
      </c>
      <c r="H112" t="s">
        <v>102</v>
      </c>
      <c r="I112" t="s">
        <v>41</v>
      </c>
      <c r="J112" t="s">
        <v>54</v>
      </c>
      <c r="K112">
        <v>31</v>
      </c>
      <c r="L112" t="s">
        <v>33</v>
      </c>
      <c r="M112" t="s">
        <v>43</v>
      </c>
      <c r="N112" t="s">
        <v>35</v>
      </c>
      <c r="O112">
        <v>413000</v>
      </c>
      <c r="P112">
        <v>34416.67</v>
      </c>
      <c r="Q112">
        <v>110</v>
      </c>
      <c r="R112" t="s">
        <v>55</v>
      </c>
      <c r="S112">
        <v>2.9</v>
      </c>
      <c r="T112">
        <v>69</v>
      </c>
      <c r="U112">
        <v>0</v>
      </c>
      <c r="V112">
        <v>3</v>
      </c>
      <c r="W112" t="s">
        <v>44</v>
      </c>
      <c r="X112">
        <v>4.2</v>
      </c>
      <c r="Y112">
        <v>1</v>
      </c>
      <c r="Z112">
        <v>9.4</v>
      </c>
    </row>
    <row r="113" spans="1:26">
      <c r="A113" t="s">
        <v>208</v>
      </c>
      <c r="B113" s="21">
        <v>42943</v>
      </c>
      <c r="C113" s="21"/>
      <c r="D113" t="s">
        <v>27</v>
      </c>
      <c r="E113">
        <v>0</v>
      </c>
      <c r="F113" t="s">
        <v>73</v>
      </c>
      <c r="G113" t="s">
        <v>88</v>
      </c>
      <c r="H113" t="s">
        <v>102</v>
      </c>
      <c r="I113" t="s">
        <v>75</v>
      </c>
      <c r="J113" t="s">
        <v>54</v>
      </c>
      <c r="K113">
        <v>45</v>
      </c>
      <c r="L113" t="s">
        <v>33</v>
      </c>
      <c r="M113" t="s">
        <v>58</v>
      </c>
      <c r="N113" t="s">
        <v>35</v>
      </c>
      <c r="O113">
        <v>1318000</v>
      </c>
      <c r="P113">
        <v>109833.33</v>
      </c>
      <c r="Q113">
        <v>101</v>
      </c>
      <c r="R113" t="s">
        <v>36</v>
      </c>
      <c r="S113">
        <v>2.2999999999999998</v>
      </c>
      <c r="T113">
        <v>45</v>
      </c>
      <c r="U113">
        <v>23</v>
      </c>
      <c r="V113">
        <v>8</v>
      </c>
      <c r="W113" t="s">
        <v>37</v>
      </c>
      <c r="X113">
        <v>3.7</v>
      </c>
      <c r="Y113">
        <v>4</v>
      </c>
      <c r="Z113">
        <v>11.4</v>
      </c>
    </row>
    <row r="114" spans="1:26">
      <c r="A114" t="s">
        <v>209</v>
      </c>
      <c r="B114" s="21">
        <v>43130</v>
      </c>
      <c r="C114" s="21"/>
      <c r="D114" t="s">
        <v>27</v>
      </c>
      <c r="E114">
        <v>0</v>
      </c>
      <c r="F114" t="s">
        <v>28</v>
      </c>
      <c r="G114" t="s">
        <v>70</v>
      </c>
      <c r="H114" t="s">
        <v>121</v>
      </c>
      <c r="I114" t="s">
        <v>75</v>
      </c>
      <c r="J114" t="s">
        <v>54</v>
      </c>
      <c r="K114">
        <v>32</v>
      </c>
      <c r="L114" t="s">
        <v>33</v>
      </c>
      <c r="M114" t="s">
        <v>58</v>
      </c>
      <c r="N114" t="s">
        <v>35</v>
      </c>
      <c r="O114">
        <v>440000</v>
      </c>
      <c r="P114">
        <v>36666.67</v>
      </c>
      <c r="Q114">
        <v>95</v>
      </c>
      <c r="R114" t="s">
        <v>55</v>
      </c>
      <c r="S114">
        <v>2.4</v>
      </c>
      <c r="T114">
        <v>34</v>
      </c>
      <c r="U114">
        <v>21</v>
      </c>
      <c r="V114">
        <v>7</v>
      </c>
      <c r="W114" t="s">
        <v>37</v>
      </c>
      <c r="X114">
        <v>4.0999999999999996</v>
      </c>
      <c r="Y114">
        <v>5</v>
      </c>
      <c r="Z114">
        <v>10.7</v>
      </c>
    </row>
    <row r="115" spans="1:26">
      <c r="A115" t="s">
        <v>210</v>
      </c>
      <c r="B115" s="21">
        <v>44135</v>
      </c>
      <c r="C115" s="21">
        <v>45072</v>
      </c>
      <c r="D115" t="s">
        <v>57</v>
      </c>
      <c r="E115">
        <v>1</v>
      </c>
      <c r="F115" t="s">
        <v>67</v>
      </c>
      <c r="G115" t="s">
        <v>29</v>
      </c>
      <c r="H115" t="s">
        <v>80</v>
      </c>
      <c r="I115" t="s">
        <v>31</v>
      </c>
      <c r="J115" t="s">
        <v>32</v>
      </c>
      <c r="K115">
        <v>25</v>
      </c>
      <c r="L115" t="s">
        <v>42</v>
      </c>
      <c r="M115" t="s">
        <v>58</v>
      </c>
      <c r="N115" t="s">
        <v>35</v>
      </c>
      <c r="O115">
        <v>317000</v>
      </c>
      <c r="P115">
        <v>26416.67</v>
      </c>
      <c r="Q115">
        <v>31</v>
      </c>
      <c r="R115" t="s">
        <v>36</v>
      </c>
      <c r="S115">
        <v>3.8</v>
      </c>
      <c r="T115">
        <v>21</v>
      </c>
      <c r="U115">
        <v>10</v>
      </c>
      <c r="V115">
        <v>5</v>
      </c>
      <c r="W115" t="s">
        <v>37</v>
      </c>
      <c r="X115">
        <v>3.2</v>
      </c>
      <c r="Y115">
        <v>3</v>
      </c>
      <c r="Z115">
        <v>5.9</v>
      </c>
    </row>
    <row r="116" spans="1:26">
      <c r="A116" t="s">
        <v>211</v>
      </c>
      <c r="B116" s="21">
        <v>43471</v>
      </c>
      <c r="C116" s="21"/>
      <c r="D116" t="s">
        <v>27</v>
      </c>
      <c r="E116">
        <v>0</v>
      </c>
      <c r="F116" t="s">
        <v>98</v>
      </c>
      <c r="G116" t="s">
        <v>70</v>
      </c>
      <c r="H116" t="s">
        <v>212</v>
      </c>
      <c r="I116" t="s">
        <v>53</v>
      </c>
      <c r="J116" t="s">
        <v>54</v>
      </c>
      <c r="K116">
        <v>34</v>
      </c>
      <c r="L116" t="s">
        <v>33</v>
      </c>
      <c r="M116" t="s">
        <v>58</v>
      </c>
      <c r="N116" t="s">
        <v>35</v>
      </c>
      <c r="O116">
        <v>525000</v>
      </c>
      <c r="P116">
        <v>43750</v>
      </c>
      <c r="Q116">
        <v>83</v>
      </c>
      <c r="R116" t="s">
        <v>36</v>
      </c>
      <c r="S116">
        <v>4.4000000000000004</v>
      </c>
      <c r="T116">
        <v>79</v>
      </c>
      <c r="U116">
        <v>19</v>
      </c>
      <c r="V116">
        <v>6</v>
      </c>
      <c r="W116" t="s">
        <v>37</v>
      </c>
      <c r="X116">
        <v>4.2</v>
      </c>
      <c r="Y116">
        <v>1</v>
      </c>
      <c r="Z116">
        <v>11.1</v>
      </c>
    </row>
    <row r="117" spans="1:26">
      <c r="A117" t="s">
        <v>213</v>
      </c>
      <c r="B117" s="21">
        <v>44173</v>
      </c>
      <c r="C117" s="21"/>
      <c r="D117" t="s">
        <v>27</v>
      </c>
      <c r="E117">
        <v>0</v>
      </c>
      <c r="F117" t="s">
        <v>73</v>
      </c>
      <c r="G117" t="s">
        <v>91</v>
      </c>
      <c r="H117" t="s">
        <v>126</v>
      </c>
      <c r="I117" t="s">
        <v>75</v>
      </c>
      <c r="J117" t="s">
        <v>32</v>
      </c>
      <c r="K117">
        <v>39</v>
      </c>
      <c r="L117" t="s">
        <v>33</v>
      </c>
      <c r="M117" t="s">
        <v>58</v>
      </c>
      <c r="N117" t="s">
        <v>35</v>
      </c>
      <c r="O117">
        <v>1356000</v>
      </c>
      <c r="P117">
        <v>113000</v>
      </c>
      <c r="Q117">
        <v>60</v>
      </c>
      <c r="R117" t="s">
        <v>36</v>
      </c>
      <c r="S117">
        <v>4.8</v>
      </c>
      <c r="T117">
        <v>41</v>
      </c>
      <c r="U117">
        <v>25</v>
      </c>
      <c r="V117">
        <v>0</v>
      </c>
      <c r="W117" t="s">
        <v>44</v>
      </c>
      <c r="X117">
        <v>4.0999999999999996</v>
      </c>
      <c r="Y117">
        <v>2</v>
      </c>
      <c r="Z117">
        <v>7.7</v>
      </c>
    </row>
    <row r="118" spans="1:26">
      <c r="A118" t="s">
        <v>214</v>
      </c>
      <c r="B118" s="21">
        <v>43979</v>
      </c>
      <c r="C118" s="21"/>
      <c r="D118" t="s">
        <v>27</v>
      </c>
      <c r="E118">
        <v>0</v>
      </c>
      <c r="F118" t="s">
        <v>73</v>
      </c>
      <c r="G118" t="s">
        <v>88</v>
      </c>
      <c r="H118" t="s">
        <v>118</v>
      </c>
      <c r="I118" t="s">
        <v>53</v>
      </c>
      <c r="J118" t="s">
        <v>32</v>
      </c>
      <c r="K118">
        <v>32</v>
      </c>
      <c r="L118" t="s">
        <v>33</v>
      </c>
      <c r="M118" t="s">
        <v>34</v>
      </c>
      <c r="N118" t="s">
        <v>35</v>
      </c>
      <c r="O118">
        <v>1154000</v>
      </c>
      <c r="P118">
        <v>96166.67</v>
      </c>
      <c r="Q118">
        <v>67</v>
      </c>
      <c r="R118" t="s">
        <v>55</v>
      </c>
      <c r="S118">
        <v>4.9000000000000004</v>
      </c>
      <c r="T118">
        <v>19</v>
      </c>
      <c r="U118">
        <v>20</v>
      </c>
      <c r="V118">
        <v>18</v>
      </c>
      <c r="W118" t="s">
        <v>44</v>
      </c>
      <c r="X118">
        <v>4.8</v>
      </c>
      <c r="Y118">
        <v>5</v>
      </c>
      <c r="Z118">
        <v>10.6</v>
      </c>
    </row>
    <row r="119" spans="1:26">
      <c r="A119" t="s">
        <v>215</v>
      </c>
      <c r="B119" s="21">
        <v>42672</v>
      </c>
      <c r="C119" s="21"/>
      <c r="D119" t="s">
        <v>27</v>
      </c>
      <c r="E119">
        <v>0</v>
      </c>
      <c r="F119" t="s">
        <v>98</v>
      </c>
      <c r="G119" t="s">
        <v>88</v>
      </c>
      <c r="H119" t="s">
        <v>99</v>
      </c>
      <c r="I119" t="s">
        <v>41</v>
      </c>
      <c r="J119" t="s">
        <v>32</v>
      </c>
      <c r="K119">
        <v>34</v>
      </c>
      <c r="L119" t="s">
        <v>33</v>
      </c>
      <c r="M119" t="s">
        <v>34</v>
      </c>
      <c r="N119" t="s">
        <v>35</v>
      </c>
      <c r="O119">
        <v>1175000</v>
      </c>
      <c r="P119">
        <v>97916.67</v>
      </c>
      <c r="Q119">
        <v>110</v>
      </c>
      <c r="R119" t="s">
        <v>55</v>
      </c>
      <c r="S119">
        <v>3.8</v>
      </c>
      <c r="T119">
        <v>5</v>
      </c>
      <c r="U119">
        <v>3</v>
      </c>
      <c r="V119">
        <v>2</v>
      </c>
      <c r="W119" t="s">
        <v>37</v>
      </c>
      <c r="X119">
        <v>3.5</v>
      </c>
      <c r="Y119">
        <v>2</v>
      </c>
      <c r="Z119">
        <v>9.8000000000000007</v>
      </c>
    </row>
    <row r="120" spans="1:26">
      <c r="A120" t="s">
        <v>216</v>
      </c>
      <c r="B120" s="21">
        <v>45019</v>
      </c>
      <c r="C120" s="21"/>
      <c r="D120" t="s">
        <v>27</v>
      </c>
      <c r="E120">
        <v>0</v>
      </c>
      <c r="F120" t="s">
        <v>28</v>
      </c>
      <c r="G120" t="s">
        <v>51</v>
      </c>
      <c r="H120" t="s">
        <v>121</v>
      </c>
      <c r="I120" t="s">
        <v>53</v>
      </c>
      <c r="J120" t="s">
        <v>54</v>
      </c>
      <c r="K120">
        <v>30</v>
      </c>
      <c r="L120" t="s">
        <v>42</v>
      </c>
      <c r="M120" t="s">
        <v>43</v>
      </c>
      <c r="N120" t="s">
        <v>35</v>
      </c>
      <c r="O120">
        <v>658000</v>
      </c>
      <c r="P120">
        <v>54833.33</v>
      </c>
      <c r="Q120">
        <v>32</v>
      </c>
      <c r="R120" t="s">
        <v>36</v>
      </c>
      <c r="S120">
        <v>4.3</v>
      </c>
      <c r="T120">
        <v>3</v>
      </c>
      <c r="U120">
        <v>20</v>
      </c>
      <c r="V120">
        <v>4</v>
      </c>
      <c r="W120" t="s">
        <v>44</v>
      </c>
      <c r="X120">
        <v>2.9</v>
      </c>
      <c r="Y120">
        <v>4</v>
      </c>
      <c r="Z120">
        <v>8.5</v>
      </c>
    </row>
    <row r="121" spans="1:26">
      <c r="A121" t="s">
        <v>217</v>
      </c>
      <c r="B121" s="21">
        <v>42721</v>
      </c>
      <c r="C121" s="21"/>
      <c r="D121" t="s">
        <v>27</v>
      </c>
      <c r="E121">
        <v>0</v>
      </c>
      <c r="F121" t="s">
        <v>73</v>
      </c>
      <c r="G121" t="s">
        <v>70</v>
      </c>
      <c r="H121" t="s">
        <v>118</v>
      </c>
      <c r="I121" t="s">
        <v>75</v>
      </c>
      <c r="J121" t="s">
        <v>54</v>
      </c>
      <c r="K121">
        <v>49</v>
      </c>
      <c r="L121" t="s">
        <v>42</v>
      </c>
      <c r="M121" t="s">
        <v>65</v>
      </c>
      <c r="N121" t="s">
        <v>35</v>
      </c>
      <c r="O121">
        <v>629000</v>
      </c>
      <c r="P121">
        <v>52416.67</v>
      </c>
      <c r="Q121">
        <v>108</v>
      </c>
      <c r="R121" t="s">
        <v>36</v>
      </c>
      <c r="S121">
        <v>4.8</v>
      </c>
      <c r="T121">
        <v>13</v>
      </c>
      <c r="U121">
        <v>16</v>
      </c>
      <c r="V121">
        <v>7</v>
      </c>
      <c r="W121" t="s">
        <v>37</v>
      </c>
      <c r="X121">
        <v>2.9</v>
      </c>
      <c r="Y121">
        <v>3</v>
      </c>
      <c r="Z121">
        <v>9.6999999999999993</v>
      </c>
    </row>
    <row r="122" spans="1:26">
      <c r="A122" t="s">
        <v>218</v>
      </c>
      <c r="B122" s="21">
        <v>45403</v>
      </c>
      <c r="C122" s="21"/>
      <c r="D122" t="s">
        <v>27</v>
      </c>
      <c r="E122">
        <v>0</v>
      </c>
      <c r="F122" t="s">
        <v>98</v>
      </c>
      <c r="G122" t="s">
        <v>70</v>
      </c>
      <c r="H122" t="s">
        <v>212</v>
      </c>
      <c r="I122" t="s">
        <v>53</v>
      </c>
      <c r="J122" t="s">
        <v>32</v>
      </c>
      <c r="K122">
        <v>37</v>
      </c>
      <c r="L122" t="s">
        <v>33</v>
      </c>
      <c r="M122" t="s">
        <v>78</v>
      </c>
      <c r="N122" t="s">
        <v>35</v>
      </c>
      <c r="O122">
        <v>527000</v>
      </c>
      <c r="P122">
        <v>43916.67</v>
      </c>
      <c r="Q122">
        <v>20</v>
      </c>
      <c r="R122" t="s">
        <v>36</v>
      </c>
      <c r="S122">
        <v>4</v>
      </c>
      <c r="T122">
        <v>8</v>
      </c>
      <c r="U122">
        <v>17</v>
      </c>
      <c r="V122">
        <v>9</v>
      </c>
      <c r="W122" t="s">
        <v>37</v>
      </c>
      <c r="X122">
        <v>3.3</v>
      </c>
      <c r="Y122">
        <v>5</v>
      </c>
      <c r="Z122">
        <v>11.2</v>
      </c>
    </row>
    <row r="123" spans="1:26">
      <c r="A123" t="s">
        <v>219</v>
      </c>
      <c r="B123" s="21">
        <v>44569</v>
      </c>
      <c r="C123" s="21"/>
      <c r="D123" t="s">
        <v>27</v>
      </c>
      <c r="E123">
        <v>0</v>
      </c>
      <c r="F123" t="s">
        <v>28</v>
      </c>
      <c r="G123" t="s">
        <v>88</v>
      </c>
      <c r="H123" t="s">
        <v>121</v>
      </c>
      <c r="I123" t="s">
        <v>53</v>
      </c>
      <c r="J123" t="s">
        <v>32</v>
      </c>
      <c r="K123">
        <v>45</v>
      </c>
      <c r="L123" t="s">
        <v>42</v>
      </c>
      <c r="M123" t="s">
        <v>78</v>
      </c>
      <c r="N123" t="s">
        <v>35</v>
      </c>
      <c r="O123">
        <v>964000</v>
      </c>
      <c r="P123">
        <v>80333.33</v>
      </c>
      <c r="Q123">
        <v>47</v>
      </c>
      <c r="R123" t="s">
        <v>36</v>
      </c>
      <c r="S123">
        <v>4.2</v>
      </c>
      <c r="T123">
        <v>78</v>
      </c>
      <c r="U123">
        <v>5</v>
      </c>
      <c r="V123">
        <v>5</v>
      </c>
      <c r="W123" t="s">
        <v>37</v>
      </c>
      <c r="X123">
        <v>3.1</v>
      </c>
      <c r="Y123">
        <v>4</v>
      </c>
      <c r="Z123">
        <v>2.8</v>
      </c>
    </row>
    <row r="124" spans="1:26">
      <c r="A124" t="s">
        <v>220</v>
      </c>
      <c r="B124" s="21">
        <v>43652</v>
      </c>
      <c r="C124" s="21"/>
      <c r="D124" t="s">
        <v>27</v>
      </c>
      <c r="E124">
        <v>0</v>
      </c>
      <c r="F124" t="s">
        <v>28</v>
      </c>
      <c r="G124" t="s">
        <v>88</v>
      </c>
      <c r="H124" t="s">
        <v>64</v>
      </c>
      <c r="I124" t="s">
        <v>62</v>
      </c>
      <c r="J124" t="s">
        <v>32</v>
      </c>
      <c r="K124">
        <v>47</v>
      </c>
      <c r="L124" t="s">
        <v>33</v>
      </c>
      <c r="M124" t="s">
        <v>65</v>
      </c>
      <c r="N124" t="s">
        <v>35</v>
      </c>
      <c r="O124">
        <v>1157000</v>
      </c>
      <c r="P124">
        <v>96416.67</v>
      </c>
      <c r="Q124">
        <v>77</v>
      </c>
      <c r="R124" t="s">
        <v>36</v>
      </c>
      <c r="S124">
        <v>4</v>
      </c>
      <c r="T124">
        <v>57</v>
      </c>
      <c r="U124">
        <v>17</v>
      </c>
      <c r="V124">
        <v>10</v>
      </c>
      <c r="W124" t="s">
        <v>37</v>
      </c>
      <c r="X124">
        <v>4.0999999999999996</v>
      </c>
      <c r="Y124">
        <v>1</v>
      </c>
      <c r="Z124">
        <v>13.5</v>
      </c>
    </row>
    <row r="125" spans="1:26">
      <c r="A125" t="s">
        <v>221</v>
      </c>
      <c r="B125" s="21">
        <v>42409</v>
      </c>
      <c r="C125" s="21"/>
      <c r="D125" t="s">
        <v>27</v>
      </c>
      <c r="E125">
        <v>0</v>
      </c>
      <c r="F125" t="s">
        <v>28</v>
      </c>
      <c r="G125" t="s">
        <v>91</v>
      </c>
      <c r="H125" t="s">
        <v>30</v>
      </c>
      <c r="I125" t="s">
        <v>62</v>
      </c>
      <c r="J125" t="s">
        <v>54</v>
      </c>
      <c r="K125">
        <v>41</v>
      </c>
      <c r="L125" t="s">
        <v>33</v>
      </c>
      <c r="M125" t="s">
        <v>43</v>
      </c>
      <c r="N125" t="s">
        <v>35</v>
      </c>
      <c r="O125">
        <v>1194000</v>
      </c>
      <c r="P125">
        <v>99500</v>
      </c>
      <c r="Q125">
        <v>118</v>
      </c>
      <c r="R125" t="s">
        <v>36</v>
      </c>
      <c r="S125">
        <v>3.6</v>
      </c>
      <c r="T125">
        <v>58</v>
      </c>
      <c r="U125">
        <v>4</v>
      </c>
      <c r="V125">
        <v>8</v>
      </c>
      <c r="W125" t="s">
        <v>37</v>
      </c>
      <c r="X125">
        <v>2.6</v>
      </c>
      <c r="Y125">
        <v>3</v>
      </c>
      <c r="Z125">
        <v>9.5</v>
      </c>
    </row>
    <row r="126" spans="1:26">
      <c r="A126" t="s">
        <v>222</v>
      </c>
      <c r="B126" s="21">
        <v>44398</v>
      </c>
      <c r="C126" s="21"/>
      <c r="D126" t="s">
        <v>27</v>
      </c>
      <c r="E126">
        <v>0</v>
      </c>
      <c r="F126" t="s">
        <v>28</v>
      </c>
      <c r="G126" t="s">
        <v>88</v>
      </c>
      <c r="H126" t="s">
        <v>121</v>
      </c>
      <c r="I126" t="s">
        <v>41</v>
      </c>
      <c r="J126" t="s">
        <v>32</v>
      </c>
      <c r="K126">
        <v>39</v>
      </c>
      <c r="L126" t="s">
        <v>33</v>
      </c>
      <c r="M126" t="s">
        <v>34</v>
      </c>
      <c r="N126" t="s">
        <v>35</v>
      </c>
      <c r="O126">
        <v>963000</v>
      </c>
      <c r="P126">
        <v>80250</v>
      </c>
      <c r="Q126">
        <v>53</v>
      </c>
      <c r="R126" t="s">
        <v>36</v>
      </c>
      <c r="S126">
        <v>3.4</v>
      </c>
      <c r="T126">
        <v>4</v>
      </c>
      <c r="U126">
        <v>22</v>
      </c>
      <c r="V126">
        <v>9</v>
      </c>
      <c r="W126" t="s">
        <v>37</v>
      </c>
      <c r="X126">
        <v>3.8</v>
      </c>
      <c r="Y126">
        <v>5</v>
      </c>
      <c r="Z126">
        <v>7.4</v>
      </c>
    </row>
    <row r="127" spans="1:26">
      <c r="A127" t="s">
        <v>223</v>
      </c>
      <c r="B127" s="21">
        <v>45715</v>
      </c>
      <c r="C127" s="21"/>
      <c r="D127" t="s">
        <v>27</v>
      </c>
      <c r="E127">
        <v>0</v>
      </c>
      <c r="F127" t="s">
        <v>73</v>
      </c>
      <c r="G127" t="s">
        <v>70</v>
      </c>
      <c r="H127" t="s">
        <v>74</v>
      </c>
      <c r="I127" t="s">
        <v>62</v>
      </c>
      <c r="J127" t="s">
        <v>32</v>
      </c>
      <c r="K127">
        <v>48</v>
      </c>
      <c r="L127" t="s">
        <v>42</v>
      </c>
      <c r="M127" t="s">
        <v>43</v>
      </c>
      <c r="N127" t="s">
        <v>35</v>
      </c>
      <c r="O127">
        <v>562000</v>
      </c>
      <c r="P127">
        <v>46833.33</v>
      </c>
      <c r="Q127">
        <v>10</v>
      </c>
      <c r="R127" t="s">
        <v>55</v>
      </c>
      <c r="S127">
        <v>4.3</v>
      </c>
      <c r="T127">
        <v>76</v>
      </c>
      <c r="U127">
        <v>22</v>
      </c>
      <c r="V127">
        <v>9</v>
      </c>
      <c r="W127" t="s">
        <v>44</v>
      </c>
      <c r="X127">
        <v>3.2</v>
      </c>
      <c r="Y127">
        <v>4</v>
      </c>
      <c r="Z127">
        <v>1</v>
      </c>
    </row>
    <row r="128" spans="1:26">
      <c r="A128" t="s">
        <v>224</v>
      </c>
      <c r="B128" s="21">
        <v>45253</v>
      </c>
      <c r="C128" s="21"/>
      <c r="D128" t="s">
        <v>27</v>
      </c>
      <c r="E128">
        <v>0</v>
      </c>
      <c r="F128" t="s">
        <v>28</v>
      </c>
      <c r="G128" t="s">
        <v>70</v>
      </c>
      <c r="H128" t="s">
        <v>64</v>
      </c>
      <c r="I128" t="s">
        <v>62</v>
      </c>
      <c r="J128" t="s">
        <v>32</v>
      </c>
      <c r="K128">
        <v>34</v>
      </c>
      <c r="L128" t="s">
        <v>33</v>
      </c>
      <c r="M128" t="s">
        <v>65</v>
      </c>
      <c r="N128" t="s">
        <v>35</v>
      </c>
      <c r="O128">
        <v>628000</v>
      </c>
      <c r="P128">
        <v>52333.33</v>
      </c>
      <c r="Q128">
        <v>25</v>
      </c>
      <c r="R128" t="s">
        <v>55</v>
      </c>
      <c r="S128">
        <v>4.5</v>
      </c>
      <c r="T128">
        <v>31</v>
      </c>
      <c r="U128">
        <v>21</v>
      </c>
      <c r="V128">
        <v>3</v>
      </c>
      <c r="W128" t="s">
        <v>37</v>
      </c>
      <c r="X128">
        <v>4.5</v>
      </c>
      <c r="Y128">
        <v>3</v>
      </c>
      <c r="Z128">
        <v>16.5</v>
      </c>
    </row>
    <row r="129" spans="1:26">
      <c r="A129" t="s">
        <v>225</v>
      </c>
      <c r="B129" s="21">
        <v>44374</v>
      </c>
      <c r="C129" s="21"/>
      <c r="D129" t="s">
        <v>27</v>
      </c>
      <c r="E129">
        <v>0</v>
      </c>
      <c r="F129" t="s">
        <v>39</v>
      </c>
      <c r="G129" t="s">
        <v>88</v>
      </c>
      <c r="H129" t="s">
        <v>40</v>
      </c>
      <c r="I129" t="s">
        <v>53</v>
      </c>
      <c r="J129" t="s">
        <v>149</v>
      </c>
      <c r="K129">
        <v>49</v>
      </c>
      <c r="L129" t="s">
        <v>33</v>
      </c>
      <c r="M129" t="s">
        <v>65</v>
      </c>
      <c r="N129" t="s">
        <v>35</v>
      </c>
      <c r="O129">
        <v>1340000</v>
      </c>
      <c r="P129">
        <v>111666.67</v>
      </c>
      <c r="Q129">
        <v>54</v>
      </c>
      <c r="R129" t="s">
        <v>55</v>
      </c>
      <c r="S129">
        <v>4.4000000000000004</v>
      </c>
      <c r="T129">
        <v>11</v>
      </c>
      <c r="U129">
        <v>6</v>
      </c>
      <c r="V129">
        <v>2</v>
      </c>
      <c r="W129" t="s">
        <v>44</v>
      </c>
      <c r="X129">
        <v>3.8</v>
      </c>
      <c r="Y129">
        <v>5</v>
      </c>
      <c r="Z129">
        <v>3</v>
      </c>
    </row>
    <row r="130" spans="1:26">
      <c r="A130" t="s">
        <v>226</v>
      </c>
      <c r="B130" s="21">
        <v>45090</v>
      </c>
      <c r="C130" s="21"/>
      <c r="D130" t="s">
        <v>27</v>
      </c>
      <c r="E130">
        <v>0</v>
      </c>
      <c r="F130" t="s">
        <v>39</v>
      </c>
      <c r="G130" t="s">
        <v>51</v>
      </c>
      <c r="H130" t="s">
        <v>204</v>
      </c>
      <c r="I130" t="s">
        <v>53</v>
      </c>
      <c r="J130" t="s">
        <v>32</v>
      </c>
      <c r="K130">
        <v>35</v>
      </c>
      <c r="L130" t="s">
        <v>42</v>
      </c>
      <c r="M130" t="s">
        <v>40</v>
      </c>
      <c r="N130" t="s">
        <v>35</v>
      </c>
      <c r="O130">
        <v>806000</v>
      </c>
      <c r="P130">
        <v>67166.67</v>
      </c>
      <c r="Q130">
        <v>30</v>
      </c>
      <c r="R130" t="s">
        <v>55</v>
      </c>
      <c r="S130">
        <v>2</v>
      </c>
      <c r="T130">
        <v>80</v>
      </c>
      <c r="U130">
        <v>14</v>
      </c>
      <c r="V130">
        <v>1</v>
      </c>
      <c r="W130" t="s">
        <v>37</v>
      </c>
      <c r="X130">
        <v>3.1</v>
      </c>
      <c r="Y130">
        <v>2</v>
      </c>
      <c r="Z130">
        <v>9.1999999999999993</v>
      </c>
    </row>
    <row r="131" spans="1:26">
      <c r="A131" t="s">
        <v>227</v>
      </c>
      <c r="B131" s="21">
        <v>42878</v>
      </c>
      <c r="C131" s="21"/>
      <c r="D131" t="s">
        <v>27</v>
      </c>
      <c r="E131">
        <v>0</v>
      </c>
      <c r="F131" t="s">
        <v>39</v>
      </c>
      <c r="G131" t="s">
        <v>51</v>
      </c>
      <c r="H131" t="s">
        <v>40</v>
      </c>
      <c r="I131" t="s">
        <v>41</v>
      </c>
      <c r="J131" t="s">
        <v>32</v>
      </c>
      <c r="K131">
        <v>43</v>
      </c>
      <c r="L131" t="s">
        <v>33</v>
      </c>
      <c r="M131" t="s">
        <v>34</v>
      </c>
      <c r="N131" t="s">
        <v>194</v>
      </c>
      <c r="O131">
        <v>976000</v>
      </c>
      <c r="P131">
        <v>81333.33</v>
      </c>
      <c r="Q131">
        <v>103</v>
      </c>
      <c r="R131" t="s">
        <v>116</v>
      </c>
      <c r="S131">
        <v>3.3</v>
      </c>
      <c r="T131">
        <v>21</v>
      </c>
      <c r="U131">
        <v>0</v>
      </c>
      <c r="V131">
        <v>8</v>
      </c>
      <c r="W131" t="s">
        <v>37</v>
      </c>
      <c r="X131">
        <v>4.9000000000000004</v>
      </c>
      <c r="Y131">
        <v>2</v>
      </c>
      <c r="Z131">
        <v>2.2999999999999998</v>
      </c>
    </row>
    <row r="132" spans="1:26">
      <c r="A132" t="s">
        <v>228</v>
      </c>
      <c r="B132" s="21">
        <v>45343</v>
      </c>
      <c r="C132" s="21"/>
      <c r="D132" t="s">
        <v>27</v>
      </c>
      <c r="E132">
        <v>0</v>
      </c>
      <c r="F132" t="s">
        <v>67</v>
      </c>
      <c r="G132" t="s">
        <v>51</v>
      </c>
      <c r="H132" t="s">
        <v>77</v>
      </c>
      <c r="I132" t="s">
        <v>41</v>
      </c>
      <c r="J132" t="s">
        <v>134</v>
      </c>
      <c r="K132">
        <v>38</v>
      </c>
      <c r="L132" t="s">
        <v>33</v>
      </c>
      <c r="M132" t="s">
        <v>65</v>
      </c>
      <c r="N132" t="s">
        <v>35</v>
      </c>
      <c r="O132">
        <v>652000</v>
      </c>
      <c r="P132">
        <v>54333.33</v>
      </c>
      <c r="Q132">
        <v>22</v>
      </c>
      <c r="R132" t="s">
        <v>36</v>
      </c>
      <c r="S132">
        <v>2.9</v>
      </c>
      <c r="T132">
        <v>49</v>
      </c>
      <c r="U132">
        <v>5</v>
      </c>
      <c r="V132">
        <v>0</v>
      </c>
      <c r="W132" t="s">
        <v>44</v>
      </c>
      <c r="X132">
        <v>4</v>
      </c>
      <c r="Y132">
        <v>5</v>
      </c>
      <c r="Z132">
        <v>12.2</v>
      </c>
    </row>
    <row r="133" spans="1:26">
      <c r="A133" t="s">
        <v>229</v>
      </c>
      <c r="B133" s="21">
        <v>42792</v>
      </c>
      <c r="C133" s="21"/>
      <c r="D133" t="s">
        <v>27</v>
      </c>
      <c r="E133">
        <v>0</v>
      </c>
      <c r="F133" t="s">
        <v>67</v>
      </c>
      <c r="G133" t="s">
        <v>88</v>
      </c>
      <c r="H133" t="s">
        <v>95</v>
      </c>
      <c r="I133" t="s">
        <v>53</v>
      </c>
      <c r="J133" t="s">
        <v>54</v>
      </c>
      <c r="K133">
        <v>37</v>
      </c>
      <c r="L133" t="s">
        <v>33</v>
      </c>
      <c r="M133" t="s">
        <v>78</v>
      </c>
      <c r="N133" t="s">
        <v>194</v>
      </c>
      <c r="O133">
        <v>1113000</v>
      </c>
      <c r="P133">
        <v>92750</v>
      </c>
      <c r="Q133">
        <v>106</v>
      </c>
      <c r="R133" t="s">
        <v>36</v>
      </c>
      <c r="S133">
        <v>5</v>
      </c>
      <c r="T133">
        <v>78</v>
      </c>
      <c r="U133">
        <v>20</v>
      </c>
      <c r="V133">
        <v>10</v>
      </c>
      <c r="W133" t="s">
        <v>37</v>
      </c>
      <c r="X133">
        <v>4.0999999999999996</v>
      </c>
      <c r="Y133">
        <v>4</v>
      </c>
      <c r="Z133">
        <v>8.9</v>
      </c>
    </row>
    <row r="134" spans="1:26">
      <c r="A134" t="s">
        <v>230</v>
      </c>
      <c r="B134" s="21">
        <v>42725</v>
      </c>
      <c r="C134" s="21"/>
      <c r="D134" t="s">
        <v>27</v>
      </c>
      <c r="E134">
        <v>0</v>
      </c>
      <c r="F134" t="s">
        <v>98</v>
      </c>
      <c r="G134" t="s">
        <v>88</v>
      </c>
      <c r="H134" t="s">
        <v>106</v>
      </c>
      <c r="I134" t="s">
        <v>31</v>
      </c>
      <c r="J134" t="s">
        <v>54</v>
      </c>
      <c r="K134">
        <v>46</v>
      </c>
      <c r="L134" t="s">
        <v>42</v>
      </c>
      <c r="M134" t="s">
        <v>40</v>
      </c>
      <c r="N134" t="s">
        <v>35</v>
      </c>
      <c r="O134">
        <v>1156000</v>
      </c>
      <c r="P134">
        <v>96333.33</v>
      </c>
      <c r="Q134">
        <v>108</v>
      </c>
      <c r="R134" t="s">
        <v>36</v>
      </c>
      <c r="S134">
        <v>3.2</v>
      </c>
      <c r="T134">
        <v>77</v>
      </c>
      <c r="U134">
        <v>21</v>
      </c>
      <c r="V134">
        <v>9</v>
      </c>
      <c r="W134" t="s">
        <v>37</v>
      </c>
      <c r="X134">
        <v>3.8</v>
      </c>
      <c r="Y134">
        <v>5</v>
      </c>
      <c r="Z134">
        <v>4.5999999999999996</v>
      </c>
    </row>
    <row r="135" spans="1:26">
      <c r="A135" t="s">
        <v>231</v>
      </c>
      <c r="B135" s="21">
        <v>43580</v>
      </c>
      <c r="C135" s="21"/>
      <c r="D135" t="s">
        <v>27</v>
      </c>
      <c r="E135">
        <v>0</v>
      </c>
      <c r="F135" t="s">
        <v>28</v>
      </c>
      <c r="G135" t="s">
        <v>88</v>
      </c>
      <c r="H135" t="s">
        <v>30</v>
      </c>
      <c r="I135" t="s">
        <v>53</v>
      </c>
      <c r="J135" t="s">
        <v>32</v>
      </c>
      <c r="K135">
        <v>35</v>
      </c>
      <c r="L135" t="s">
        <v>33</v>
      </c>
      <c r="M135" t="s">
        <v>34</v>
      </c>
      <c r="N135" t="s">
        <v>35</v>
      </c>
      <c r="O135">
        <v>1234000</v>
      </c>
      <c r="P135">
        <v>102833.33</v>
      </c>
      <c r="Q135">
        <v>80</v>
      </c>
      <c r="R135" t="s">
        <v>36</v>
      </c>
      <c r="S135">
        <v>2.4</v>
      </c>
      <c r="T135">
        <v>60</v>
      </c>
      <c r="U135">
        <v>13</v>
      </c>
      <c r="V135">
        <v>2</v>
      </c>
      <c r="W135" t="s">
        <v>37</v>
      </c>
      <c r="X135">
        <v>3.5</v>
      </c>
      <c r="Y135">
        <v>0</v>
      </c>
      <c r="Z135">
        <v>7.2</v>
      </c>
    </row>
    <row r="136" spans="1:26">
      <c r="A136" t="s">
        <v>232</v>
      </c>
      <c r="B136" s="21">
        <v>42438</v>
      </c>
      <c r="C136" s="21"/>
      <c r="D136" t="s">
        <v>27</v>
      </c>
      <c r="E136">
        <v>0</v>
      </c>
      <c r="F136" t="s">
        <v>50</v>
      </c>
      <c r="G136" t="s">
        <v>88</v>
      </c>
      <c r="H136" t="s">
        <v>52</v>
      </c>
      <c r="I136" t="s">
        <v>48</v>
      </c>
      <c r="J136" t="s">
        <v>32</v>
      </c>
      <c r="K136">
        <v>42</v>
      </c>
      <c r="L136" t="s">
        <v>33</v>
      </c>
      <c r="M136" t="s">
        <v>65</v>
      </c>
      <c r="N136" t="s">
        <v>35</v>
      </c>
      <c r="O136">
        <v>1063000</v>
      </c>
      <c r="P136">
        <v>88583.33</v>
      </c>
      <c r="Q136">
        <v>117</v>
      </c>
      <c r="R136" t="s">
        <v>36</v>
      </c>
      <c r="S136">
        <v>3.4</v>
      </c>
      <c r="T136">
        <v>26</v>
      </c>
      <c r="U136">
        <v>15</v>
      </c>
      <c r="V136">
        <v>13</v>
      </c>
      <c r="W136" t="s">
        <v>37</v>
      </c>
      <c r="X136">
        <v>3.4</v>
      </c>
      <c r="Y136">
        <v>3</v>
      </c>
      <c r="Z136">
        <v>18.2</v>
      </c>
    </row>
    <row r="137" spans="1:26">
      <c r="A137" t="s">
        <v>233</v>
      </c>
      <c r="B137" s="21">
        <v>43708</v>
      </c>
      <c r="C137" s="21"/>
      <c r="D137" t="s">
        <v>27</v>
      </c>
      <c r="E137">
        <v>0</v>
      </c>
      <c r="F137" t="s">
        <v>50</v>
      </c>
      <c r="G137" t="s">
        <v>29</v>
      </c>
      <c r="H137" t="s">
        <v>124</v>
      </c>
      <c r="I137" t="s">
        <v>53</v>
      </c>
      <c r="J137" t="s">
        <v>32</v>
      </c>
      <c r="K137">
        <v>26</v>
      </c>
      <c r="L137" t="s">
        <v>130</v>
      </c>
      <c r="M137" t="s">
        <v>43</v>
      </c>
      <c r="N137" t="s">
        <v>35</v>
      </c>
      <c r="O137">
        <v>408000</v>
      </c>
      <c r="P137">
        <v>34000</v>
      </c>
      <c r="Q137">
        <v>76</v>
      </c>
      <c r="R137" t="s">
        <v>55</v>
      </c>
      <c r="S137">
        <v>4.2</v>
      </c>
      <c r="T137">
        <v>22</v>
      </c>
      <c r="U137">
        <v>18</v>
      </c>
      <c r="V137">
        <v>0</v>
      </c>
      <c r="W137" t="s">
        <v>44</v>
      </c>
      <c r="X137">
        <v>3.5</v>
      </c>
      <c r="Y137">
        <v>0</v>
      </c>
      <c r="Z137">
        <v>1</v>
      </c>
    </row>
    <row r="138" spans="1:26">
      <c r="A138" t="s">
        <v>234</v>
      </c>
      <c r="B138" s="21">
        <v>45243</v>
      </c>
      <c r="C138" s="21"/>
      <c r="D138" t="s">
        <v>27</v>
      </c>
      <c r="E138">
        <v>0</v>
      </c>
      <c r="F138" t="s">
        <v>67</v>
      </c>
      <c r="G138" t="s">
        <v>88</v>
      </c>
      <c r="H138" t="s">
        <v>80</v>
      </c>
      <c r="I138" t="s">
        <v>75</v>
      </c>
      <c r="J138" t="s">
        <v>32</v>
      </c>
      <c r="K138">
        <v>51</v>
      </c>
      <c r="L138" t="s">
        <v>33</v>
      </c>
      <c r="M138" t="s">
        <v>65</v>
      </c>
      <c r="N138" t="s">
        <v>35</v>
      </c>
      <c r="O138">
        <v>1010000</v>
      </c>
      <c r="P138">
        <v>84166.67</v>
      </c>
      <c r="Q138">
        <v>25</v>
      </c>
      <c r="R138" t="s">
        <v>36</v>
      </c>
      <c r="S138">
        <v>3.6</v>
      </c>
      <c r="T138">
        <v>73</v>
      </c>
      <c r="U138">
        <v>6</v>
      </c>
      <c r="V138">
        <v>8</v>
      </c>
      <c r="W138" t="s">
        <v>37</v>
      </c>
      <c r="X138">
        <v>2.9</v>
      </c>
      <c r="Y138">
        <v>2</v>
      </c>
      <c r="Z138">
        <v>16.2</v>
      </c>
    </row>
    <row r="139" spans="1:26">
      <c r="A139" t="s">
        <v>235</v>
      </c>
      <c r="B139" s="21">
        <v>44462</v>
      </c>
      <c r="C139" s="21"/>
      <c r="D139" t="s">
        <v>27</v>
      </c>
      <c r="E139">
        <v>0</v>
      </c>
      <c r="F139" t="s">
        <v>28</v>
      </c>
      <c r="G139" t="s">
        <v>51</v>
      </c>
      <c r="H139" t="s">
        <v>30</v>
      </c>
      <c r="I139" t="s">
        <v>62</v>
      </c>
      <c r="J139" t="s">
        <v>54</v>
      </c>
      <c r="K139">
        <v>34</v>
      </c>
      <c r="L139" t="s">
        <v>33</v>
      </c>
      <c r="M139" t="s">
        <v>58</v>
      </c>
      <c r="N139" t="s">
        <v>35</v>
      </c>
      <c r="O139">
        <v>621000</v>
      </c>
      <c r="P139">
        <v>51750</v>
      </c>
      <c r="Q139">
        <v>51</v>
      </c>
      <c r="R139" t="s">
        <v>36</v>
      </c>
      <c r="S139">
        <v>4.2</v>
      </c>
      <c r="T139">
        <v>4</v>
      </c>
      <c r="U139">
        <v>5</v>
      </c>
      <c r="V139">
        <v>3</v>
      </c>
      <c r="W139" t="s">
        <v>37</v>
      </c>
      <c r="X139">
        <v>2.7</v>
      </c>
      <c r="Y139">
        <v>1</v>
      </c>
      <c r="Z139">
        <v>4.7</v>
      </c>
    </row>
    <row r="140" spans="1:26">
      <c r="A140" t="s">
        <v>236</v>
      </c>
      <c r="B140" s="21">
        <v>45403</v>
      </c>
      <c r="C140" s="21"/>
      <c r="D140" t="s">
        <v>27</v>
      </c>
      <c r="E140">
        <v>0</v>
      </c>
      <c r="F140" t="s">
        <v>28</v>
      </c>
      <c r="G140" t="s">
        <v>91</v>
      </c>
      <c r="H140" t="s">
        <v>64</v>
      </c>
      <c r="I140" t="s">
        <v>41</v>
      </c>
      <c r="J140" t="s">
        <v>149</v>
      </c>
      <c r="K140">
        <v>43</v>
      </c>
      <c r="L140" t="s">
        <v>130</v>
      </c>
      <c r="M140" t="s">
        <v>34</v>
      </c>
      <c r="N140" t="s">
        <v>35</v>
      </c>
      <c r="O140">
        <v>1263000</v>
      </c>
      <c r="P140">
        <v>105250</v>
      </c>
      <c r="Q140">
        <v>20</v>
      </c>
      <c r="R140" t="s">
        <v>55</v>
      </c>
      <c r="S140">
        <v>3</v>
      </c>
      <c r="T140">
        <v>39</v>
      </c>
      <c r="U140">
        <v>12</v>
      </c>
      <c r="V140">
        <v>13</v>
      </c>
      <c r="W140" t="s">
        <v>37</v>
      </c>
      <c r="X140">
        <v>3.4</v>
      </c>
      <c r="Y140">
        <v>5</v>
      </c>
      <c r="Z140">
        <v>7.7</v>
      </c>
    </row>
    <row r="141" spans="1:26">
      <c r="A141" t="s">
        <v>237</v>
      </c>
      <c r="B141" s="21">
        <v>42402</v>
      </c>
      <c r="C141" s="21"/>
      <c r="D141" t="s">
        <v>27</v>
      </c>
      <c r="E141">
        <v>0</v>
      </c>
      <c r="F141" t="s">
        <v>73</v>
      </c>
      <c r="G141" t="s">
        <v>51</v>
      </c>
      <c r="H141" t="s">
        <v>74</v>
      </c>
      <c r="I141" t="s">
        <v>62</v>
      </c>
      <c r="J141" t="s">
        <v>54</v>
      </c>
      <c r="K141">
        <v>36</v>
      </c>
      <c r="L141" t="s">
        <v>33</v>
      </c>
      <c r="M141" t="s">
        <v>34</v>
      </c>
      <c r="N141" t="s">
        <v>35</v>
      </c>
      <c r="O141">
        <v>804000</v>
      </c>
      <c r="P141">
        <v>67000</v>
      </c>
      <c r="Q141">
        <v>118</v>
      </c>
      <c r="R141" t="s">
        <v>36</v>
      </c>
      <c r="S141">
        <v>4</v>
      </c>
      <c r="T141">
        <v>1</v>
      </c>
      <c r="U141">
        <v>14</v>
      </c>
      <c r="V141">
        <v>0</v>
      </c>
      <c r="W141" t="s">
        <v>44</v>
      </c>
      <c r="X141">
        <v>5</v>
      </c>
      <c r="Y141">
        <v>1</v>
      </c>
      <c r="Z141">
        <v>5.3</v>
      </c>
    </row>
    <row r="142" spans="1:26">
      <c r="A142" t="s">
        <v>238</v>
      </c>
      <c r="B142" s="21">
        <v>45062</v>
      </c>
      <c r="C142" s="21"/>
      <c r="D142" t="s">
        <v>27</v>
      </c>
      <c r="E142">
        <v>0</v>
      </c>
      <c r="F142" t="s">
        <v>50</v>
      </c>
      <c r="G142" t="s">
        <v>29</v>
      </c>
      <c r="H142" t="s">
        <v>124</v>
      </c>
      <c r="I142" t="s">
        <v>48</v>
      </c>
      <c r="J142" t="s">
        <v>54</v>
      </c>
      <c r="K142">
        <v>25</v>
      </c>
      <c r="L142" t="s">
        <v>42</v>
      </c>
      <c r="M142" t="s">
        <v>34</v>
      </c>
      <c r="N142" t="s">
        <v>35</v>
      </c>
      <c r="O142">
        <v>272000</v>
      </c>
      <c r="P142">
        <v>22666.67</v>
      </c>
      <c r="Q142">
        <v>31</v>
      </c>
      <c r="R142" t="s">
        <v>36</v>
      </c>
      <c r="S142">
        <v>4.4000000000000004</v>
      </c>
      <c r="T142">
        <v>74</v>
      </c>
      <c r="U142">
        <v>10</v>
      </c>
      <c r="V142">
        <v>7</v>
      </c>
      <c r="W142" t="s">
        <v>37</v>
      </c>
      <c r="X142">
        <v>5</v>
      </c>
      <c r="Y142">
        <v>1</v>
      </c>
      <c r="Z142">
        <v>5.0999999999999996</v>
      </c>
    </row>
    <row r="143" spans="1:26">
      <c r="A143" t="s">
        <v>239</v>
      </c>
      <c r="B143" s="21">
        <v>45728</v>
      </c>
      <c r="C143" s="21"/>
      <c r="D143" t="s">
        <v>27</v>
      </c>
      <c r="E143">
        <v>0</v>
      </c>
      <c r="F143" t="s">
        <v>67</v>
      </c>
      <c r="G143" t="s">
        <v>29</v>
      </c>
      <c r="H143" t="s">
        <v>77</v>
      </c>
      <c r="I143" t="s">
        <v>53</v>
      </c>
      <c r="J143" t="s">
        <v>54</v>
      </c>
      <c r="K143">
        <v>26</v>
      </c>
      <c r="L143" t="s">
        <v>130</v>
      </c>
      <c r="M143" t="s">
        <v>65</v>
      </c>
      <c r="N143" t="s">
        <v>35</v>
      </c>
      <c r="O143">
        <v>379000</v>
      </c>
      <c r="P143">
        <v>31583.33</v>
      </c>
      <c r="Q143">
        <v>9</v>
      </c>
      <c r="R143" t="s">
        <v>36</v>
      </c>
      <c r="S143">
        <v>4.2</v>
      </c>
      <c r="T143">
        <v>74</v>
      </c>
      <c r="U143">
        <v>22</v>
      </c>
      <c r="V143">
        <v>7</v>
      </c>
      <c r="W143" t="s">
        <v>44</v>
      </c>
      <c r="X143">
        <v>4.5999999999999996</v>
      </c>
      <c r="Y143">
        <v>3</v>
      </c>
      <c r="Z143">
        <v>1</v>
      </c>
    </row>
    <row r="144" spans="1:26">
      <c r="A144" t="s">
        <v>240</v>
      </c>
      <c r="B144" s="21">
        <v>44211</v>
      </c>
      <c r="C144" s="21"/>
      <c r="D144" t="s">
        <v>27</v>
      </c>
      <c r="E144">
        <v>0</v>
      </c>
      <c r="F144" t="s">
        <v>67</v>
      </c>
      <c r="G144" t="s">
        <v>29</v>
      </c>
      <c r="H144" t="s">
        <v>80</v>
      </c>
      <c r="I144" t="s">
        <v>62</v>
      </c>
      <c r="J144" t="s">
        <v>32</v>
      </c>
      <c r="K144">
        <v>27</v>
      </c>
      <c r="L144" t="s">
        <v>33</v>
      </c>
      <c r="M144" t="s">
        <v>65</v>
      </c>
      <c r="N144" t="s">
        <v>35</v>
      </c>
      <c r="O144">
        <v>319000</v>
      </c>
      <c r="P144">
        <v>26583.33</v>
      </c>
      <c r="Q144">
        <v>59</v>
      </c>
      <c r="R144" t="s">
        <v>36</v>
      </c>
      <c r="S144">
        <v>3.7</v>
      </c>
      <c r="T144">
        <v>45</v>
      </c>
      <c r="U144">
        <v>0</v>
      </c>
      <c r="V144">
        <v>2</v>
      </c>
      <c r="W144" t="s">
        <v>37</v>
      </c>
      <c r="X144">
        <v>3.7</v>
      </c>
      <c r="Y144">
        <v>1</v>
      </c>
      <c r="Z144">
        <v>12</v>
      </c>
    </row>
    <row r="145" spans="1:26">
      <c r="A145" t="s">
        <v>241</v>
      </c>
      <c r="B145" s="21">
        <v>43594</v>
      </c>
      <c r="C145" s="21"/>
      <c r="D145" t="s">
        <v>27</v>
      </c>
      <c r="E145">
        <v>0</v>
      </c>
      <c r="F145" t="s">
        <v>73</v>
      </c>
      <c r="G145" t="s">
        <v>29</v>
      </c>
      <c r="H145" t="s">
        <v>74</v>
      </c>
      <c r="I145" t="s">
        <v>62</v>
      </c>
      <c r="J145" t="s">
        <v>54</v>
      </c>
      <c r="K145">
        <v>32</v>
      </c>
      <c r="L145" t="s">
        <v>33</v>
      </c>
      <c r="M145" t="s">
        <v>43</v>
      </c>
      <c r="N145" t="s">
        <v>93</v>
      </c>
      <c r="O145">
        <v>319000</v>
      </c>
      <c r="P145">
        <v>26583.33</v>
      </c>
      <c r="Q145">
        <v>79</v>
      </c>
      <c r="R145" t="s">
        <v>55</v>
      </c>
      <c r="S145">
        <v>5</v>
      </c>
      <c r="T145">
        <v>10</v>
      </c>
      <c r="U145">
        <v>19</v>
      </c>
      <c r="V145">
        <v>5</v>
      </c>
      <c r="W145" t="s">
        <v>37</v>
      </c>
      <c r="X145">
        <v>3.7</v>
      </c>
      <c r="Y145">
        <v>1</v>
      </c>
      <c r="Z145">
        <v>15.7</v>
      </c>
    </row>
    <row r="146" spans="1:26">
      <c r="A146" t="s">
        <v>242</v>
      </c>
      <c r="B146" s="21">
        <v>45699</v>
      </c>
      <c r="C146" s="21">
        <v>45907</v>
      </c>
      <c r="D146" t="s">
        <v>57</v>
      </c>
      <c r="E146">
        <v>1</v>
      </c>
      <c r="F146" t="s">
        <v>28</v>
      </c>
      <c r="G146" t="s">
        <v>70</v>
      </c>
      <c r="H146" t="s">
        <v>64</v>
      </c>
      <c r="I146" t="s">
        <v>53</v>
      </c>
      <c r="J146" t="s">
        <v>32</v>
      </c>
      <c r="K146">
        <v>58</v>
      </c>
      <c r="L146" t="s">
        <v>33</v>
      </c>
      <c r="M146" t="s">
        <v>65</v>
      </c>
      <c r="N146" t="s">
        <v>35</v>
      </c>
      <c r="O146">
        <v>614000</v>
      </c>
      <c r="P146">
        <v>51166.67</v>
      </c>
      <c r="Q146">
        <v>7</v>
      </c>
      <c r="R146" t="s">
        <v>36</v>
      </c>
      <c r="S146">
        <v>4.7</v>
      </c>
      <c r="T146">
        <v>22</v>
      </c>
      <c r="U146">
        <v>15</v>
      </c>
      <c r="V146">
        <v>10</v>
      </c>
      <c r="W146" t="s">
        <v>37</v>
      </c>
      <c r="X146">
        <v>4.4000000000000004</v>
      </c>
      <c r="Y146">
        <v>0</v>
      </c>
      <c r="Z146">
        <v>1</v>
      </c>
    </row>
    <row r="147" spans="1:26">
      <c r="A147" t="s">
        <v>243</v>
      </c>
      <c r="B147" s="21">
        <v>43496</v>
      </c>
      <c r="C147" s="21"/>
      <c r="D147" t="s">
        <v>27</v>
      </c>
      <c r="E147">
        <v>0</v>
      </c>
      <c r="F147" t="s">
        <v>73</v>
      </c>
      <c r="G147" t="s">
        <v>91</v>
      </c>
      <c r="H147" t="s">
        <v>102</v>
      </c>
      <c r="I147" t="s">
        <v>62</v>
      </c>
      <c r="J147" t="s">
        <v>32</v>
      </c>
      <c r="K147">
        <v>43</v>
      </c>
      <c r="L147" t="s">
        <v>42</v>
      </c>
      <c r="M147" t="s">
        <v>34</v>
      </c>
      <c r="N147" t="s">
        <v>93</v>
      </c>
      <c r="O147">
        <v>1377000</v>
      </c>
      <c r="P147">
        <v>114750</v>
      </c>
      <c r="Q147">
        <v>83</v>
      </c>
      <c r="R147" t="s">
        <v>36</v>
      </c>
      <c r="S147">
        <v>5</v>
      </c>
      <c r="T147">
        <v>69</v>
      </c>
      <c r="U147">
        <v>22</v>
      </c>
      <c r="V147">
        <v>6</v>
      </c>
      <c r="W147" t="s">
        <v>44</v>
      </c>
      <c r="X147">
        <v>2.9</v>
      </c>
      <c r="Y147">
        <v>0</v>
      </c>
      <c r="Z147">
        <v>13</v>
      </c>
    </row>
    <row r="148" spans="1:26">
      <c r="A148" t="s">
        <v>244</v>
      </c>
      <c r="B148" s="21">
        <v>45572</v>
      </c>
      <c r="C148" s="21"/>
      <c r="D148" t="s">
        <v>27</v>
      </c>
      <c r="E148">
        <v>0</v>
      </c>
      <c r="F148" t="s">
        <v>60</v>
      </c>
      <c r="G148" t="s">
        <v>105</v>
      </c>
      <c r="H148" t="s">
        <v>109</v>
      </c>
      <c r="I148" t="s">
        <v>41</v>
      </c>
      <c r="J148" t="s">
        <v>32</v>
      </c>
      <c r="K148">
        <v>47</v>
      </c>
      <c r="L148" t="s">
        <v>33</v>
      </c>
      <c r="M148" t="s">
        <v>34</v>
      </c>
      <c r="N148" t="s">
        <v>35</v>
      </c>
      <c r="O148">
        <v>2296000</v>
      </c>
      <c r="P148">
        <v>191333.33</v>
      </c>
      <c r="Q148">
        <v>14</v>
      </c>
      <c r="R148" t="s">
        <v>36</v>
      </c>
      <c r="S148">
        <v>2.6</v>
      </c>
      <c r="T148">
        <v>29</v>
      </c>
      <c r="U148">
        <v>13</v>
      </c>
      <c r="V148">
        <v>1</v>
      </c>
      <c r="W148" t="s">
        <v>37</v>
      </c>
      <c r="X148">
        <v>3.7</v>
      </c>
      <c r="Y148">
        <v>4</v>
      </c>
      <c r="Z148">
        <v>10.4</v>
      </c>
    </row>
    <row r="149" spans="1:26">
      <c r="A149" t="s">
        <v>245</v>
      </c>
      <c r="B149" s="21">
        <v>45060</v>
      </c>
      <c r="C149" s="21"/>
      <c r="D149" t="s">
        <v>27</v>
      </c>
      <c r="E149">
        <v>0</v>
      </c>
      <c r="F149" t="s">
        <v>50</v>
      </c>
      <c r="G149" t="s">
        <v>29</v>
      </c>
      <c r="H149" t="s">
        <v>124</v>
      </c>
      <c r="I149" t="s">
        <v>62</v>
      </c>
      <c r="J149" t="s">
        <v>54</v>
      </c>
      <c r="K149">
        <v>34</v>
      </c>
      <c r="L149" t="s">
        <v>33</v>
      </c>
      <c r="M149" t="s">
        <v>78</v>
      </c>
      <c r="N149" t="s">
        <v>35</v>
      </c>
      <c r="O149">
        <v>455000</v>
      </c>
      <c r="P149">
        <v>37916.67</v>
      </c>
      <c r="Q149">
        <v>31</v>
      </c>
      <c r="R149" t="s">
        <v>116</v>
      </c>
      <c r="S149">
        <v>4.5</v>
      </c>
      <c r="T149">
        <v>75</v>
      </c>
      <c r="U149">
        <v>15</v>
      </c>
      <c r="V149">
        <v>0</v>
      </c>
      <c r="W149" t="s">
        <v>37</v>
      </c>
      <c r="X149">
        <v>1.9</v>
      </c>
      <c r="Y149">
        <v>3</v>
      </c>
      <c r="Z149">
        <v>1.2</v>
      </c>
    </row>
    <row r="150" spans="1:26">
      <c r="A150" t="s">
        <v>246</v>
      </c>
      <c r="B150" s="21">
        <v>44695</v>
      </c>
      <c r="C150" s="21">
        <v>46017</v>
      </c>
      <c r="D150" t="s">
        <v>57</v>
      </c>
      <c r="E150">
        <v>1</v>
      </c>
      <c r="F150" t="s">
        <v>67</v>
      </c>
      <c r="G150" t="s">
        <v>88</v>
      </c>
      <c r="H150" t="s">
        <v>68</v>
      </c>
      <c r="I150" t="s">
        <v>41</v>
      </c>
      <c r="J150" t="s">
        <v>54</v>
      </c>
      <c r="K150">
        <v>34</v>
      </c>
      <c r="L150" t="s">
        <v>33</v>
      </c>
      <c r="M150" t="s">
        <v>40</v>
      </c>
      <c r="N150" t="s">
        <v>35</v>
      </c>
      <c r="O150">
        <v>925000</v>
      </c>
      <c r="P150">
        <v>77083.33</v>
      </c>
      <c r="Q150">
        <v>43</v>
      </c>
      <c r="R150" t="s">
        <v>36</v>
      </c>
      <c r="S150">
        <v>3.1</v>
      </c>
      <c r="T150">
        <v>22</v>
      </c>
      <c r="U150">
        <v>21</v>
      </c>
      <c r="V150">
        <v>16</v>
      </c>
      <c r="W150" t="s">
        <v>37</v>
      </c>
      <c r="X150">
        <v>3.4</v>
      </c>
      <c r="Y150">
        <v>0</v>
      </c>
      <c r="Z150">
        <v>15.5</v>
      </c>
    </row>
    <row r="151" spans="1:26">
      <c r="A151" t="s">
        <v>247</v>
      </c>
      <c r="B151" s="21">
        <v>43695</v>
      </c>
      <c r="C151" s="21"/>
      <c r="D151" t="s">
        <v>27</v>
      </c>
      <c r="E151">
        <v>0</v>
      </c>
      <c r="F151" t="s">
        <v>50</v>
      </c>
      <c r="G151" t="s">
        <v>88</v>
      </c>
      <c r="H151" t="s">
        <v>124</v>
      </c>
      <c r="I151" t="s">
        <v>75</v>
      </c>
      <c r="J151" t="s">
        <v>54</v>
      </c>
      <c r="K151">
        <v>46</v>
      </c>
      <c r="L151" t="s">
        <v>33</v>
      </c>
      <c r="M151" t="s">
        <v>65</v>
      </c>
      <c r="N151" t="s">
        <v>93</v>
      </c>
      <c r="O151">
        <v>1090000</v>
      </c>
      <c r="P151">
        <v>90833.33</v>
      </c>
      <c r="Q151">
        <v>76</v>
      </c>
      <c r="R151" t="s">
        <v>36</v>
      </c>
      <c r="S151">
        <v>3.7</v>
      </c>
      <c r="T151">
        <v>62</v>
      </c>
      <c r="U151">
        <v>10</v>
      </c>
      <c r="V151">
        <v>2</v>
      </c>
      <c r="W151" t="s">
        <v>44</v>
      </c>
      <c r="X151">
        <v>3.5</v>
      </c>
      <c r="Y151">
        <v>5</v>
      </c>
      <c r="Z151">
        <v>10.7</v>
      </c>
    </row>
    <row r="152" spans="1:26">
      <c r="A152" t="s">
        <v>248</v>
      </c>
      <c r="B152" s="21">
        <v>44671</v>
      </c>
      <c r="C152" s="21">
        <v>44764</v>
      </c>
      <c r="D152" t="s">
        <v>57</v>
      </c>
      <c r="E152">
        <v>1</v>
      </c>
      <c r="F152" t="s">
        <v>28</v>
      </c>
      <c r="G152" t="s">
        <v>70</v>
      </c>
      <c r="H152" t="s">
        <v>64</v>
      </c>
      <c r="I152" t="s">
        <v>53</v>
      </c>
      <c r="J152" t="s">
        <v>32</v>
      </c>
      <c r="K152">
        <v>31</v>
      </c>
      <c r="L152" t="s">
        <v>42</v>
      </c>
      <c r="M152" t="s">
        <v>43</v>
      </c>
      <c r="N152" t="s">
        <v>35</v>
      </c>
      <c r="O152">
        <v>596000</v>
      </c>
      <c r="P152">
        <v>49666.67</v>
      </c>
      <c r="Q152">
        <v>3</v>
      </c>
      <c r="R152" t="s">
        <v>36</v>
      </c>
      <c r="S152">
        <v>1.8</v>
      </c>
      <c r="T152">
        <v>40</v>
      </c>
      <c r="U152">
        <v>13</v>
      </c>
      <c r="V152">
        <v>2</v>
      </c>
      <c r="W152" t="s">
        <v>37</v>
      </c>
      <c r="X152">
        <v>3.3</v>
      </c>
      <c r="Y152">
        <v>1</v>
      </c>
      <c r="Z152">
        <v>17.600000000000001</v>
      </c>
    </row>
    <row r="153" spans="1:26">
      <c r="A153" t="s">
        <v>249</v>
      </c>
      <c r="B153" s="21">
        <v>43274</v>
      </c>
      <c r="C153" s="21"/>
      <c r="D153" t="s">
        <v>27</v>
      </c>
      <c r="E153">
        <v>0</v>
      </c>
      <c r="F153" t="s">
        <v>50</v>
      </c>
      <c r="G153" t="s">
        <v>105</v>
      </c>
      <c r="H153" t="s">
        <v>52</v>
      </c>
      <c r="I153" t="s">
        <v>75</v>
      </c>
      <c r="J153" t="s">
        <v>54</v>
      </c>
      <c r="K153">
        <v>46</v>
      </c>
      <c r="L153" t="s">
        <v>33</v>
      </c>
      <c r="M153" t="s">
        <v>34</v>
      </c>
      <c r="N153" t="s">
        <v>35</v>
      </c>
      <c r="O153">
        <v>2114000</v>
      </c>
      <c r="P153">
        <v>176166.67</v>
      </c>
      <c r="Q153">
        <v>90</v>
      </c>
      <c r="R153" t="s">
        <v>36</v>
      </c>
      <c r="S153">
        <v>3.2</v>
      </c>
      <c r="T153">
        <v>32</v>
      </c>
      <c r="U153">
        <v>4</v>
      </c>
      <c r="V153">
        <v>5</v>
      </c>
      <c r="W153" t="s">
        <v>44</v>
      </c>
      <c r="X153">
        <v>3.3</v>
      </c>
      <c r="Y153">
        <v>0</v>
      </c>
      <c r="Z153">
        <v>16.7</v>
      </c>
    </row>
    <row r="154" spans="1:26">
      <c r="A154" t="s">
        <v>250</v>
      </c>
      <c r="B154" s="21">
        <v>42567</v>
      </c>
      <c r="C154" s="21"/>
      <c r="D154" t="s">
        <v>27</v>
      </c>
      <c r="E154">
        <v>0</v>
      </c>
      <c r="F154" t="s">
        <v>39</v>
      </c>
      <c r="G154" t="s">
        <v>88</v>
      </c>
      <c r="H154" t="s">
        <v>204</v>
      </c>
      <c r="I154" t="s">
        <v>62</v>
      </c>
      <c r="J154" t="s">
        <v>54</v>
      </c>
      <c r="K154">
        <v>34</v>
      </c>
      <c r="L154" t="s">
        <v>130</v>
      </c>
      <c r="M154" t="s">
        <v>40</v>
      </c>
      <c r="N154" t="s">
        <v>35</v>
      </c>
      <c r="O154">
        <v>1077000</v>
      </c>
      <c r="P154">
        <v>89750</v>
      </c>
      <c r="Q154">
        <v>113</v>
      </c>
      <c r="R154" t="s">
        <v>36</v>
      </c>
      <c r="S154">
        <v>4.4000000000000004</v>
      </c>
      <c r="T154">
        <v>40</v>
      </c>
      <c r="U154">
        <v>28</v>
      </c>
      <c r="V154">
        <v>3</v>
      </c>
      <c r="W154" t="s">
        <v>37</v>
      </c>
      <c r="X154">
        <v>3.4</v>
      </c>
      <c r="Y154">
        <v>3</v>
      </c>
      <c r="Z154">
        <v>8.1999999999999993</v>
      </c>
    </row>
    <row r="155" spans="1:26">
      <c r="A155" t="s">
        <v>251</v>
      </c>
      <c r="B155" s="21">
        <v>43770</v>
      </c>
      <c r="C155" s="21"/>
      <c r="D155" t="s">
        <v>27</v>
      </c>
      <c r="E155">
        <v>0</v>
      </c>
      <c r="F155" t="s">
        <v>46</v>
      </c>
      <c r="G155" t="s">
        <v>29</v>
      </c>
      <c r="H155" t="s">
        <v>162</v>
      </c>
      <c r="I155" t="s">
        <v>48</v>
      </c>
      <c r="J155" t="s">
        <v>32</v>
      </c>
      <c r="K155">
        <v>37</v>
      </c>
      <c r="L155" t="s">
        <v>33</v>
      </c>
      <c r="M155" t="s">
        <v>65</v>
      </c>
      <c r="N155" t="s">
        <v>35</v>
      </c>
      <c r="O155">
        <v>414000</v>
      </c>
      <c r="P155">
        <v>34500</v>
      </c>
      <c r="Q155">
        <v>73</v>
      </c>
      <c r="R155" t="s">
        <v>36</v>
      </c>
      <c r="S155">
        <v>4.2</v>
      </c>
      <c r="T155">
        <v>24</v>
      </c>
      <c r="U155">
        <v>10</v>
      </c>
      <c r="V155">
        <v>0</v>
      </c>
      <c r="W155" t="s">
        <v>37</v>
      </c>
      <c r="X155">
        <v>2.9</v>
      </c>
      <c r="Y155">
        <v>3</v>
      </c>
      <c r="Z155">
        <v>4.4000000000000004</v>
      </c>
    </row>
    <row r="156" spans="1:26">
      <c r="A156" t="s">
        <v>252</v>
      </c>
      <c r="B156" s="21">
        <v>45359</v>
      </c>
      <c r="C156" s="21"/>
      <c r="D156" t="s">
        <v>27</v>
      </c>
      <c r="E156">
        <v>0</v>
      </c>
      <c r="F156" t="s">
        <v>73</v>
      </c>
      <c r="G156" t="s">
        <v>51</v>
      </c>
      <c r="H156" t="s">
        <v>102</v>
      </c>
      <c r="I156" t="s">
        <v>62</v>
      </c>
      <c r="J156" t="s">
        <v>54</v>
      </c>
      <c r="K156">
        <v>30</v>
      </c>
      <c r="L156" t="s">
        <v>33</v>
      </c>
      <c r="M156" t="s">
        <v>43</v>
      </c>
      <c r="N156" t="s">
        <v>93</v>
      </c>
      <c r="O156">
        <v>681000</v>
      </c>
      <c r="P156">
        <v>56750</v>
      </c>
      <c r="Q156">
        <v>21</v>
      </c>
      <c r="R156" t="s">
        <v>36</v>
      </c>
      <c r="S156">
        <v>3.2</v>
      </c>
      <c r="T156">
        <v>60</v>
      </c>
      <c r="U156">
        <v>10</v>
      </c>
      <c r="V156">
        <v>6</v>
      </c>
      <c r="W156" t="s">
        <v>37</v>
      </c>
      <c r="X156">
        <v>3.5</v>
      </c>
      <c r="Y156">
        <v>0</v>
      </c>
      <c r="Z156">
        <v>9.1</v>
      </c>
    </row>
    <row r="157" spans="1:26">
      <c r="A157" t="s">
        <v>253</v>
      </c>
      <c r="B157" s="21">
        <v>43998</v>
      </c>
      <c r="C157" s="21"/>
      <c r="D157" t="s">
        <v>27</v>
      </c>
      <c r="E157">
        <v>0</v>
      </c>
      <c r="F157" t="s">
        <v>60</v>
      </c>
      <c r="G157" t="s">
        <v>70</v>
      </c>
      <c r="H157" t="s">
        <v>112</v>
      </c>
      <c r="I157" t="s">
        <v>75</v>
      </c>
      <c r="J157" t="s">
        <v>32</v>
      </c>
      <c r="K157">
        <v>22</v>
      </c>
      <c r="L157" t="s">
        <v>33</v>
      </c>
      <c r="M157" t="s">
        <v>43</v>
      </c>
      <c r="N157" t="s">
        <v>35</v>
      </c>
      <c r="O157">
        <v>429000</v>
      </c>
      <c r="P157">
        <v>35750</v>
      </c>
      <c r="Q157">
        <v>66</v>
      </c>
      <c r="R157" t="s">
        <v>36</v>
      </c>
      <c r="S157">
        <v>3.8</v>
      </c>
      <c r="T157">
        <v>44</v>
      </c>
      <c r="U157">
        <v>10</v>
      </c>
      <c r="V157">
        <v>10</v>
      </c>
      <c r="W157" t="s">
        <v>37</v>
      </c>
      <c r="X157">
        <v>3.4</v>
      </c>
      <c r="Y157">
        <v>0</v>
      </c>
      <c r="Z157">
        <v>11.6</v>
      </c>
    </row>
    <row r="158" spans="1:26">
      <c r="A158" t="s">
        <v>254</v>
      </c>
      <c r="B158" s="21">
        <v>45468</v>
      </c>
      <c r="C158" s="21"/>
      <c r="D158" t="s">
        <v>27</v>
      </c>
      <c r="E158">
        <v>0</v>
      </c>
      <c r="F158" t="s">
        <v>60</v>
      </c>
      <c r="G158" t="s">
        <v>51</v>
      </c>
      <c r="H158" t="s">
        <v>61</v>
      </c>
      <c r="I158" t="s">
        <v>41</v>
      </c>
      <c r="J158" t="s">
        <v>32</v>
      </c>
      <c r="K158">
        <v>32</v>
      </c>
      <c r="L158" t="s">
        <v>42</v>
      </c>
      <c r="M158" t="s">
        <v>40</v>
      </c>
      <c r="N158" t="s">
        <v>35</v>
      </c>
      <c r="O158">
        <v>629000</v>
      </c>
      <c r="P158">
        <v>52416.67</v>
      </c>
      <c r="Q158">
        <v>18</v>
      </c>
      <c r="R158" t="s">
        <v>36</v>
      </c>
      <c r="S158">
        <v>3</v>
      </c>
      <c r="T158">
        <v>79</v>
      </c>
      <c r="U158">
        <v>19</v>
      </c>
      <c r="V158">
        <v>0</v>
      </c>
      <c r="W158" t="s">
        <v>37</v>
      </c>
      <c r="X158">
        <v>4.2</v>
      </c>
      <c r="Y158">
        <v>1</v>
      </c>
      <c r="Z158">
        <v>3.9</v>
      </c>
    </row>
    <row r="159" spans="1:26">
      <c r="A159" t="s">
        <v>255</v>
      </c>
      <c r="B159" s="21">
        <v>44209</v>
      </c>
      <c r="C159" s="21"/>
      <c r="D159" t="s">
        <v>27</v>
      </c>
      <c r="E159">
        <v>0</v>
      </c>
      <c r="F159" t="s">
        <v>67</v>
      </c>
      <c r="G159" t="s">
        <v>91</v>
      </c>
      <c r="H159" t="s">
        <v>77</v>
      </c>
      <c r="I159" t="s">
        <v>31</v>
      </c>
      <c r="J159" t="s">
        <v>32</v>
      </c>
      <c r="K159">
        <v>55</v>
      </c>
      <c r="L159" t="s">
        <v>130</v>
      </c>
      <c r="M159" t="s">
        <v>34</v>
      </c>
      <c r="N159" t="s">
        <v>35</v>
      </c>
      <c r="O159">
        <v>1586000</v>
      </c>
      <c r="P159">
        <v>132166.67000000001</v>
      </c>
      <c r="Q159">
        <v>59</v>
      </c>
      <c r="R159" t="s">
        <v>36</v>
      </c>
      <c r="S159">
        <v>5</v>
      </c>
      <c r="T159">
        <v>41</v>
      </c>
      <c r="U159">
        <v>26</v>
      </c>
      <c r="V159">
        <v>3</v>
      </c>
      <c r="W159" t="s">
        <v>44</v>
      </c>
      <c r="X159">
        <v>4.4000000000000004</v>
      </c>
      <c r="Y159">
        <v>5</v>
      </c>
      <c r="Z159">
        <v>8.5</v>
      </c>
    </row>
    <row r="160" spans="1:26">
      <c r="A160" t="s">
        <v>256</v>
      </c>
      <c r="B160" s="21">
        <v>45947</v>
      </c>
      <c r="C160" s="21"/>
      <c r="D160" t="s">
        <v>27</v>
      </c>
      <c r="E160">
        <v>0</v>
      </c>
      <c r="F160" t="s">
        <v>60</v>
      </c>
      <c r="G160" t="s">
        <v>51</v>
      </c>
      <c r="H160" t="s">
        <v>112</v>
      </c>
      <c r="I160" t="s">
        <v>75</v>
      </c>
      <c r="J160" t="s">
        <v>32</v>
      </c>
      <c r="K160">
        <v>50</v>
      </c>
      <c r="L160" t="s">
        <v>42</v>
      </c>
      <c r="M160" t="s">
        <v>40</v>
      </c>
      <c r="N160" t="s">
        <v>35</v>
      </c>
      <c r="O160">
        <v>914000</v>
      </c>
      <c r="P160">
        <v>76166.67</v>
      </c>
      <c r="Q160">
        <v>2</v>
      </c>
      <c r="R160" t="s">
        <v>36</v>
      </c>
      <c r="S160">
        <v>3.6</v>
      </c>
      <c r="T160">
        <v>62</v>
      </c>
      <c r="U160">
        <v>0</v>
      </c>
      <c r="V160">
        <v>1</v>
      </c>
      <c r="W160" t="s">
        <v>44</v>
      </c>
      <c r="X160">
        <v>2.9</v>
      </c>
      <c r="Y160">
        <v>0</v>
      </c>
      <c r="Z160">
        <v>5.8</v>
      </c>
    </row>
    <row r="161" spans="1:26">
      <c r="A161" t="s">
        <v>257</v>
      </c>
      <c r="B161" s="21">
        <v>43075</v>
      </c>
      <c r="C161" s="21"/>
      <c r="D161" t="s">
        <v>27</v>
      </c>
      <c r="E161">
        <v>0</v>
      </c>
      <c r="F161" t="s">
        <v>28</v>
      </c>
      <c r="G161" t="s">
        <v>51</v>
      </c>
      <c r="H161" t="s">
        <v>121</v>
      </c>
      <c r="I161" t="s">
        <v>41</v>
      </c>
      <c r="J161" t="s">
        <v>54</v>
      </c>
      <c r="K161">
        <v>39</v>
      </c>
      <c r="L161" t="s">
        <v>42</v>
      </c>
      <c r="M161" t="s">
        <v>34</v>
      </c>
      <c r="N161" t="s">
        <v>35</v>
      </c>
      <c r="O161">
        <v>741000</v>
      </c>
      <c r="P161">
        <v>61750</v>
      </c>
      <c r="Q161">
        <v>96</v>
      </c>
      <c r="R161" t="s">
        <v>55</v>
      </c>
      <c r="S161">
        <v>3.9</v>
      </c>
      <c r="T161">
        <v>12</v>
      </c>
      <c r="U161">
        <v>2</v>
      </c>
      <c r="V161">
        <v>1</v>
      </c>
      <c r="W161" t="s">
        <v>44</v>
      </c>
      <c r="X161">
        <v>3.4</v>
      </c>
      <c r="Y161">
        <v>5</v>
      </c>
      <c r="Z161">
        <v>12.9</v>
      </c>
    </row>
    <row r="162" spans="1:26">
      <c r="A162" t="s">
        <v>258</v>
      </c>
      <c r="B162" s="21">
        <v>43600</v>
      </c>
      <c r="C162" s="21"/>
      <c r="D162" t="s">
        <v>27</v>
      </c>
      <c r="E162">
        <v>0</v>
      </c>
      <c r="F162" t="s">
        <v>50</v>
      </c>
      <c r="G162" t="s">
        <v>70</v>
      </c>
      <c r="H162" t="s">
        <v>89</v>
      </c>
      <c r="I162" t="s">
        <v>41</v>
      </c>
      <c r="J162" t="s">
        <v>32</v>
      </c>
      <c r="K162">
        <v>44</v>
      </c>
      <c r="L162" t="s">
        <v>33</v>
      </c>
      <c r="M162" t="s">
        <v>34</v>
      </c>
      <c r="N162" t="s">
        <v>35</v>
      </c>
      <c r="O162">
        <v>655000</v>
      </c>
      <c r="P162">
        <v>54583.33</v>
      </c>
      <c r="Q162">
        <v>79</v>
      </c>
      <c r="R162" t="s">
        <v>55</v>
      </c>
      <c r="S162">
        <v>3.4</v>
      </c>
      <c r="T162">
        <v>17</v>
      </c>
      <c r="U162">
        <v>14</v>
      </c>
      <c r="V162">
        <v>2</v>
      </c>
      <c r="W162" t="s">
        <v>37</v>
      </c>
      <c r="X162">
        <v>3.9</v>
      </c>
      <c r="Y162">
        <v>3</v>
      </c>
      <c r="Z162">
        <v>12.8</v>
      </c>
    </row>
    <row r="163" spans="1:26">
      <c r="A163" t="s">
        <v>259</v>
      </c>
      <c r="B163" s="21">
        <v>44699</v>
      </c>
      <c r="C163" s="21"/>
      <c r="D163" t="s">
        <v>27</v>
      </c>
      <c r="E163">
        <v>0</v>
      </c>
      <c r="F163" t="s">
        <v>39</v>
      </c>
      <c r="G163" t="s">
        <v>51</v>
      </c>
      <c r="H163" t="s">
        <v>40</v>
      </c>
      <c r="I163" t="s">
        <v>31</v>
      </c>
      <c r="J163" t="s">
        <v>32</v>
      </c>
      <c r="K163">
        <v>44</v>
      </c>
      <c r="L163" t="s">
        <v>42</v>
      </c>
      <c r="M163" t="s">
        <v>34</v>
      </c>
      <c r="N163" t="s">
        <v>35</v>
      </c>
      <c r="O163">
        <v>839000</v>
      </c>
      <c r="P163">
        <v>69916.67</v>
      </c>
      <c r="Q163">
        <v>43</v>
      </c>
      <c r="R163" t="s">
        <v>36</v>
      </c>
      <c r="S163">
        <v>3.6</v>
      </c>
      <c r="T163">
        <v>57</v>
      </c>
      <c r="U163">
        <v>19</v>
      </c>
      <c r="V163">
        <v>0</v>
      </c>
      <c r="W163" t="s">
        <v>37</v>
      </c>
      <c r="X163">
        <v>4.7</v>
      </c>
      <c r="Y163">
        <v>2</v>
      </c>
      <c r="Z163">
        <v>4.4000000000000004</v>
      </c>
    </row>
    <row r="164" spans="1:26">
      <c r="A164" t="s">
        <v>260</v>
      </c>
      <c r="B164" s="21">
        <v>44773</v>
      </c>
      <c r="C164" s="21"/>
      <c r="D164" t="s">
        <v>27</v>
      </c>
      <c r="E164">
        <v>0</v>
      </c>
      <c r="F164" t="s">
        <v>67</v>
      </c>
      <c r="G164" t="s">
        <v>91</v>
      </c>
      <c r="H164" t="s">
        <v>95</v>
      </c>
      <c r="I164" t="s">
        <v>31</v>
      </c>
      <c r="J164" t="s">
        <v>54</v>
      </c>
      <c r="K164">
        <v>39</v>
      </c>
      <c r="L164" t="s">
        <v>33</v>
      </c>
      <c r="M164" t="s">
        <v>43</v>
      </c>
      <c r="N164" t="s">
        <v>35</v>
      </c>
      <c r="O164">
        <v>1253000</v>
      </c>
      <c r="P164">
        <v>104416.67</v>
      </c>
      <c r="Q164">
        <v>41</v>
      </c>
      <c r="R164" t="s">
        <v>36</v>
      </c>
      <c r="S164">
        <v>3.3</v>
      </c>
      <c r="T164">
        <v>1</v>
      </c>
      <c r="U164">
        <v>15</v>
      </c>
      <c r="V164">
        <v>2</v>
      </c>
      <c r="W164" t="s">
        <v>37</v>
      </c>
      <c r="X164">
        <v>3.9</v>
      </c>
      <c r="Y164">
        <v>4</v>
      </c>
      <c r="Z164">
        <v>9.3000000000000007</v>
      </c>
    </row>
    <row r="165" spans="1:26">
      <c r="A165" t="s">
        <v>261</v>
      </c>
      <c r="B165" s="21">
        <v>43079</v>
      </c>
      <c r="C165" s="21"/>
      <c r="D165" t="s">
        <v>27</v>
      </c>
      <c r="E165">
        <v>0</v>
      </c>
      <c r="F165" t="s">
        <v>73</v>
      </c>
      <c r="G165" t="s">
        <v>29</v>
      </c>
      <c r="H165" t="s">
        <v>74</v>
      </c>
      <c r="I165" t="s">
        <v>53</v>
      </c>
      <c r="J165" t="s">
        <v>54</v>
      </c>
      <c r="K165">
        <v>33</v>
      </c>
      <c r="L165" t="s">
        <v>33</v>
      </c>
      <c r="M165" t="s">
        <v>43</v>
      </c>
      <c r="N165" t="s">
        <v>35</v>
      </c>
      <c r="O165">
        <v>388000</v>
      </c>
      <c r="P165">
        <v>32333.33</v>
      </c>
      <c r="Q165">
        <v>96</v>
      </c>
      <c r="R165" t="s">
        <v>116</v>
      </c>
      <c r="S165">
        <v>3.4</v>
      </c>
      <c r="T165">
        <v>0</v>
      </c>
      <c r="U165">
        <v>11</v>
      </c>
      <c r="V165">
        <v>12</v>
      </c>
      <c r="W165" t="s">
        <v>37</v>
      </c>
      <c r="X165">
        <v>3.2</v>
      </c>
      <c r="Y165">
        <v>3</v>
      </c>
      <c r="Z165">
        <v>4.0999999999999996</v>
      </c>
    </row>
    <row r="166" spans="1:26">
      <c r="A166" t="s">
        <v>262</v>
      </c>
      <c r="B166" s="21">
        <v>45824</v>
      </c>
      <c r="C166" s="21"/>
      <c r="D166" t="s">
        <v>27</v>
      </c>
      <c r="E166">
        <v>0</v>
      </c>
      <c r="F166" t="s">
        <v>28</v>
      </c>
      <c r="G166" t="s">
        <v>88</v>
      </c>
      <c r="H166" t="s">
        <v>64</v>
      </c>
      <c r="I166" t="s">
        <v>31</v>
      </c>
      <c r="J166" t="s">
        <v>54</v>
      </c>
      <c r="K166">
        <v>47</v>
      </c>
      <c r="L166" t="s">
        <v>33</v>
      </c>
      <c r="M166" t="s">
        <v>40</v>
      </c>
      <c r="N166" t="s">
        <v>194</v>
      </c>
      <c r="O166">
        <v>1041000</v>
      </c>
      <c r="P166">
        <v>86750</v>
      </c>
      <c r="Q166">
        <v>6</v>
      </c>
      <c r="R166" t="s">
        <v>36</v>
      </c>
      <c r="S166">
        <v>2.6</v>
      </c>
      <c r="T166">
        <v>76</v>
      </c>
      <c r="U166">
        <v>6</v>
      </c>
      <c r="V166">
        <v>3</v>
      </c>
      <c r="W166" t="s">
        <v>37</v>
      </c>
      <c r="X166">
        <v>3.4</v>
      </c>
      <c r="Y166">
        <v>2</v>
      </c>
      <c r="Z166">
        <v>13.1</v>
      </c>
    </row>
    <row r="167" spans="1:26">
      <c r="A167" t="s">
        <v>263</v>
      </c>
      <c r="B167" s="21">
        <v>42943</v>
      </c>
      <c r="C167" s="21"/>
      <c r="D167" t="s">
        <v>27</v>
      </c>
      <c r="E167">
        <v>0</v>
      </c>
      <c r="F167" t="s">
        <v>73</v>
      </c>
      <c r="G167" t="s">
        <v>70</v>
      </c>
      <c r="H167" t="s">
        <v>74</v>
      </c>
      <c r="I167" t="s">
        <v>31</v>
      </c>
      <c r="J167" t="s">
        <v>32</v>
      </c>
      <c r="K167">
        <v>35</v>
      </c>
      <c r="L167" t="s">
        <v>42</v>
      </c>
      <c r="M167" t="s">
        <v>40</v>
      </c>
      <c r="N167" t="s">
        <v>35</v>
      </c>
      <c r="O167">
        <v>501000</v>
      </c>
      <c r="P167">
        <v>41750</v>
      </c>
      <c r="Q167">
        <v>101</v>
      </c>
      <c r="R167" t="s">
        <v>36</v>
      </c>
      <c r="S167">
        <v>2.4</v>
      </c>
      <c r="T167">
        <v>64</v>
      </c>
      <c r="U167">
        <v>18</v>
      </c>
      <c r="V167">
        <v>4</v>
      </c>
      <c r="W167" t="s">
        <v>37</v>
      </c>
      <c r="X167">
        <v>4.8</v>
      </c>
      <c r="Y167">
        <v>4</v>
      </c>
      <c r="Z167">
        <v>11.1</v>
      </c>
    </row>
    <row r="168" spans="1:26">
      <c r="A168" t="s">
        <v>264</v>
      </c>
      <c r="B168" s="21">
        <v>45063</v>
      </c>
      <c r="C168" s="21"/>
      <c r="D168" t="s">
        <v>27</v>
      </c>
      <c r="E168">
        <v>0</v>
      </c>
      <c r="F168" t="s">
        <v>73</v>
      </c>
      <c r="G168" t="s">
        <v>70</v>
      </c>
      <c r="H168" t="s">
        <v>74</v>
      </c>
      <c r="I168" t="s">
        <v>75</v>
      </c>
      <c r="J168" t="s">
        <v>54</v>
      </c>
      <c r="K168">
        <v>40</v>
      </c>
      <c r="L168" t="s">
        <v>42</v>
      </c>
      <c r="M168" t="s">
        <v>34</v>
      </c>
      <c r="N168" t="s">
        <v>194</v>
      </c>
      <c r="O168">
        <v>603000</v>
      </c>
      <c r="P168">
        <v>50250</v>
      </c>
      <c r="Q168">
        <v>31</v>
      </c>
      <c r="R168" t="s">
        <v>55</v>
      </c>
      <c r="S168">
        <v>3.1</v>
      </c>
      <c r="T168">
        <v>47</v>
      </c>
      <c r="U168">
        <v>15</v>
      </c>
      <c r="V168">
        <v>6</v>
      </c>
      <c r="W168" t="s">
        <v>37</v>
      </c>
      <c r="X168">
        <v>3.7</v>
      </c>
      <c r="Y168">
        <v>5</v>
      </c>
      <c r="Z168">
        <v>5.2</v>
      </c>
    </row>
    <row r="169" spans="1:26">
      <c r="A169" t="s">
        <v>265</v>
      </c>
      <c r="B169" s="21">
        <v>45856</v>
      </c>
      <c r="C169" s="21"/>
      <c r="D169" t="s">
        <v>27</v>
      </c>
      <c r="E169">
        <v>0</v>
      </c>
      <c r="F169" t="s">
        <v>46</v>
      </c>
      <c r="G169" t="s">
        <v>70</v>
      </c>
      <c r="H169" t="s">
        <v>47</v>
      </c>
      <c r="I169" t="s">
        <v>62</v>
      </c>
      <c r="J169" t="s">
        <v>54</v>
      </c>
      <c r="K169">
        <v>38</v>
      </c>
      <c r="L169" t="s">
        <v>33</v>
      </c>
      <c r="M169" t="s">
        <v>34</v>
      </c>
      <c r="N169" t="s">
        <v>35</v>
      </c>
      <c r="O169">
        <v>515000</v>
      </c>
      <c r="P169">
        <v>42916.67</v>
      </c>
      <c r="Q169">
        <v>5</v>
      </c>
      <c r="R169" t="s">
        <v>36</v>
      </c>
      <c r="S169">
        <v>3.7</v>
      </c>
      <c r="T169">
        <v>58</v>
      </c>
      <c r="U169">
        <v>4</v>
      </c>
      <c r="V169">
        <v>1</v>
      </c>
      <c r="W169" t="s">
        <v>37</v>
      </c>
      <c r="X169">
        <v>3.8</v>
      </c>
      <c r="Y169">
        <v>5</v>
      </c>
      <c r="Z169">
        <v>11.8</v>
      </c>
    </row>
    <row r="170" spans="1:26">
      <c r="A170" t="s">
        <v>266</v>
      </c>
      <c r="B170" s="21">
        <v>43108</v>
      </c>
      <c r="C170" s="21"/>
      <c r="D170" t="s">
        <v>27</v>
      </c>
      <c r="E170">
        <v>0</v>
      </c>
      <c r="F170" t="s">
        <v>67</v>
      </c>
      <c r="G170" t="s">
        <v>91</v>
      </c>
      <c r="H170" t="s">
        <v>80</v>
      </c>
      <c r="I170" t="s">
        <v>62</v>
      </c>
      <c r="J170" t="s">
        <v>32</v>
      </c>
      <c r="K170">
        <v>47</v>
      </c>
      <c r="L170" t="s">
        <v>33</v>
      </c>
      <c r="M170" t="s">
        <v>34</v>
      </c>
      <c r="N170" t="s">
        <v>93</v>
      </c>
      <c r="O170">
        <v>1282000</v>
      </c>
      <c r="P170">
        <v>106833.33</v>
      </c>
      <c r="Q170">
        <v>95</v>
      </c>
      <c r="R170" t="s">
        <v>103</v>
      </c>
      <c r="S170">
        <v>2.6</v>
      </c>
      <c r="T170">
        <v>49</v>
      </c>
      <c r="U170">
        <v>8</v>
      </c>
      <c r="V170">
        <v>3</v>
      </c>
      <c r="W170" t="s">
        <v>37</v>
      </c>
      <c r="X170">
        <v>3.5</v>
      </c>
      <c r="Y170">
        <v>1</v>
      </c>
      <c r="Z170">
        <v>19</v>
      </c>
    </row>
    <row r="171" spans="1:26">
      <c r="A171" t="s">
        <v>267</v>
      </c>
      <c r="B171" s="21">
        <v>45362</v>
      </c>
      <c r="C171" s="21"/>
      <c r="D171" t="s">
        <v>27</v>
      </c>
      <c r="E171">
        <v>0</v>
      </c>
      <c r="F171" t="s">
        <v>67</v>
      </c>
      <c r="G171" t="s">
        <v>51</v>
      </c>
      <c r="H171" t="s">
        <v>80</v>
      </c>
      <c r="I171" t="s">
        <v>53</v>
      </c>
      <c r="J171" t="s">
        <v>32</v>
      </c>
      <c r="K171">
        <v>39</v>
      </c>
      <c r="L171" t="s">
        <v>33</v>
      </c>
      <c r="M171" t="s">
        <v>65</v>
      </c>
      <c r="N171" t="s">
        <v>35</v>
      </c>
      <c r="O171">
        <v>754000</v>
      </c>
      <c r="P171">
        <v>62833.33</v>
      </c>
      <c r="Q171">
        <v>21</v>
      </c>
      <c r="R171" t="s">
        <v>55</v>
      </c>
      <c r="S171">
        <v>3.6</v>
      </c>
      <c r="T171">
        <v>37</v>
      </c>
      <c r="U171">
        <v>5</v>
      </c>
      <c r="V171">
        <v>11</v>
      </c>
      <c r="W171" t="s">
        <v>44</v>
      </c>
      <c r="X171">
        <v>3.3</v>
      </c>
      <c r="Y171">
        <v>5</v>
      </c>
      <c r="Z171">
        <v>5.8</v>
      </c>
    </row>
    <row r="172" spans="1:26">
      <c r="A172" t="s">
        <v>268</v>
      </c>
      <c r="B172" s="21">
        <v>44516</v>
      </c>
      <c r="C172" s="21">
        <v>45065</v>
      </c>
      <c r="D172" t="s">
        <v>57</v>
      </c>
      <c r="E172">
        <v>1</v>
      </c>
      <c r="F172" t="s">
        <v>73</v>
      </c>
      <c r="G172" t="s">
        <v>51</v>
      </c>
      <c r="H172" t="s">
        <v>74</v>
      </c>
      <c r="I172" t="s">
        <v>62</v>
      </c>
      <c r="J172" t="s">
        <v>32</v>
      </c>
      <c r="K172">
        <v>32</v>
      </c>
      <c r="L172" t="s">
        <v>33</v>
      </c>
      <c r="M172" t="s">
        <v>65</v>
      </c>
      <c r="N172" t="s">
        <v>35</v>
      </c>
      <c r="O172">
        <v>830000</v>
      </c>
      <c r="P172">
        <v>69166.67</v>
      </c>
      <c r="Q172">
        <v>18</v>
      </c>
      <c r="R172" t="s">
        <v>36</v>
      </c>
      <c r="S172">
        <v>4.9000000000000004</v>
      </c>
      <c r="T172">
        <v>4</v>
      </c>
      <c r="U172">
        <v>19</v>
      </c>
      <c r="V172">
        <v>4</v>
      </c>
      <c r="W172" t="s">
        <v>37</v>
      </c>
      <c r="X172">
        <v>4.3</v>
      </c>
      <c r="Y172">
        <v>3</v>
      </c>
      <c r="Z172">
        <v>22.5</v>
      </c>
    </row>
    <row r="173" spans="1:26">
      <c r="A173" t="s">
        <v>269</v>
      </c>
      <c r="B173" s="21">
        <v>45529</v>
      </c>
      <c r="C173" s="21">
        <v>45748</v>
      </c>
      <c r="D173" t="s">
        <v>57</v>
      </c>
      <c r="E173">
        <v>1</v>
      </c>
      <c r="F173" t="s">
        <v>73</v>
      </c>
      <c r="G173" t="s">
        <v>51</v>
      </c>
      <c r="H173" t="s">
        <v>74</v>
      </c>
      <c r="I173" t="s">
        <v>62</v>
      </c>
      <c r="J173" t="s">
        <v>32</v>
      </c>
      <c r="K173">
        <v>37</v>
      </c>
      <c r="L173" t="s">
        <v>33</v>
      </c>
      <c r="M173" t="s">
        <v>34</v>
      </c>
      <c r="N173" t="s">
        <v>35</v>
      </c>
      <c r="O173">
        <v>789000</v>
      </c>
      <c r="P173">
        <v>65750</v>
      </c>
      <c r="Q173">
        <v>8</v>
      </c>
      <c r="R173" t="s">
        <v>103</v>
      </c>
      <c r="S173">
        <v>3.4</v>
      </c>
      <c r="T173">
        <v>66</v>
      </c>
      <c r="U173">
        <v>23</v>
      </c>
      <c r="V173">
        <v>4</v>
      </c>
      <c r="W173" t="s">
        <v>37</v>
      </c>
      <c r="X173">
        <v>3.4</v>
      </c>
      <c r="Y173">
        <v>3</v>
      </c>
      <c r="Z173">
        <v>3.2</v>
      </c>
    </row>
    <row r="174" spans="1:26">
      <c r="A174" t="s">
        <v>270</v>
      </c>
      <c r="B174" s="21">
        <v>42931</v>
      </c>
      <c r="C174" s="21"/>
      <c r="D174" t="s">
        <v>27</v>
      </c>
      <c r="E174">
        <v>0</v>
      </c>
      <c r="F174" t="s">
        <v>46</v>
      </c>
      <c r="G174" t="s">
        <v>51</v>
      </c>
      <c r="H174" t="s">
        <v>92</v>
      </c>
      <c r="I174" t="s">
        <v>31</v>
      </c>
      <c r="J174" t="s">
        <v>54</v>
      </c>
      <c r="K174">
        <v>26</v>
      </c>
      <c r="L174" t="s">
        <v>33</v>
      </c>
      <c r="M174" t="s">
        <v>43</v>
      </c>
      <c r="N174" t="s">
        <v>194</v>
      </c>
      <c r="O174">
        <v>861000</v>
      </c>
      <c r="P174">
        <v>71750</v>
      </c>
      <c r="Q174">
        <v>101</v>
      </c>
      <c r="R174" t="s">
        <v>55</v>
      </c>
      <c r="S174">
        <v>4.3</v>
      </c>
      <c r="T174">
        <v>61</v>
      </c>
      <c r="U174">
        <v>0</v>
      </c>
      <c r="V174">
        <v>4</v>
      </c>
      <c r="W174" t="s">
        <v>37</v>
      </c>
      <c r="X174">
        <v>2.7</v>
      </c>
      <c r="Y174">
        <v>2</v>
      </c>
      <c r="Z174">
        <v>9.1</v>
      </c>
    </row>
    <row r="175" spans="1:26">
      <c r="A175" t="s">
        <v>271</v>
      </c>
      <c r="B175" s="21">
        <v>45121</v>
      </c>
      <c r="C175" s="21"/>
      <c r="D175" t="s">
        <v>27</v>
      </c>
      <c r="E175">
        <v>0</v>
      </c>
      <c r="F175" t="s">
        <v>73</v>
      </c>
      <c r="G175" t="s">
        <v>29</v>
      </c>
      <c r="H175" t="s">
        <v>126</v>
      </c>
      <c r="I175" t="s">
        <v>75</v>
      </c>
      <c r="J175" t="s">
        <v>54</v>
      </c>
      <c r="K175">
        <v>36</v>
      </c>
      <c r="L175" t="s">
        <v>33</v>
      </c>
      <c r="M175" t="s">
        <v>65</v>
      </c>
      <c r="N175" t="s">
        <v>35</v>
      </c>
      <c r="O175">
        <v>410000</v>
      </c>
      <c r="P175">
        <v>34166.67</v>
      </c>
      <c r="Q175">
        <v>29</v>
      </c>
      <c r="R175" t="s">
        <v>55</v>
      </c>
      <c r="S175">
        <v>3.7</v>
      </c>
      <c r="T175">
        <v>37</v>
      </c>
      <c r="U175">
        <v>3</v>
      </c>
      <c r="V175">
        <v>2</v>
      </c>
      <c r="W175" t="s">
        <v>37</v>
      </c>
      <c r="X175">
        <v>4.7</v>
      </c>
      <c r="Y175">
        <v>2</v>
      </c>
      <c r="Z175">
        <v>13.4</v>
      </c>
    </row>
    <row r="176" spans="1:26">
      <c r="A176" t="s">
        <v>272</v>
      </c>
      <c r="B176" s="21">
        <v>44114</v>
      </c>
      <c r="C176" s="21"/>
      <c r="D176" t="s">
        <v>27</v>
      </c>
      <c r="E176">
        <v>0</v>
      </c>
      <c r="F176" t="s">
        <v>73</v>
      </c>
      <c r="G176" t="s">
        <v>88</v>
      </c>
      <c r="H176" t="s">
        <v>118</v>
      </c>
      <c r="I176" t="s">
        <v>75</v>
      </c>
      <c r="J176" t="s">
        <v>32</v>
      </c>
      <c r="K176">
        <v>42</v>
      </c>
      <c r="L176" t="s">
        <v>33</v>
      </c>
      <c r="M176" t="s">
        <v>34</v>
      </c>
      <c r="N176" t="s">
        <v>93</v>
      </c>
      <c r="O176">
        <v>1006000</v>
      </c>
      <c r="P176">
        <v>83833.33</v>
      </c>
      <c r="Q176">
        <v>62</v>
      </c>
      <c r="R176" t="s">
        <v>55</v>
      </c>
      <c r="S176">
        <v>3.1</v>
      </c>
      <c r="T176">
        <v>34</v>
      </c>
      <c r="U176">
        <v>12</v>
      </c>
      <c r="V176">
        <v>3</v>
      </c>
      <c r="W176" t="s">
        <v>37</v>
      </c>
      <c r="X176">
        <v>4</v>
      </c>
      <c r="Y176">
        <v>3</v>
      </c>
      <c r="Z176">
        <v>14</v>
      </c>
    </row>
    <row r="177" spans="1:26">
      <c r="A177" t="s">
        <v>273</v>
      </c>
      <c r="B177" s="21">
        <v>44328</v>
      </c>
      <c r="C177" s="21"/>
      <c r="D177" t="s">
        <v>27</v>
      </c>
      <c r="E177">
        <v>0</v>
      </c>
      <c r="F177" t="s">
        <v>60</v>
      </c>
      <c r="G177" t="s">
        <v>88</v>
      </c>
      <c r="H177" t="s">
        <v>61</v>
      </c>
      <c r="I177" t="s">
        <v>31</v>
      </c>
      <c r="J177" t="s">
        <v>54</v>
      </c>
      <c r="K177">
        <v>46</v>
      </c>
      <c r="L177" t="s">
        <v>33</v>
      </c>
      <c r="M177" t="s">
        <v>40</v>
      </c>
      <c r="N177" t="s">
        <v>35</v>
      </c>
      <c r="O177">
        <v>1126000</v>
      </c>
      <c r="P177">
        <v>93833.33</v>
      </c>
      <c r="Q177">
        <v>55</v>
      </c>
      <c r="R177" t="s">
        <v>103</v>
      </c>
      <c r="S177">
        <v>2.4</v>
      </c>
      <c r="T177">
        <v>16</v>
      </c>
      <c r="U177">
        <v>13</v>
      </c>
      <c r="V177">
        <v>3</v>
      </c>
      <c r="W177" t="s">
        <v>37</v>
      </c>
      <c r="X177">
        <v>4.0999999999999996</v>
      </c>
      <c r="Y177">
        <v>3</v>
      </c>
      <c r="Z177">
        <v>7.7</v>
      </c>
    </row>
    <row r="178" spans="1:26">
      <c r="A178" t="s">
        <v>274</v>
      </c>
      <c r="B178" s="21">
        <v>46005</v>
      </c>
      <c r="C178" s="21"/>
      <c r="D178" t="s">
        <v>27</v>
      </c>
      <c r="E178">
        <v>0</v>
      </c>
      <c r="F178" t="s">
        <v>73</v>
      </c>
      <c r="G178" t="s">
        <v>51</v>
      </c>
      <c r="H178" t="s">
        <v>126</v>
      </c>
      <c r="I178" t="s">
        <v>48</v>
      </c>
      <c r="J178" t="s">
        <v>32</v>
      </c>
      <c r="K178">
        <v>38</v>
      </c>
      <c r="L178" t="s">
        <v>42</v>
      </c>
      <c r="M178" t="s">
        <v>65</v>
      </c>
      <c r="N178" t="s">
        <v>35</v>
      </c>
      <c r="O178">
        <v>946000</v>
      </c>
      <c r="P178">
        <v>78833.33</v>
      </c>
      <c r="Q178">
        <v>1</v>
      </c>
      <c r="R178" t="s">
        <v>55</v>
      </c>
      <c r="S178">
        <v>3.6</v>
      </c>
      <c r="T178">
        <v>31</v>
      </c>
      <c r="U178">
        <v>11</v>
      </c>
      <c r="V178">
        <v>8</v>
      </c>
      <c r="W178" t="s">
        <v>37</v>
      </c>
      <c r="X178">
        <v>3.8</v>
      </c>
      <c r="Y178">
        <v>4</v>
      </c>
      <c r="Z178">
        <v>1.2</v>
      </c>
    </row>
    <row r="179" spans="1:26">
      <c r="A179" t="s">
        <v>275</v>
      </c>
      <c r="B179" s="21">
        <v>44997</v>
      </c>
      <c r="C179" s="21"/>
      <c r="D179" t="s">
        <v>27</v>
      </c>
      <c r="E179">
        <v>0</v>
      </c>
      <c r="F179" t="s">
        <v>73</v>
      </c>
      <c r="G179" t="s">
        <v>88</v>
      </c>
      <c r="H179" t="s">
        <v>102</v>
      </c>
      <c r="I179" t="s">
        <v>75</v>
      </c>
      <c r="J179" t="s">
        <v>54</v>
      </c>
      <c r="K179">
        <v>32</v>
      </c>
      <c r="L179" t="s">
        <v>82</v>
      </c>
      <c r="M179" t="s">
        <v>65</v>
      </c>
      <c r="N179" t="s">
        <v>35</v>
      </c>
      <c r="O179">
        <v>850000</v>
      </c>
      <c r="P179">
        <v>70833.33</v>
      </c>
      <c r="Q179">
        <v>33</v>
      </c>
      <c r="R179" t="s">
        <v>55</v>
      </c>
      <c r="S179">
        <v>4.5</v>
      </c>
      <c r="T179">
        <v>48</v>
      </c>
      <c r="U179">
        <v>0</v>
      </c>
      <c r="V179">
        <v>0</v>
      </c>
      <c r="W179" t="s">
        <v>44</v>
      </c>
      <c r="X179">
        <v>4.5</v>
      </c>
      <c r="Y179">
        <v>3</v>
      </c>
      <c r="Z179">
        <v>18.7</v>
      </c>
    </row>
    <row r="180" spans="1:26">
      <c r="A180" t="s">
        <v>276</v>
      </c>
      <c r="B180" s="21">
        <v>44250</v>
      </c>
      <c r="C180" s="21"/>
      <c r="D180" t="s">
        <v>27</v>
      </c>
      <c r="E180">
        <v>0</v>
      </c>
      <c r="F180" t="s">
        <v>73</v>
      </c>
      <c r="G180" t="s">
        <v>70</v>
      </c>
      <c r="H180" t="s">
        <v>118</v>
      </c>
      <c r="I180" t="s">
        <v>41</v>
      </c>
      <c r="J180" t="s">
        <v>32</v>
      </c>
      <c r="K180">
        <v>28</v>
      </c>
      <c r="L180" t="s">
        <v>82</v>
      </c>
      <c r="M180" t="s">
        <v>43</v>
      </c>
      <c r="N180" t="s">
        <v>194</v>
      </c>
      <c r="O180">
        <v>493000</v>
      </c>
      <c r="P180">
        <v>41083.33</v>
      </c>
      <c r="Q180">
        <v>58</v>
      </c>
      <c r="R180" t="s">
        <v>116</v>
      </c>
      <c r="S180">
        <v>3.9</v>
      </c>
      <c r="T180">
        <v>71</v>
      </c>
      <c r="U180">
        <v>19</v>
      </c>
      <c r="V180">
        <v>7</v>
      </c>
      <c r="W180" t="s">
        <v>37</v>
      </c>
      <c r="X180">
        <v>3.7</v>
      </c>
      <c r="Y180">
        <v>3</v>
      </c>
      <c r="Z180">
        <v>7.9</v>
      </c>
    </row>
    <row r="181" spans="1:26">
      <c r="A181" t="s">
        <v>277</v>
      </c>
      <c r="B181" s="21">
        <v>43766</v>
      </c>
      <c r="C181" s="21"/>
      <c r="D181" t="s">
        <v>27</v>
      </c>
      <c r="E181">
        <v>0</v>
      </c>
      <c r="F181" t="s">
        <v>46</v>
      </c>
      <c r="G181" t="s">
        <v>88</v>
      </c>
      <c r="H181" t="s">
        <v>162</v>
      </c>
      <c r="I181" t="s">
        <v>41</v>
      </c>
      <c r="J181" t="s">
        <v>54</v>
      </c>
      <c r="K181">
        <v>41</v>
      </c>
      <c r="L181" t="s">
        <v>42</v>
      </c>
      <c r="M181" t="s">
        <v>58</v>
      </c>
      <c r="N181" t="s">
        <v>35</v>
      </c>
      <c r="O181">
        <v>927000</v>
      </c>
      <c r="P181">
        <v>77250</v>
      </c>
      <c r="Q181">
        <v>74</v>
      </c>
      <c r="R181" t="s">
        <v>36</v>
      </c>
      <c r="S181">
        <v>3.7</v>
      </c>
      <c r="T181">
        <v>66</v>
      </c>
      <c r="U181">
        <v>13</v>
      </c>
      <c r="V181">
        <v>9</v>
      </c>
      <c r="W181" t="s">
        <v>37</v>
      </c>
      <c r="X181">
        <v>2.7</v>
      </c>
      <c r="Y181">
        <v>5</v>
      </c>
      <c r="Z181">
        <v>10.5</v>
      </c>
    </row>
    <row r="182" spans="1:26">
      <c r="A182" t="s">
        <v>278</v>
      </c>
      <c r="B182" s="21">
        <v>43042</v>
      </c>
      <c r="C182" s="21"/>
      <c r="D182" t="s">
        <v>27</v>
      </c>
      <c r="E182">
        <v>0</v>
      </c>
      <c r="F182" t="s">
        <v>73</v>
      </c>
      <c r="G182" t="s">
        <v>29</v>
      </c>
      <c r="H182" t="s">
        <v>126</v>
      </c>
      <c r="I182" t="s">
        <v>41</v>
      </c>
      <c r="J182" t="s">
        <v>32</v>
      </c>
      <c r="K182">
        <v>21</v>
      </c>
      <c r="L182" t="s">
        <v>130</v>
      </c>
      <c r="M182" t="s">
        <v>43</v>
      </c>
      <c r="N182" t="s">
        <v>35</v>
      </c>
      <c r="O182">
        <v>348000</v>
      </c>
      <c r="P182">
        <v>29000</v>
      </c>
      <c r="Q182">
        <v>97</v>
      </c>
      <c r="R182" t="s">
        <v>36</v>
      </c>
      <c r="S182">
        <v>3.6</v>
      </c>
      <c r="T182">
        <v>15</v>
      </c>
      <c r="U182">
        <v>11</v>
      </c>
      <c r="V182">
        <v>0</v>
      </c>
      <c r="W182" t="s">
        <v>37</v>
      </c>
      <c r="X182">
        <v>4.7</v>
      </c>
      <c r="Y182">
        <v>1</v>
      </c>
      <c r="Z182">
        <v>17.100000000000001</v>
      </c>
    </row>
    <row r="183" spans="1:26">
      <c r="A183" t="s">
        <v>279</v>
      </c>
      <c r="B183" s="21">
        <v>45067</v>
      </c>
      <c r="C183" s="21"/>
      <c r="D183" t="s">
        <v>27</v>
      </c>
      <c r="E183">
        <v>0</v>
      </c>
      <c r="F183" t="s">
        <v>39</v>
      </c>
      <c r="G183" t="s">
        <v>51</v>
      </c>
      <c r="H183" t="s">
        <v>204</v>
      </c>
      <c r="I183" t="s">
        <v>48</v>
      </c>
      <c r="J183" t="s">
        <v>54</v>
      </c>
      <c r="K183">
        <v>32</v>
      </c>
      <c r="L183" t="s">
        <v>42</v>
      </c>
      <c r="M183" t="s">
        <v>65</v>
      </c>
      <c r="N183" t="s">
        <v>35</v>
      </c>
      <c r="O183">
        <v>887000</v>
      </c>
      <c r="P183">
        <v>73916.67</v>
      </c>
      <c r="Q183">
        <v>31</v>
      </c>
      <c r="R183" t="s">
        <v>36</v>
      </c>
      <c r="S183">
        <v>3</v>
      </c>
      <c r="T183">
        <v>77</v>
      </c>
      <c r="U183">
        <v>12</v>
      </c>
      <c r="V183">
        <v>4</v>
      </c>
      <c r="W183" t="s">
        <v>37</v>
      </c>
      <c r="X183">
        <v>2.9</v>
      </c>
      <c r="Y183">
        <v>4</v>
      </c>
      <c r="Z183">
        <v>12.3</v>
      </c>
    </row>
    <row r="184" spans="1:26">
      <c r="A184" t="s">
        <v>280</v>
      </c>
      <c r="B184" s="21">
        <v>43945</v>
      </c>
      <c r="C184" s="21"/>
      <c r="D184" t="s">
        <v>27</v>
      </c>
      <c r="E184">
        <v>0</v>
      </c>
      <c r="F184" t="s">
        <v>60</v>
      </c>
      <c r="G184" t="s">
        <v>51</v>
      </c>
      <c r="H184" t="s">
        <v>61</v>
      </c>
      <c r="I184" t="s">
        <v>48</v>
      </c>
      <c r="J184" t="s">
        <v>54</v>
      </c>
      <c r="K184">
        <v>31</v>
      </c>
      <c r="L184" t="s">
        <v>42</v>
      </c>
      <c r="M184" t="s">
        <v>40</v>
      </c>
      <c r="N184" t="s">
        <v>35</v>
      </c>
      <c r="O184">
        <v>814000</v>
      </c>
      <c r="P184">
        <v>67833.33</v>
      </c>
      <c r="Q184">
        <v>68</v>
      </c>
      <c r="R184" t="s">
        <v>36</v>
      </c>
      <c r="S184">
        <v>4</v>
      </c>
      <c r="T184">
        <v>70</v>
      </c>
      <c r="U184">
        <v>9</v>
      </c>
      <c r="V184">
        <v>2</v>
      </c>
      <c r="W184" t="s">
        <v>37</v>
      </c>
      <c r="X184">
        <v>3.4</v>
      </c>
      <c r="Y184">
        <v>1</v>
      </c>
      <c r="Z184">
        <v>19.399999999999999</v>
      </c>
    </row>
    <row r="185" spans="1:26">
      <c r="A185" t="s">
        <v>281</v>
      </c>
      <c r="B185" s="21">
        <v>44926</v>
      </c>
      <c r="C185" s="21"/>
      <c r="D185" t="s">
        <v>27</v>
      </c>
      <c r="E185">
        <v>0</v>
      </c>
      <c r="F185" t="s">
        <v>28</v>
      </c>
      <c r="G185" t="s">
        <v>70</v>
      </c>
      <c r="H185" t="s">
        <v>121</v>
      </c>
      <c r="I185" t="s">
        <v>48</v>
      </c>
      <c r="J185" t="s">
        <v>32</v>
      </c>
      <c r="K185">
        <v>34</v>
      </c>
      <c r="L185" t="s">
        <v>33</v>
      </c>
      <c r="M185" t="s">
        <v>43</v>
      </c>
      <c r="N185" t="s">
        <v>35</v>
      </c>
      <c r="O185">
        <v>447000</v>
      </c>
      <c r="P185">
        <v>37250</v>
      </c>
      <c r="Q185">
        <v>36</v>
      </c>
      <c r="R185" t="s">
        <v>116</v>
      </c>
      <c r="S185">
        <v>2.2999999999999998</v>
      </c>
      <c r="T185">
        <v>68</v>
      </c>
      <c r="U185">
        <v>15</v>
      </c>
      <c r="V185">
        <v>3</v>
      </c>
      <c r="W185" t="s">
        <v>37</v>
      </c>
      <c r="X185">
        <v>4.0999999999999996</v>
      </c>
      <c r="Y185">
        <v>5</v>
      </c>
      <c r="Z185">
        <v>15.7</v>
      </c>
    </row>
    <row r="186" spans="1:26">
      <c r="A186" t="s">
        <v>282</v>
      </c>
      <c r="B186" s="21">
        <v>45680</v>
      </c>
      <c r="C186" s="21"/>
      <c r="D186" t="s">
        <v>27</v>
      </c>
      <c r="E186">
        <v>0</v>
      </c>
      <c r="F186" t="s">
        <v>73</v>
      </c>
      <c r="G186" t="s">
        <v>88</v>
      </c>
      <c r="H186" t="s">
        <v>126</v>
      </c>
      <c r="I186" t="s">
        <v>62</v>
      </c>
      <c r="J186" t="s">
        <v>32</v>
      </c>
      <c r="K186">
        <v>46</v>
      </c>
      <c r="L186" t="s">
        <v>130</v>
      </c>
      <c r="M186" t="s">
        <v>40</v>
      </c>
      <c r="N186" t="s">
        <v>35</v>
      </c>
      <c r="O186">
        <v>1277000</v>
      </c>
      <c r="P186">
        <v>106416.67</v>
      </c>
      <c r="Q186">
        <v>11</v>
      </c>
      <c r="R186" t="s">
        <v>36</v>
      </c>
      <c r="S186">
        <v>3.5</v>
      </c>
      <c r="T186">
        <v>71</v>
      </c>
      <c r="U186">
        <v>10</v>
      </c>
      <c r="V186">
        <v>5</v>
      </c>
      <c r="W186" t="s">
        <v>44</v>
      </c>
      <c r="X186">
        <v>4.0999999999999996</v>
      </c>
      <c r="Y186">
        <v>5</v>
      </c>
      <c r="Z186">
        <v>1</v>
      </c>
    </row>
    <row r="187" spans="1:26">
      <c r="A187" t="s">
        <v>283</v>
      </c>
      <c r="B187" s="21">
        <v>44668</v>
      </c>
      <c r="C187" s="21"/>
      <c r="D187" t="s">
        <v>27</v>
      </c>
      <c r="E187">
        <v>0</v>
      </c>
      <c r="F187" t="s">
        <v>60</v>
      </c>
      <c r="G187" t="s">
        <v>88</v>
      </c>
      <c r="H187" t="s">
        <v>112</v>
      </c>
      <c r="I187" t="s">
        <v>31</v>
      </c>
      <c r="J187" t="s">
        <v>54</v>
      </c>
      <c r="K187">
        <v>36</v>
      </c>
      <c r="L187" t="s">
        <v>33</v>
      </c>
      <c r="M187" t="s">
        <v>40</v>
      </c>
      <c r="N187" t="s">
        <v>35</v>
      </c>
      <c r="O187">
        <v>1081000</v>
      </c>
      <c r="P187">
        <v>90083.33</v>
      </c>
      <c r="Q187">
        <v>44</v>
      </c>
      <c r="R187" t="s">
        <v>103</v>
      </c>
      <c r="S187">
        <v>4.0999999999999996</v>
      </c>
      <c r="T187">
        <v>28</v>
      </c>
      <c r="U187">
        <v>15</v>
      </c>
      <c r="V187">
        <v>0</v>
      </c>
      <c r="W187" t="s">
        <v>37</v>
      </c>
      <c r="X187">
        <v>3.2</v>
      </c>
      <c r="Y187">
        <v>5</v>
      </c>
      <c r="Z187">
        <v>13.2</v>
      </c>
    </row>
    <row r="188" spans="1:26">
      <c r="A188" t="s">
        <v>284</v>
      </c>
      <c r="B188" s="21">
        <v>45022</v>
      </c>
      <c r="C188" s="21"/>
      <c r="D188" t="s">
        <v>27</v>
      </c>
      <c r="E188">
        <v>0</v>
      </c>
      <c r="F188" t="s">
        <v>50</v>
      </c>
      <c r="G188" t="s">
        <v>88</v>
      </c>
      <c r="H188" t="s">
        <v>52</v>
      </c>
      <c r="I188" t="s">
        <v>41</v>
      </c>
      <c r="J188" t="s">
        <v>54</v>
      </c>
      <c r="K188">
        <v>36</v>
      </c>
      <c r="L188" t="s">
        <v>33</v>
      </c>
      <c r="M188" t="s">
        <v>43</v>
      </c>
      <c r="N188" t="s">
        <v>35</v>
      </c>
      <c r="O188">
        <v>921000</v>
      </c>
      <c r="P188">
        <v>76750</v>
      </c>
      <c r="Q188">
        <v>32</v>
      </c>
      <c r="R188" t="s">
        <v>36</v>
      </c>
      <c r="S188">
        <v>4.3</v>
      </c>
      <c r="T188">
        <v>74</v>
      </c>
      <c r="U188">
        <v>11</v>
      </c>
      <c r="V188">
        <v>2</v>
      </c>
      <c r="W188" t="s">
        <v>37</v>
      </c>
      <c r="X188">
        <v>1.8</v>
      </c>
      <c r="Y188">
        <v>0</v>
      </c>
      <c r="Z188">
        <v>14.4</v>
      </c>
    </row>
    <row r="189" spans="1:26">
      <c r="A189" t="s">
        <v>285</v>
      </c>
      <c r="B189" s="21">
        <v>44280</v>
      </c>
      <c r="C189" s="21"/>
      <c r="D189" t="s">
        <v>27</v>
      </c>
      <c r="E189">
        <v>0</v>
      </c>
      <c r="F189" t="s">
        <v>60</v>
      </c>
      <c r="G189" t="s">
        <v>29</v>
      </c>
      <c r="H189" t="s">
        <v>112</v>
      </c>
      <c r="I189" t="s">
        <v>31</v>
      </c>
      <c r="J189" t="s">
        <v>54</v>
      </c>
      <c r="K189">
        <v>32</v>
      </c>
      <c r="L189" t="s">
        <v>33</v>
      </c>
      <c r="M189" t="s">
        <v>65</v>
      </c>
      <c r="N189" t="s">
        <v>35</v>
      </c>
      <c r="O189">
        <v>395000</v>
      </c>
      <c r="P189">
        <v>32916.67</v>
      </c>
      <c r="Q189">
        <v>57</v>
      </c>
      <c r="R189" t="s">
        <v>116</v>
      </c>
      <c r="S189">
        <v>3.1</v>
      </c>
      <c r="T189">
        <v>64</v>
      </c>
      <c r="U189">
        <v>16</v>
      </c>
      <c r="V189">
        <v>7</v>
      </c>
      <c r="W189" t="s">
        <v>44</v>
      </c>
      <c r="X189">
        <v>2.9</v>
      </c>
      <c r="Y189">
        <v>3</v>
      </c>
      <c r="Z189">
        <v>3.1</v>
      </c>
    </row>
    <row r="190" spans="1:26">
      <c r="A190" t="s">
        <v>286</v>
      </c>
      <c r="B190" s="21">
        <v>44022</v>
      </c>
      <c r="C190" s="21"/>
      <c r="D190" t="s">
        <v>27</v>
      </c>
      <c r="E190">
        <v>0</v>
      </c>
      <c r="F190" t="s">
        <v>67</v>
      </c>
      <c r="G190" t="s">
        <v>51</v>
      </c>
      <c r="H190" t="s">
        <v>80</v>
      </c>
      <c r="I190" t="s">
        <v>41</v>
      </c>
      <c r="J190" t="s">
        <v>32</v>
      </c>
      <c r="K190">
        <v>44</v>
      </c>
      <c r="L190" t="s">
        <v>33</v>
      </c>
      <c r="M190" t="s">
        <v>40</v>
      </c>
      <c r="N190" t="s">
        <v>35</v>
      </c>
      <c r="O190">
        <v>999000</v>
      </c>
      <c r="P190">
        <v>83250</v>
      </c>
      <c r="Q190">
        <v>65</v>
      </c>
      <c r="R190" t="s">
        <v>36</v>
      </c>
      <c r="S190">
        <v>3.8</v>
      </c>
      <c r="T190">
        <v>79</v>
      </c>
      <c r="U190">
        <v>13</v>
      </c>
      <c r="V190">
        <v>8</v>
      </c>
      <c r="W190" t="s">
        <v>37</v>
      </c>
      <c r="X190">
        <v>3.7</v>
      </c>
      <c r="Y190">
        <v>4</v>
      </c>
      <c r="Z190">
        <v>1.6</v>
      </c>
    </row>
    <row r="191" spans="1:26">
      <c r="A191" t="s">
        <v>287</v>
      </c>
      <c r="B191" s="21">
        <v>45997</v>
      </c>
      <c r="C191" s="21"/>
      <c r="D191" t="s">
        <v>27</v>
      </c>
      <c r="E191">
        <v>0</v>
      </c>
      <c r="F191" t="s">
        <v>46</v>
      </c>
      <c r="G191" t="s">
        <v>29</v>
      </c>
      <c r="H191" t="s">
        <v>71</v>
      </c>
      <c r="I191" t="s">
        <v>41</v>
      </c>
      <c r="J191" t="s">
        <v>54</v>
      </c>
      <c r="K191">
        <v>27</v>
      </c>
      <c r="L191" t="s">
        <v>33</v>
      </c>
      <c r="M191" t="s">
        <v>34</v>
      </c>
      <c r="N191" t="s">
        <v>35</v>
      </c>
      <c r="O191">
        <v>351000</v>
      </c>
      <c r="P191">
        <v>29250</v>
      </c>
      <c r="Q191">
        <v>1</v>
      </c>
      <c r="R191" t="s">
        <v>36</v>
      </c>
      <c r="S191">
        <v>5</v>
      </c>
      <c r="T191">
        <v>12</v>
      </c>
      <c r="U191">
        <v>19</v>
      </c>
      <c r="V191">
        <v>3</v>
      </c>
      <c r="W191" t="s">
        <v>37</v>
      </c>
      <c r="X191">
        <v>4.8</v>
      </c>
      <c r="Y191">
        <v>2</v>
      </c>
      <c r="Z191">
        <v>3.1</v>
      </c>
    </row>
    <row r="192" spans="1:26">
      <c r="A192" t="s">
        <v>288</v>
      </c>
      <c r="B192" s="21">
        <v>44573</v>
      </c>
      <c r="C192" s="21"/>
      <c r="D192" t="s">
        <v>27</v>
      </c>
      <c r="E192">
        <v>0</v>
      </c>
      <c r="F192" t="s">
        <v>67</v>
      </c>
      <c r="G192" t="s">
        <v>91</v>
      </c>
      <c r="H192" t="s">
        <v>68</v>
      </c>
      <c r="I192" t="s">
        <v>31</v>
      </c>
      <c r="J192" t="s">
        <v>32</v>
      </c>
      <c r="K192">
        <v>36</v>
      </c>
      <c r="L192" t="s">
        <v>130</v>
      </c>
      <c r="M192" t="s">
        <v>43</v>
      </c>
      <c r="N192" t="s">
        <v>35</v>
      </c>
      <c r="O192">
        <v>1525000</v>
      </c>
      <c r="P192">
        <v>127083.33</v>
      </c>
      <c r="Q192">
        <v>47</v>
      </c>
      <c r="R192" t="s">
        <v>55</v>
      </c>
      <c r="S192">
        <v>3.3</v>
      </c>
      <c r="T192">
        <v>42</v>
      </c>
      <c r="U192">
        <v>14</v>
      </c>
      <c r="V192">
        <v>10</v>
      </c>
      <c r="W192" t="s">
        <v>44</v>
      </c>
      <c r="X192">
        <v>3.9</v>
      </c>
      <c r="Y192">
        <v>5</v>
      </c>
      <c r="Z192">
        <v>5.5</v>
      </c>
    </row>
    <row r="193" spans="1:26">
      <c r="A193" t="s">
        <v>289</v>
      </c>
      <c r="B193" s="21">
        <v>43099</v>
      </c>
      <c r="C193" s="21"/>
      <c r="D193" t="s">
        <v>27</v>
      </c>
      <c r="E193">
        <v>0</v>
      </c>
      <c r="F193" t="s">
        <v>67</v>
      </c>
      <c r="G193" t="s">
        <v>29</v>
      </c>
      <c r="H193" t="s">
        <v>80</v>
      </c>
      <c r="I193" t="s">
        <v>31</v>
      </c>
      <c r="J193" t="s">
        <v>32</v>
      </c>
      <c r="K193">
        <v>36</v>
      </c>
      <c r="L193" t="s">
        <v>130</v>
      </c>
      <c r="M193" t="s">
        <v>78</v>
      </c>
      <c r="N193" t="s">
        <v>35</v>
      </c>
      <c r="O193">
        <v>358000</v>
      </c>
      <c r="P193">
        <v>29833.33</v>
      </c>
      <c r="Q193">
        <v>96</v>
      </c>
      <c r="R193" t="s">
        <v>36</v>
      </c>
      <c r="S193">
        <v>2.5</v>
      </c>
      <c r="T193">
        <v>9</v>
      </c>
      <c r="U193">
        <v>6</v>
      </c>
      <c r="V193">
        <v>3</v>
      </c>
      <c r="W193" t="s">
        <v>37</v>
      </c>
      <c r="X193">
        <v>3.2</v>
      </c>
      <c r="Y193">
        <v>0</v>
      </c>
      <c r="Z193">
        <v>4.3</v>
      </c>
    </row>
    <row r="194" spans="1:26">
      <c r="A194" t="s">
        <v>290</v>
      </c>
      <c r="B194" s="21">
        <v>43557</v>
      </c>
      <c r="C194" s="21"/>
      <c r="D194" t="s">
        <v>27</v>
      </c>
      <c r="E194">
        <v>0</v>
      </c>
      <c r="F194" t="s">
        <v>73</v>
      </c>
      <c r="G194" t="s">
        <v>51</v>
      </c>
      <c r="H194" t="s">
        <v>126</v>
      </c>
      <c r="I194" t="s">
        <v>31</v>
      </c>
      <c r="J194" t="s">
        <v>54</v>
      </c>
      <c r="K194">
        <v>41</v>
      </c>
      <c r="L194" t="s">
        <v>42</v>
      </c>
      <c r="M194" t="s">
        <v>58</v>
      </c>
      <c r="N194" t="s">
        <v>35</v>
      </c>
      <c r="O194">
        <v>904000</v>
      </c>
      <c r="P194">
        <v>75333.33</v>
      </c>
      <c r="Q194">
        <v>80</v>
      </c>
      <c r="R194" t="s">
        <v>36</v>
      </c>
      <c r="S194">
        <v>2.8</v>
      </c>
      <c r="T194">
        <v>47</v>
      </c>
      <c r="U194">
        <v>23</v>
      </c>
      <c r="V194">
        <v>8</v>
      </c>
      <c r="W194" t="s">
        <v>37</v>
      </c>
      <c r="X194">
        <v>3.3</v>
      </c>
      <c r="Y194">
        <v>4</v>
      </c>
      <c r="Z194">
        <v>3.2</v>
      </c>
    </row>
    <row r="195" spans="1:26">
      <c r="A195" t="s">
        <v>291</v>
      </c>
      <c r="B195" s="21">
        <v>45953</v>
      </c>
      <c r="C195" s="21"/>
      <c r="D195" t="s">
        <v>27</v>
      </c>
      <c r="E195">
        <v>0</v>
      </c>
      <c r="F195" t="s">
        <v>50</v>
      </c>
      <c r="G195" t="s">
        <v>29</v>
      </c>
      <c r="H195" t="s">
        <v>52</v>
      </c>
      <c r="I195" t="s">
        <v>48</v>
      </c>
      <c r="J195" t="s">
        <v>54</v>
      </c>
      <c r="K195">
        <v>30</v>
      </c>
      <c r="L195" t="s">
        <v>33</v>
      </c>
      <c r="M195" t="s">
        <v>43</v>
      </c>
      <c r="N195" t="s">
        <v>35</v>
      </c>
      <c r="O195">
        <v>359000</v>
      </c>
      <c r="P195">
        <v>29916.67</v>
      </c>
      <c r="Q195">
        <v>2</v>
      </c>
      <c r="R195" t="s">
        <v>116</v>
      </c>
      <c r="S195">
        <v>3.4</v>
      </c>
      <c r="T195">
        <v>14</v>
      </c>
      <c r="U195">
        <v>22</v>
      </c>
      <c r="V195">
        <v>5</v>
      </c>
      <c r="W195" t="s">
        <v>37</v>
      </c>
      <c r="X195">
        <v>3.3</v>
      </c>
      <c r="Y195">
        <v>5</v>
      </c>
      <c r="Z195">
        <v>18.399999999999999</v>
      </c>
    </row>
    <row r="196" spans="1:26">
      <c r="A196" t="s">
        <v>292</v>
      </c>
      <c r="B196" s="21">
        <v>45860</v>
      </c>
      <c r="C196" s="21"/>
      <c r="D196" t="s">
        <v>27</v>
      </c>
      <c r="E196">
        <v>0</v>
      </c>
      <c r="F196" t="s">
        <v>46</v>
      </c>
      <c r="G196" t="s">
        <v>88</v>
      </c>
      <c r="H196" t="s">
        <v>92</v>
      </c>
      <c r="I196" t="s">
        <v>75</v>
      </c>
      <c r="J196" t="s">
        <v>54</v>
      </c>
      <c r="K196">
        <v>53</v>
      </c>
      <c r="L196" t="s">
        <v>33</v>
      </c>
      <c r="M196" t="s">
        <v>65</v>
      </c>
      <c r="N196" t="s">
        <v>35</v>
      </c>
      <c r="O196">
        <v>1181000</v>
      </c>
      <c r="P196">
        <v>98416.67</v>
      </c>
      <c r="Q196">
        <v>5</v>
      </c>
      <c r="R196" t="s">
        <v>103</v>
      </c>
      <c r="S196">
        <v>3.9</v>
      </c>
      <c r="T196">
        <v>24</v>
      </c>
      <c r="U196">
        <v>22</v>
      </c>
      <c r="V196">
        <v>4</v>
      </c>
      <c r="W196" t="s">
        <v>37</v>
      </c>
      <c r="X196">
        <v>3.4</v>
      </c>
      <c r="Y196">
        <v>1</v>
      </c>
      <c r="Z196">
        <v>5</v>
      </c>
    </row>
    <row r="197" spans="1:26">
      <c r="A197" t="s">
        <v>293</v>
      </c>
      <c r="B197" s="21">
        <v>44894</v>
      </c>
      <c r="C197" s="21"/>
      <c r="D197" t="s">
        <v>27</v>
      </c>
      <c r="E197">
        <v>0</v>
      </c>
      <c r="F197" t="s">
        <v>73</v>
      </c>
      <c r="G197" t="s">
        <v>51</v>
      </c>
      <c r="H197" t="s">
        <v>126</v>
      </c>
      <c r="I197" t="s">
        <v>75</v>
      </c>
      <c r="J197" t="s">
        <v>54</v>
      </c>
      <c r="K197">
        <v>34</v>
      </c>
      <c r="L197" t="s">
        <v>42</v>
      </c>
      <c r="M197" t="s">
        <v>40</v>
      </c>
      <c r="N197" t="s">
        <v>35</v>
      </c>
      <c r="O197">
        <v>818000</v>
      </c>
      <c r="P197">
        <v>68166.67</v>
      </c>
      <c r="Q197">
        <v>37</v>
      </c>
      <c r="R197" t="s">
        <v>116</v>
      </c>
      <c r="S197">
        <v>2.5</v>
      </c>
      <c r="T197">
        <v>45</v>
      </c>
      <c r="U197">
        <v>17</v>
      </c>
      <c r="V197">
        <v>9</v>
      </c>
      <c r="W197" t="s">
        <v>37</v>
      </c>
      <c r="X197">
        <v>4</v>
      </c>
      <c r="Y197">
        <v>1</v>
      </c>
      <c r="Z197">
        <v>13.5</v>
      </c>
    </row>
    <row r="198" spans="1:26">
      <c r="A198" t="s">
        <v>294</v>
      </c>
      <c r="B198" s="21">
        <v>42815</v>
      </c>
      <c r="C198" s="21"/>
      <c r="D198" t="s">
        <v>27</v>
      </c>
      <c r="E198">
        <v>0</v>
      </c>
      <c r="F198" t="s">
        <v>39</v>
      </c>
      <c r="G198" t="s">
        <v>51</v>
      </c>
      <c r="H198" t="s">
        <v>204</v>
      </c>
      <c r="I198" t="s">
        <v>31</v>
      </c>
      <c r="J198" t="s">
        <v>54</v>
      </c>
      <c r="K198">
        <v>44</v>
      </c>
      <c r="L198" t="s">
        <v>33</v>
      </c>
      <c r="M198" t="s">
        <v>34</v>
      </c>
      <c r="N198" t="s">
        <v>35</v>
      </c>
      <c r="O198">
        <v>971000</v>
      </c>
      <c r="P198">
        <v>80916.67</v>
      </c>
      <c r="Q198">
        <v>105</v>
      </c>
      <c r="R198" t="s">
        <v>36</v>
      </c>
      <c r="S198">
        <v>4.5</v>
      </c>
      <c r="T198">
        <v>4</v>
      </c>
      <c r="U198">
        <v>20</v>
      </c>
      <c r="V198">
        <v>0</v>
      </c>
      <c r="W198" t="s">
        <v>44</v>
      </c>
      <c r="X198">
        <v>3.6</v>
      </c>
      <c r="Y198">
        <v>0</v>
      </c>
      <c r="Z198">
        <v>21.5</v>
      </c>
    </row>
    <row r="199" spans="1:26">
      <c r="A199" t="s">
        <v>295</v>
      </c>
      <c r="B199" s="21">
        <v>44580</v>
      </c>
      <c r="C199" s="21"/>
      <c r="D199" t="s">
        <v>27</v>
      </c>
      <c r="E199">
        <v>0</v>
      </c>
      <c r="F199" t="s">
        <v>28</v>
      </c>
      <c r="G199" t="s">
        <v>51</v>
      </c>
      <c r="H199" t="s">
        <v>30</v>
      </c>
      <c r="I199" t="s">
        <v>31</v>
      </c>
      <c r="J199" t="s">
        <v>54</v>
      </c>
      <c r="K199">
        <v>28</v>
      </c>
      <c r="L199" t="s">
        <v>82</v>
      </c>
      <c r="M199" t="s">
        <v>58</v>
      </c>
      <c r="N199" t="s">
        <v>35</v>
      </c>
      <c r="O199">
        <v>688000</v>
      </c>
      <c r="P199">
        <v>57333.33</v>
      </c>
      <c r="Q199">
        <v>47</v>
      </c>
      <c r="R199" t="s">
        <v>55</v>
      </c>
      <c r="S199">
        <v>3.7</v>
      </c>
      <c r="T199">
        <v>65</v>
      </c>
      <c r="U199">
        <v>8</v>
      </c>
      <c r="V199">
        <v>7</v>
      </c>
      <c r="W199" t="s">
        <v>37</v>
      </c>
      <c r="X199">
        <v>3.5</v>
      </c>
      <c r="Y199">
        <v>4</v>
      </c>
      <c r="Z199">
        <v>15.5</v>
      </c>
    </row>
    <row r="200" spans="1:26">
      <c r="A200" t="s">
        <v>296</v>
      </c>
      <c r="B200" s="21">
        <v>44689</v>
      </c>
      <c r="C200" s="21"/>
      <c r="D200" t="s">
        <v>27</v>
      </c>
      <c r="E200">
        <v>0</v>
      </c>
      <c r="F200" t="s">
        <v>67</v>
      </c>
      <c r="G200" t="s">
        <v>29</v>
      </c>
      <c r="H200" t="s">
        <v>95</v>
      </c>
      <c r="I200" t="s">
        <v>48</v>
      </c>
      <c r="J200" t="s">
        <v>32</v>
      </c>
      <c r="K200">
        <v>43</v>
      </c>
      <c r="L200" t="s">
        <v>33</v>
      </c>
      <c r="M200" t="s">
        <v>34</v>
      </c>
      <c r="N200" t="s">
        <v>35</v>
      </c>
      <c r="O200">
        <v>428000</v>
      </c>
      <c r="P200">
        <v>35666.67</v>
      </c>
      <c r="Q200">
        <v>43</v>
      </c>
      <c r="R200" t="s">
        <v>36</v>
      </c>
      <c r="S200">
        <v>3.1</v>
      </c>
      <c r="T200">
        <v>5</v>
      </c>
      <c r="U200">
        <v>24</v>
      </c>
      <c r="V200">
        <v>3</v>
      </c>
      <c r="W200" t="s">
        <v>37</v>
      </c>
      <c r="X200">
        <v>3.9</v>
      </c>
      <c r="Y200">
        <v>0</v>
      </c>
      <c r="Z200">
        <v>15.8</v>
      </c>
    </row>
    <row r="201" spans="1:26">
      <c r="A201" t="s">
        <v>297</v>
      </c>
      <c r="B201" s="21">
        <v>42792</v>
      </c>
      <c r="C201" s="21"/>
      <c r="D201" t="s">
        <v>27</v>
      </c>
      <c r="E201">
        <v>0</v>
      </c>
      <c r="F201" t="s">
        <v>67</v>
      </c>
      <c r="G201" t="s">
        <v>51</v>
      </c>
      <c r="H201" t="s">
        <v>80</v>
      </c>
      <c r="I201" t="s">
        <v>48</v>
      </c>
      <c r="J201" t="s">
        <v>54</v>
      </c>
      <c r="K201">
        <v>37</v>
      </c>
      <c r="L201" t="s">
        <v>82</v>
      </c>
      <c r="M201" t="s">
        <v>34</v>
      </c>
      <c r="N201" t="s">
        <v>35</v>
      </c>
      <c r="O201">
        <v>920000</v>
      </c>
      <c r="P201">
        <v>76666.67</v>
      </c>
      <c r="Q201">
        <v>106</v>
      </c>
      <c r="R201" t="s">
        <v>36</v>
      </c>
      <c r="S201">
        <v>2.6</v>
      </c>
      <c r="T201">
        <v>44</v>
      </c>
      <c r="U201">
        <v>19</v>
      </c>
      <c r="V201">
        <v>0</v>
      </c>
      <c r="W201" t="s">
        <v>37</v>
      </c>
      <c r="X201">
        <v>4.2</v>
      </c>
      <c r="Y201">
        <v>2</v>
      </c>
      <c r="Z201">
        <v>16.8</v>
      </c>
    </row>
    <row r="202" spans="1:26">
      <c r="A202" t="s">
        <v>298</v>
      </c>
      <c r="B202" s="21">
        <v>44844</v>
      </c>
      <c r="C202" s="21"/>
      <c r="D202" t="s">
        <v>27</v>
      </c>
      <c r="E202">
        <v>0</v>
      </c>
      <c r="F202" t="s">
        <v>73</v>
      </c>
      <c r="G202" t="s">
        <v>51</v>
      </c>
      <c r="H202" t="s">
        <v>74</v>
      </c>
      <c r="I202" t="s">
        <v>53</v>
      </c>
      <c r="J202" t="s">
        <v>32</v>
      </c>
      <c r="K202">
        <v>54</v>
      </c>
      <c r="L202" t="s">
        <v>42</v>
      </c>
      <c r="M202" t="s">
        <v>34</v>
      </c>
      <c r="N202" t="s">
        <v>35</v>
      </c>
      <c r="O202">
        <v>807000</v>
      </c>
      <c r="P202">
        <v>67250</v>
      </c>
      <c r="Q202">
        <v>38</v>
      </c>
      <c r="R202" t="s">
        <v>36</v>
      </c>
      <c r="S202">
        <v>3.6</v>
      </c>
      <c r="T202">
        <v>26</v>
      </c>
      <c r="U202">
        <v>6</v>
      </c>
      <c r="V202">
        <v>6</v>
      </c>
      <c r="W202" t="s">
        <v>37</v>
      </c>
      <c r="X202">
        <v>3.9</v>
      </c>
      <c r="Y202">
        <v>4</v>
      </c>
      <c r="Z202">
        <v>11.8</v>
      </c>
    </row>
    <row r="203" spans="1:26">
      <c r="A203" t="s">
        <v>299</v>
      </c>
      <c r="B203" s="21">
        <v>44053</v>
      </c>
      <c r="C203" s="21"/>
      <c r="D203" t="s">
        <v>27</v>
      </c>
      <c r="E203">
        <v>0</v>
      </c>
      <c r="F203" t="s">
        <v>28</v>
      </c>
      <c r="G203" t="s">
        <v>51</v>
      </c>
      <c r="H203" t="s">
        <v>121</v>
      </c>
      <c r="I203" t="s">
        <v>48</v>
      </c>
      <c r="J203" t="s">
        <v>149</v>
      </c>
      <c r="K203">
        <v>42</v>
      </c>
      <c r="L203" t="s">
        <v>33</v>
      </c>
      <c r="M203" t="s">
        <v>40</v>
      </c>
      <c r="N203" t="s">
        <v>35</v>
      </c>
      <c r="O203">
        <v>840000</v>
      </c>
      <c r="P203">
        <v>70000</v>
      </c>
      <c r="Q203">
        <v>64</v>
      </c>
      <c r="R203" t="s">
        <v>103</v>
      </c>
      <c r="S203">
        <v>3.5</v>
      </c>
      <c r="T203">
        <v>36</v>
      </c>
      <c r="U203">
        <v>7</v>
      </c>
      <c r="V203">
        <v>3</v>
      </c>
      <c r="W203" t="s">
        <v>37</v>
      </c>
      <c r="X203">
        <v>3.5</v>
      </c>
      <c r="Y203">
        <v>2</v>
      </c>
      <c r="Z203">
        <v>8.1</v>
      </c>
    </row>
    <row r="204" spans="1:26">
      <c r="A204" t="s">
        <v>300</v>
      </c>
      <c r="B204" s="21">
        <v>44854</v>
      </c>
      <c r="C204" s="21"/>
      <c r="D204" t="s">
        <v>27</v>
      </c>
      <c r="E204">
        <v>0</v>
      </c>
      <c r="F204" t="s">
        <v>50</v>
      </c>
      <c r="G204" t="s">
        <v>70</v>
      </c>
      <c r="H204" t="s">
        <v>52</v>
      </c>
      <c r="I204" t="s">
        <v>75</v>
      </c>
      <c r="J204" t="s">
        <v>32</v>
      </c>
      <c r="K204">
        <v>51</v>
      </c>
      <c r="L204" t="s">
        <v>33</v>
      </c>
      <c r="M204" t="s">
        <v>65</v>
      </c>
      <c r="N204" t="s">
        <v>35</v>
      </c>
      <c r="O204">
        <v>585000</v>
      </c>
      <c r="P204">
        <v>48750</v>
      </c>
      <c r="Q204">
        <v>38</v>
      </c>
      <c r="R204" t="s">
        <v>55</v>
      </c>
      <c r="S204">
        <v>3.4</v>
      </c>
      <c r="T204">
        <v>16</v>
      </c>
      <c r="U204">
        <v>19</v>
      </c>
      <c r="V204">
        <v>11</v>
      </c>
      <c r="W204" t="s">
        <v>37</v>
      </c>
      <c r="X204">
        <v>3.9</v>
      </c>
      <c r="Y204">
        <v>5</v>
      </c>
      <c r="Z204">
        <v>5.6</v>
      </c>
    </row>
    <row r="205" spans="1:26">
      <c r="A205" t="s">
        <v>301</v>
      </c>
      <c r="B205" s="21">
        <v>45890</v>
      </c>
      <c r="C205" s="21"/>
      <c r="D205" t="s">
        <v>27</v>
      </c>
      <c r="E205">
        <v>0</v>
      </c>
      <c r="F205" t="s">
        <v>67</v>
      </c>
      <c r="G205" t="s">
        <v>70</v>
      </c>
      <c r="H205" t="s">
        <v>68</v>
      </c>
      <c r="I205" t="s">
        <v>31</v>
      </c>
      <c r="J205" t="s">
        <v>54</v>
      </c>
      <c r="K205">
        <v>45</v>
      </c>
      <c r="L205" t="s">
        <v>33</v>
      </c>
      <c r="M205" t="s">
        <v>40</v>
      </c>
      <c r="N205" t="s">
        <v>194</v>
      </c>
      <c r="O205">
        <v>530000</v>
      </c>
      <c r="P205">
        <v>44166.67</v>
      </c>
      <c r="Q205">
        <v>4</v>
      </c>
      <c r="R205" t="s">
        <v>55</v>
      </c>
      <c r="S205">
        <v>2.8</v>
      </c>
      <c r="T205">
        <v>55</v>
      </c>
      <c r="U205">
        <v>17</v>
      </c>
      <c r="V205">
        <v>0</v>
      </c>
      <c r="W205" t="s">
        <v>44</v>
      </c>
      <c r="X205">
        <v>2.5</v>
      </c>
      <c r="Y205">
        <v>4</v>
      </c>
      <c r="Z205">
        <v>1.8</v>
      </c>
    </row>
    <row r="206" spans="1:26">
      <c r="A206" t="s">
        <v>302</v>
      </c>
      <c r="B206" s="21">
        <v>42547</v>
      </c>
      <c r="C206" s="21"/>
      <c r="D206" t="s">
        <v>27</v>
      </c>
      <c r="E206">
        <v>0</v>
      </c>
      <c r="F206" t="s">
        <v>28</v>
      </c>
      <c r="G206" t="s">
        <v>70</v>
      </c>
      <c r="H206" t="s">
        <v>121</v>
      </c>
      <c r="I206" t="s">
        <v>53</v>
      </c>
      <c r="J206" t="s">
        <v>32</v>
      </c>
      <c r="K206">
        <v>34</v>
      </c>
      <c r="L206" t="s">
        <v>42</v>
      </c>
      <c r="M206" t="s">
        <v>65</v>
      </c>
      <c r="N206" t="s">
        <v>35</v>
      </c>
      <c r="O206">
        <v>511000</v>
      </c>
      <c r="P206">
        <v>42583.33</v>
      </c>
      <c r="Q206">
        <v>114</v>
      </c>
      <c r="R206" t="s">
        <v>36</v>
      </c>
      <c r="S206">
        <v>2.7</v>
      </c>
      <c r="T206">
        <v>69</v>
      </c>
      <c r="U206">
        <v>20</v>
      </c>
      <c r="V206">
        <v>3</v>
      </c>
      <c r="W206" t="s">
        <v>37</v>
      </c>
      <c r="X206">
        <v>4.2</v>
      </c>
      <c r="Y206">
        <v>5</v>
      </c>
      <c r="Z206">
        <v>1</v>
      </c>
    </row>
    <row r="207" spans="1:26">
      <c r="A207" t="s">
        <v>303</v>
      </c>
      <c r="B207" s="21">
        <v>45274</v>
      </c>
      <c r="C207" s="21"/>
      <c r="D207" t="s">
        <v>27</v>
      </c>
      <c r="E207">
        <v>0</v>
      </c>
      <c r="F207" t="s">
        <v>73</v>
      </c>
      <c r="G207" t="s">
        <v>70</v>
      </c>
      <c r="H207" t="s">
        <v>126</v>
      </c>
      <c r="I207" t="s">
        <v>75</v>
      </c>
      <c r="J207" t="s">
        <v>32</v>
      </c>
      <c r="K207">
        <v>36</v>
      </c>
      <c r="L207" t="s">
        <v>33</v>
      </c>
      <c r="M207" t="s">
        <v>34</v>
      </c>
      <c r="N207" t="s">
        <v>35</v>
      </c>
      <c r="O207">
        <v>573000</v>
      </c>
      <c r="P207">
        <v>47750</v>
      </c>
      <c r="Q207">
        <v>24</v>
      </c>
      <c r="R207" t="s">
        <v>36</v>
      </c>
      <c r="S207">
        <v>3.4</v>
      </c>
      <c r="T207">
        <v>50</v>
      </c>
      <c r="U207">
        <v>2</v>
      </c>
      <c r="V207">
        <v>4</v>
      </c>
      <c r="W207" t="s">
        <v>37</v>
      </c>
      <c r="X207">
        <v>3.9</v>
      </c>
      <c r="Y207">
        <v>0</v>
      </c>
      <c r="Z207">
        <v>3.2</v>
      </c>
    </row>
    <row r="208" spans="1:26">
      <c r="A208" t="s">
        <v>304</v>
      </c>
      <c r="B208" s="21">
        <v>45580</v>
      </c>
      <c r="C208" s="21"/>
      <c r="D208" t="s">
        <v>27</v>
      </c>
      <c r="E208">
        <v>0</v>
      </c>
      <c r="F208" t="s">
        <v>39</v>
      </c>
      <c r="G208" t="s">
        <v>51</v>
      </c>
      <c r="H208" t="s">
        <v>204</v>
      </c>
      <c r="I208" t="s">
        <v>62</v>
      </c>
      <c r="J208" t="s">
        <v>54</v>
      </c>
      <c r="K208">
        <v>35</v>
      </c>
      <c r="L208" t="s">
        <v>42</v>
      </c>
      <c r="M208" t="s">
        <v>65</v>
      </c>
      <c r="N208" t="s">
        <v>35</v>
      </c>
      <c r="O208">
        <v>832000</v>
      </c>
      <c r="P208">
        <v>69333.33</v>
      </c>
      <c r="Q208">
        <v>14</v>
      </c>
      <c r="R208" t="s">
        <v>36</v>
      </c>
      <c r="S208">
        <v>3.3</v>
      </c>
      <c r="T208">
        <v>51</v>
      </c>
      <c r="U208">
        <v>3</v>
      </c>
      <c r="V208">
        <v>3</v>
      </c>
      <c r="W208" t="s">
        <v>37</v>
      </c>
      <c r="X208">
        <v>3.8</v>
      </c>
      <c r="Y208">
        <v>1</v>
      </c>
      <c r="Z208">
        <v>3</v>
      </c>
    </row>
    <row r="209" spans="1:26">
      <c r="A209" t="s">
        <v>305</v>
      </c>
      <c r="B209" s="21">
        <v>44885</v>
      </c>
      <c r="C209" s="21">
        <v>45513</v>
      </c>
      <c r="D209" t="s">
        <v>57</v>
      </c>
      <c r="E209">
        <v>1</v>
      </c>
      <c r="F209" t="s">
        <v>39</v>
      </c>
      <c r="G209" t="s">
        <v>88</v>
      </c>
      <c r="H209" t="s">
        <v>85</v>
      </c>
      <c r="I209" t="s">
        <v>48</v>
      </c>
      <c r="J209" t="s">
        <v>54</v>
      </c>
      <c r="K209">
        <v>39</v>
      </c>
      <c r="L209" t="s">
        <v>33</v>
      </c>
      <c r="M209" t="s">
        <v>58</v>
      </c>
      <c r="N209" t="s">
        <v>35</v>
      </c>
      <c r="O209">
        <v>964000</v>
      </c>
      <c r="P209">
        <v>80333.33</v>
      </c>
      <c r="Q209">
        <v>21</v>
      </c>
      <c r="R209" t="s">
        <v>36</v>
      </c>
      <c r="S209">
        <v>2.2999999999999998</v>
      </c>
      <c r="T209">
        <v>66</v>
      </c>
      <c r="U209">
        <v>22</v>
      </c>
      <c r="V209">
        <v>13</v>
      </c>
      <c r="W209" t="s">
        <v>44</v>
      </c>
      <c r="X209">
        <v>4.7</v>
      </c>
      <c r="Y209">
        <v>3</v>
      </c>
      <c r="Z209">
        <v>19.8</v>
      </c>
    </row>
    <row r="210" spans="1:26">
      <c r="A210" t="s">
        <v>306</v>
      </c>
      <c r="B210" s="21">
        <v>42605</v>
      </c>
      <c r="C210" s="21"/>
      <c r="D210" t="s">
        <v>27</v>
      </c>
      <c r="E210">
        <v>0</v>
      </c>
      <c r="F210" t="s">
        <v>73</v>
      </c>
      <c r="G210" t="s">
        <v>105</v>
      </c>
      <c r="H210" t="s">
        <v>74</v>
      </c>
      <c r="I210" t="s">
        <v>48</v>
      </c>
      <c r="J210" t="s">
        <v>54</v>
      </c>
      <c r="K210">
        <v>61</v>
      </c>
      <c r="L210" t="s">
        <v>130</v>
      </c>
      <c r="M210" t="s">
        <v>34</v>
      </c>
      <c r="N210" t="s">
        <v>35</v>
      </c>
      <c r="O210">
        <v>2103000</v>
      </c>
      <c r="P210">
        <v>175250</v>
      </c>
      <c r="Q210">
        <v>112</v>
      </c>
      <c r="R210" t="s">
        <v>55</v>
      </c>
      <c r="S210">
        <v>3</v>
      </c>
      <c r="T210">
        <v>20</v>
      </c>
      <c r="U210">
        <v>6</v>
      </c>
      <c r="V210">
        <v>1</v>
      </c>
      <c r="W210" t="s">
        <v>44</v>
      </c>
      <c r="X210">
        <v>3.9</v>
      </c>
      <c r="Y210">
        <v>0</v>
      </c>
      <c r="Z210">
        <v>4.4000000000000004</v>
      </c>
    </row>
    <row r="211" spans="1:26">
      <c r="A211" t="s">
        <v>307</v>
      </c>
      <c r="B211" s="21">
        <v>44006</v>
      </c>
      <c r="C211" s="21"/>
      <c r="D211" t="s">
        <v>27</v>
      </c>
      <c r="E211">
        <v>0</v>
      </c>
      <c r="F211" t="s">
        <v>67</v>
      </c>
      <c r="G211" t="s">
        <v>70</v>
      </c>
      <c r="H211" t="s">
        <v>77</v>
      </c>
      <c r="I211" t="s">
        <v>62</v>
      </c>
      <c r="J211" t="s">
        <v>32</v>
      </c>
      <c r="K211">
        <v>32</v>
      </c>
      <c r="L211" t="s">
        <v>33</v>
      </c>
      <c r="M211" t="s">
        <v>58</v>
      </c>
      <c r="N211" t="s">
        <v>35</v>
      </c>
      <c r="O211">
        <v>480000</v>
      </c>
      <c r="P211">
        <v>40000</v>
      </c>
      <c r="Q211">
        <v>66</v>
      </c>
      <c r="R211" t="s">
        <v>103</v>
      </c>
      <c r="S211">
        <v>4.0999999999999996</v>
      </c>
      <c r="T211">
        <v>33</v>
      </c>
      <c r="U211">
        <v>3</v>
      </c>
      <c r="V211">
        <v>2</v>
      </c>
      <c r="W211" t="s">
        <v>37</v>
      </c>
      <c r="X211">
        <v>4.2</v>
      </c>
      <c r="Y211">
        <v>4</v>
      </c>
      <c r="Z211">
        <v>11.6</v>
      </c>
    </row>
    <row r="212" spans="1:26">
      <c r="A212" t="s">
        <v>308</v>
      </c>
      <c r="B212" s="21">
        <v>44658</v>
      </c>
      <c r="C212" s="21"/>
      <c r="D212" t="s">
        <v>27</v>
      </c>
      <c r="E212">
        <v>0</v>
      </c>
      <c r="F212" t="s">
        <v>67</v>
      </c>
      <c r="G212" t="s">
        <v>51</v>
      </c>
      <c r="H212" t="s">
        <v>68</v>
      </c>
      <c r="I212" t="s">
        <v>62</v>
      </c>
      <c r="J212" t="s">
        <v>32</v>
      </c>
      <c r="K212">
        <v>45</v>
      </c>
      <c r="L212" t="s">
        <v>82</v>
      </c>
      <c r="M212" t="s">
        <v>34</v>
      </c>
      <c r="N212" t="s">
        <v>35</v>
      </c>
      <c r="O212">
        <v>819000</v>
      </c>
      <c r="P212">
        <v>68250</v>
      </c>
      <c r="Q212">
        <v>44</v>
      </c>
      <c r="R212" t="s">
        <v>55</v>
      </c>
      <c r="S212">
        <v>3.8</v>
      </c>
      <c r="T212">
        <v>75</v>
      </c>
      <c r="U212">
        <v>25</v>
      </c>
      <c r="V212">
        <v>2</v>
      </c>
      <c r="W212" t="s">
        <v>37</v>
      </c>
      <c r="X212">
        <v>4.0999999999999996</v>
      </c>
      <c r="Y212">
        <v>5</v>
      </c>
      <c r="Z212">
        <v>1.8</v>
      </c>
    </row>
    <row r="213" spans="1:26">
      <c r="A213" t="s">
        <v>309</v>
      </c>
      <c r="B213" s="21">
        <v>43426</v>
      </c>
      <c r="C213" s="21"/>
      <c r="D213" t="s">
        <v>27</v>
      </c>
      <c r="E213">
        <v>0</v>
      </c>
      <c r="F213" t="s">
        <v>60</v>
      </c>
      <c r="G213" t="s">
        <v>51</v>
      </c>
      <c r="H213" t="s">
        <v>109</v>
      </c>
      <c r="I213" t="s">
        <v>41</v>
      </c>
      <c r="J213" t="s">
        <v>54</v>
      </c>
      <c r="K213">
        <v>49</v>
      </c>
      <c r="L213" t="s">
        <v>42</v>
      </c>
      <c r="M213" t="s">
        <v>34</v>
      </c>
      <c r="N213" t="s">
        <v>35</v>
      </c>
      <c r="O213">
        <v>814000</v>
      </c>
      <c r="P213">
        <v>67833.33</v>
      </c>
      <c r="Q213">
        <v>85</v>
      </c>
      <c r="R213" t="s">
        <v>36</v>
      </c>
      <c r="S213">
        <v>4</v>
      </c>
      <c r="T213">
        <v>22</v>
      </c>
      <c r="U213">
        <v>24</v>
      </c>
      <c r="V213">
        <v>4</v>
      </c>
      <c r="W213" t="s">
        <v>44</v>
      </c>
      <c r="X213">
        <v>4.5</v>
      </c>
      <c r="Y213">
        <v>0</v>
      </c>
      <c r="Z213">
        <v>7</v>
      </c>
    </row>
    <row r="214" spans="1:26">
      <c r="A214" t="s">
        <v>310</v>
      </c>
      <c r="B214" s="21">
        <v>44719</v>
      </c>
      <c r="C214" s="21"/>
      <c r="D214" t="s">
        <v>27</v>
      </c>
      <c r="E214">
        <v>0</v>
      </c>
      <c r="F214" t="s">
        <v>73</v>
      </c>
      <c r="G214" t="s">
        <v>70</v>
      </c>
      <c r="H214" t="s">
        <v>126</v>
      </c>
      <c r="I214" t="s">
        <v>62</v>
      </c>
      <c r="J214" t="s">
        <v>32</v>
      </c>
      <c r="K214">
        <v>34</v>
      </c>
      <c r="L214" t="s">
        <v>33</v>
      </c>
      <c r="M214" t="s">
        <v>65</v>
      </c>
      <c r="N214" t="s">
        <v>93</v>
      </c>
      <c r="O214">
        <v>595000</v>
      </c>
      <c r="P214">
        <v>49583.33</v>
      </c>
      <c r="Q214">
        <v>42</v>
      </c>
      <c r="R214" t="s">
        <v>36</v>
      </c>
      <c r="S214">
        <v>5</v>
      </c>
      <c r="T214">
        <v>63</v>
      </c>
      <c r="U214">
        <v>4</v>
      </c>
      <c r="V214">
        <v>0</v>
      </c>
      <c r="W214" t="s">
        <v>37</v>
      </c>
      <c r="X214">
        <v>3.6</v>
      </c>
      <c r="Y214">
        <v>1</v>
      </c>
      <c r="Z214">
        <v>1</v>
      </c>
    </row>
    <row r="215" spans="1:26">
      <c r="A215" t="s">
        <v>311</v>
      </c>
      <c r="B215" s="21">
        <v>44587</v>
      </c>
      <c r="C215" s="21"/>
      <c r="D215" t="s">
        <v>27</v>
      </c>
      <c r="E215">
        <v>0</v>
      </c>
      <c r="F215" t="s">
        <v>28</v>
      </c>
      <c r="G215" t="s">
        <v>88</v>
      </c>
      <c r="H215" t="s">
        <v>121</v>
      </c>
      <c r="I215" t="s">
        <v>53</v>
      </c>
      <c r="J215" t="s">
        <v>54</v>
      </c>
      <c r="K215">
        <v>56</v>
      </c>
      <c r="L215" t="s">
        <v>33</v>
      </c>
      <c r="M215" t="s">
        <v>65</v>
      </c>
      <c r="N215" t="s">
        <v>35</v>
      </c>
      <c r="O215">
        <v>1384000</v>
      </c>
      <c r="P215">
        <v>115333.33</v>
      </c>
      <c r="Q215">
        <v>47</v>
      </c>
      <c r="R215" t="s">
        <v>55</v>
      </c>
      <c r="S215">
        <v>3.1</v>
      </c>
      <c r="T215">
        <v>61</v>
      </c>
      <c r="U215">
        <v>7</v>
      </c>
      <c r="V215">
        <v>7</v>
      </c>
      <c r="W215" t="s">
        <v>37</v>
      </c>
      <c r="X215">
        <v>3.2</v>
      </c>
      <c r="Y215">
        <v>1</v>
      </c>
      <c r="Z215">
        <v>6.8</v>
      </c>
    </row>
    <row r="216" spans="1:26">
      <c r="A216" t="s">
        <v>312</v>
      </c>
      <c r="B216" s="21">
        <v>43792</v>
      </c>
      <c r="C216" s="21"/>
      <c r="D216" t="s">
        <v>27</v>
      </c>
      <c r="E216">
        <v>0</v>
      </c>
      <c r="F216" t="s">
        <v>50</v>
      </c>
      <c r="G216" t="s">
        <v>29</v>
      </c>
      <c r="H216" t="s">
        <v>89</v>
      </c>
      <c r="I216" t="s">
        <v>48</v>
      </c>
      <c r="J216" t="s">
        <v>32</v>
      </c>
      <c r="K216">
        <v>25</v>
      </c>
      <c r="L216" t="s">
        <v>33</v>
      </c>
      <c r="M216" t="s">
        <v>34</v>
      </c>
      <c r="N216" t="s">
        <v>35</v>
      </c>
      <c r="O216">
        <v>273000</v>
      </c>
      <c r="P216">
        <v>22750</v>
      </c>
      <c r="Q216">
        <v>73</v>
      </c>
      <c r="R216" t="s">
        <v>36</v>
      </c>
      <c r="S216">
        <v>4.3</v>
      </c>
      <c r="T216">
        <v>78</v>
      </c>
      <c r="U216">
        <v>21</v>
      </c>
      <c r="V216">
        <v>14</v>
      </c>
      <c r="W216" t="s">
        <v>37</v>
      </c>
      <c r="X216">
        <v>3.7</v>
      </c>
      <c r="Y216">
        <v>1</v>
      </c>
      <c r="Z216">
        <v>8.1</v>
      </c>
    </row>
    <row r="217" spans="1:26">
      <c r="A217" t="s">
        <v>313</v>
      </c>
      <c r="B217" s="21">
        <v>44106</v>
      </c>
      <c r="C217" s="21"/>
      <c r="D217" t="s">
        <v>27</v>
      </c>
      <c r="E217">
        <v>0</v>
      </c>
      <c r="F217" t="s">
        <v>73</v>
      </c>
      <c r="G217" t="s">
        <v>70</v>
      </c>
      <c r="H217" t="s">
        <v>74</v>
      </c>
      <c r="I217" t="s">
        <v>48</v>
      </c>
      <c r="J217" t="s">
        <v>54</v>
      </c>
      <c r="K217">
        <v>39</v>
      </c>
      <c r="L217" t="s">
        <v>33</v>
      </c>
      <c r="M217" t="s">
        <v>65</v>
      </c>
      <c r="N217" t="s">
        <v>93</v>
      </c>
      <c r="O217">
        <v>609000</v>
      </c>
      <c r="P217">
        <v>50750</v>
      </c>
      <c r="Q217">
        <v>62</v>
      </c>
      <c r="R217" t="s">
        <v>36</v>
      </c>
      <c r="S217">
        <v>4.7</v>
      </c>
      <c r="T217">
        <v>19</v>
      </c>
      <c r="U217">
        <v>1</v>
      </c>
      <c r="V217">
        <v>10</v>
      </c>
      <c r="W217" t="s">
        <v>37</v>
      </c>
      <c r="X217">
        <v>4.3</v>
      </c>
      <c r="Y217">
        <v>1</v>
      </c>
      <c r="Z217">
        <v>14.8</v>
      </c>
    </row>
    <row r="218" spans="1:26">
      <c r="A218" t="s">
        <v>314</v>
      </c>
      <c r="B218" s="21">
        <v>44096</v>
      </c>
      <c r="C218" s="21">
        <v>44388</v>
      </c>
      <c r="D218" t="s">
        <v>57</v>
      </c>
      <c r="E218">
        <v>1</v>
      </c>
      <c r="F218" t="s">
        <v>73</v>
      </c>
      <c r="G218" t="s">
        <v>29</v>
      </c>
      <c r="H218" t="s">
        <v>118</v>
      </c>
      <c r="I218" t="s">
        <v>62</v>
      </c>
      <c r="J218" t="s">
        <v>32</v>
      </c>
      <c r="K218">
        <v>20</v>
      </c>
      <c r="L218" t="s">
        <v>33</v>
      </c>
      <c r="M218" t="s">
        <v>43</v>
      </c>
      <c r="N218" t="s">
        <v>35</v>
      </c>
      <c r="O218">
        <v>327000</v>
      </c>
      <c r="P218">
        <v>27250</v>
      </c>
      <c r="Q218">
        <v>10</v>
      </c>
      <c r="R218" t="s">
        <v>55</v>
      </c>
      <c r="S218">
        <v>3.5</v>
      </c>
      <c r="T218">
        <v>42</v>
      </c>
      <c r="U218">
        <v>17</v>
      </c>
      <c r="V218">
        <v>1</v>
      </c>
      <c r="W218" t="s">
        <v>37</v>
      </c>
      <c r="X218">
        <v>3.4</v>
      </c>
      <c r="Y218">
        <v>4</v>
      </c>
      <c r="Z218">
        <v>16.3</v>
      </c>
    </row>
    <row r="219" spans="1:26">
      <c r="A219" t="s">
        <v>315</v>
      </c>
      <c r="B219" s="21">
        <v>44653</v>
      </c>
      <c r="C219" s="21"/>
      <c r="D219" t="s">
        <v>27</v>
      </c>
      <c r="E219">
        <v>0</v>
      </c>
      <c r="F219" t="s">
        <v>46</v>
      </c>
      <c r="G219" t="s">
        <v>70</v>
      </c>
      <c r="H219" t="s">
        <v>92</v>
      </c>
      <c r="I219" t="s">
        <v>75</v>
      </c>
      <c r="J219" t="s">
        <v>54</v>
      </c>
      <c r="K219">
        <v>41</v>
      </c>
      <c r="L219" t="s">
        <v>33</v>
      </c>
      <c r="M219" t="s">
        <v>40</v>
      </c>
      <c r="N219" t="s">
        <v>35</v>
      </c>
      <c r="O219">
        <v>678000</v>
      </c>
      <c r="P219">
        <v>56500</v>
      </c>
      <c r="Q219">
        <v>44</v>
      </c>
      <c r="R219" t="s">
        <v>116</v>
      </c>
      <c r="S219">
        <v>3.2</v>
      </c>
      <c r="T219">
        <v>10</v>
      </c>
      <c r="U219">
        <v>16</v>
      </c>
      <c r="V219">
        <v>5</v>
      </c>
      <c r="W219" t="s">
        <v>37</v>
      </c>
      <c r="X219">
        <v>4</v>
      </c>
      <c r="Y219">
        <v>5</v>
      </c>
      <c r="Z219">
        <v>16.5</v>
      </c>
    </row>
    <row r="220" spans="1:26">
      <c r="A220" t="s">
        <v>316</v>
      </c>
      <c r="B220" s="21">
        <v>44957</v>
      </c>
      <c r="C220" s="21"/>
      <c r="D220" t="s">
        <v>27</v>
      </c>
      <c r="E220">
        <v>0</v>
      </c>
      <c r="F220" t="s">
        <v>73</v>
      </c>
      <c r="G220" t="s">
        <v>70</v>
      </c>
      <c r="H220" t="s">
        <v>126</v>
      </c>
      <c r="I220" t="s">
        <v>31</v>
      </c>
      <c r="J220" t="s">
        <v>54</v>
      </c>
      <c r="K220">
        <v>50</v>
      </c>
      <c r="L220" t="s">
        <v>33</v>
      </c>
      <c r="M220" t="s">
        <v>43</v>
      </c>
      <c r="N220" t="s">
        <v>35</v>
      </c>
      <c r="O220">
        <v>590000</v>
      </c>
      <c r="P220">
        <v>49166.67</v>
      </c>
      <c r="Q220">
        <v>35</v>
      </c>
      <c r="R220" t="s">
        <v>36</v>
      </c>
      <c r="S220">
        <v>3.1</v>
      </c>
      <c r="T220">
        <v>56</v>
      </c>
      <c r="U220">
        <v>0</v>
      </c>
      <c r="V220">
        <v>0</v>
      </c>
      <c r="W220" t="s">
        <v>37</v>
      </c>
      <c r="X220">
        <v>2.4</v>
      </c>
      <c r="Y220">
        <v>0</v>
      </c>
      <c r="Z220">
        <v>16.399999999999999</v>
      </c>
    </row>
    <row r="221" spans="1:26">
      <c r="A221" t="s">
        <v>317</v>
      </c>
      <c r="B221" s="21">
        <v>45433</v>
      </c>
      <c r="C221" s="21"/>
      <c r="D221" t="s">
        <v>27</v>
      </c>
      <c r="E221">
        <v>0</v>
      </c>
      <c r="F221" t="s">
        <v>39</v>
      </c>
      <c r="G221" t="s">
        <v>91</v>
      </c>
      <c r="H221" t="s">
        <v>40</v>
      </c>
      <c r="I221" t="s">
        <v>41</v>
      </c>
      <c r="J221" t="s">
        <v>54</v>
      </c>
      <c r="K221">
        <v>30</v>
      </c>
      <c r="L221" t="s">
        <v>96</v>
      </c>
      <c r="M221" t="s">
        <v>34</v>
      </c>
      <c r="N221" t="s">
        <v>35</v>
      </c>
      <c r="O221">
        <v>1183000</v>
      </c>
      <c r="P221">
        <v>98583.33</v>
      </c>
      <c r="Q221">
        <v>19</v>
      </c>
      <c r="R221" t="s">
        <v>55</v>
      </c>
      <c r="S221">
        <v>2.4</v>
      </c>
      <c r="T221">
        <v>50</v>
      </c>
      <c r="U221">
        <v>7</v>
      </c>
      <c r="V221">
        <v>6</v>
      </c>
      <c r="W221" t="s">
        <v>44</v>
      </c>
      <c r="X221">
        <v>2.8</v>
      </c>
      <c r="Y221">
        <v>5</v>
      </c>
      <c r="Z221">
        <v>1</v>
      </c>
    </row>
    <row r="222" spans="1:26">
      <c r="A222" t="s">
        <v>318</v>
      </c>
      <c r="B222" s="21">
        <v>42795</v>
      </c>
      <c r="C222" s="21"/>
      <c r="D222" t="s">
        <v>27</v>
      </c>
      <c r="E222">
        <v>0</v>
      </c>
      <c r="F222" t="s">
        <v>28</v>
      </c>
      <c r="G222" t="s">
        <v>105</v>
      </c>
      <c r="H222" t="s">
        <v>30</v>
      </c>
      <c r="I222" t="s">
        <v>31</v>
      </c>
      <c r="J222" t="s">
        <v>54</v>
      </c>
      <c r="K222">
        <v>48</v>
      </c>
      <c r="L222" t="s">
        <v>42</v>
      </c>
      <c r="M222" t="s">
        <v>40</v>
      </c>
      <c r="N222" t="s">
        <v>35</v>
      </c>
      <c r="O222">
        <v>1743000</v>
      </c>
      <c r="P222">
        <v>145250</v>
      </c>
      <c r="Q222">
        <v>105</v>
      </c>
      <c r="R222" t="s">
        <v>36</v>
      </c>
      <c r="S222">
        <v>4</v>
      </c>
      <c r="T222">
        <v>69</v>
      </c>
      <c r="U222">
        <v>2</v>
      </c>
      <c r="V222">
        <v>0</v>
      </c>
      <c r="W222" t="s">
        <v>37</v>
      </c>
      <c r="X222">
        <v>3.5</v>
      </c>
      <c r="Y222">
        <v>1</v>
      </c>
      <c r="Z222">
        <v>17.2</v>
      </c>
    </row>
    <row r="223" spans="1:26">
      <c r="A223" t="s">
        <v>319</v>
      </c>
      <c r="B223" s="21">
        <v>42923</v>
      </c>
      <c r="C223" s="21"/>
      <c r="D223" t="s">
        <v>27</v>
      </c>
      <c r="E223">
        <v>0</v>
      </c>
      <c r="F223" t="s">
        <v>50</v>
      </c>
      <c r="G223" t="s">
        <v>51</v>
      </c>
      <c r="H223" t="s">
        <v>89</v>
      </c>
      <c r="I223" t="s">
        <v>48</v>
      </c>
      <c r="J223" t="s">
        <v>54</v>
      </c>
      <c r="K223">
        <v>50</v>
      </c>
      <c r="L223" t="s">
        <v>33</v>
      </c>
      <c r="M223" t="s">
        <v>34</v>
      </c>
      <c r="N223" t="s">
        <v>35</v>
      </c>
      <c r="O223">
        <v>1021000</v>
      </c>
      <c r="P223">
        <v>85083.33</v>
      </c>
      <c r="Q223">
        <v>101</v>
      </c>
      <c r="R223" t="s">
        <v>55</v>
      </c>
      <c r="S223">
        <v>3.3</v>
      </c>
      <c r="T223">
        <v>19</v>
      </c>
      <c r="U223">
        <v>16</v>
      </c>
      <c r="V223">
        <v>9</v>
      </c>
      <c r="W223" t="s">
        <v>37</v>
      </c>
      <c r="X223">
        <v>2.9</v>
      </c>
      <c r="Y223">
        <v>5</v>
      </c>
      <c r="Z223">
        <v>6.1</v>
      </c>
    </row>
    <row r="224" spans="1:26">
      <c r="A224" t="s">
        <v>320</v>
      </c>
      <c r="B224" s="21">
        <v>45709</v>
      </c>
      <c r="C224" s="21"/>
      <c r="D224" t="s">
        <v>27</v>
      </c>
      <c r="E224">
        <v>0</v>
      </c>
      <c r="F224" t="s">
        <v>73</v>
      </c>
      <c r="G224" t="s">
        <v>29</v>
      </c>
      <c r="H224" t="s">
        <v>118</v>
      </c>
      <c r="I224" t="s">
        <v>48</v>
      </c>
      <c r="J224" t="s">
        <v>54</v>
      </c>
      <c r="K224">
        <v>34</v>
      </c>
      <c r="L224" t="s">
        <v>33</v>
      </c>
      <c r="M224" t="s">
        <v>43</v>
      </c>
      <c r="N224" t="s">
        <v>35</v>
      </c>
      <c r="O224">
        <v>417000</v>
      </c>
      <c r="P224">
        <v>34750</v>
      </c>
      <c r="Q224">
        <v>10</v>
      </c>
      <c r="R224" t="s">
        <v>36</v>
      </c>
      <c r="S224">
        <v>3.1</v>
      </c>
      <c r="T224">
        <v>20</v>
      </c>
      <c r="U224">
        <v>9</v>
      </c>
      <c r="V224">
        <v>9</v>
      </c>
      <c r="W224" t="s">
        <v>37</v>
      </c>
      <c r="X224">
        <v>3.7</v>
      </c>
      <c r="Y224">
        <v>3</v>
      </c>
      <c r="Z224">
        <v>3.9</v>
      </c>
    </row>
    <row r="225" spans="1:26">
      <c r="A225" t="s">
        <v>321</v>
      </c>
      <c r="B225" s="21">
        <v>45763</v>
      </c>
      <c r="C225" s="21"/>
      <c r="D225" t="s">
        <v>27</v>
      </c>
      <c r="E225">
        <v>0</v>
      </c>
      <c r="F225" t="s">
        <v>98</v>
      </c>
      <c r="G225" t="s">
        <v>51</v>
      </c>
      <c r="H225" t="s">
        <v>106</v>
      </c>
      <c r="I225" t="s">
        <v>53</v>
      </c>
      <c r="J225" t="s">
        <v>54</v>
      </c>
      <c r="K225">
        <v>36</v>
      </c>
      <c r="L225" t="s">
        <v>130</v>
      </c>
      <c r="M225" t="s">
        <v>65</v>
      </c>
      <c r="N225" t="s">
        <v>35</v>
      </c>
      <c r="O225">
        <v>800000</v>
      </c>
      <c r="P225">
        <v>66666.67</v>
      </c>
      <c r="Q225">
        <v>8</v>
      </c>
      <c r="R225" t="s">
        <v>55</v>
      </c>
      <c r="S225">
        <v>3.9</v>
      </c>
      <c r="T225">
        <v>58</v>
      </c>
      <c r="U225">
        <v>6</v>
      </c>
      <c r="V225">
        <v>6</v>
      </c>
      <c r="W225" t="s">
        <v>37</v>
      </c>
      <c r="X225">
        <v>4.0999999999999996</v>
      </c>
      <c r="Y225">
        <v>2</v>
      </c>
      <c r="Z225">
        <v>1</v>
      </c>
    </row>
    <row r="226" spans="1:26">
      <c r="A226" t="s">
        <v>322</v>
      </c>
      <c r="B226" s="21">
        <v>44920</v>
      </c>
      <c r="C226" s="21"/>
      <c r="D226" t="s">
        <v>27</v>
      </c>
      <c r="E226">
        <v>0</v>
      </c>
      <c r="F226" t="s">
        <v>28</v>
      </c>
      <c r="G226" t="s">
        <v>70</v>
      </c>
      <c r="H226" t="s">
        <v>30</v>
      </c>
      <c r="I226" t="s">
        <v>41</v>
      </c>
      <c r="J226" t="s">
        <v>32</v>
      </c>
      <c r="K226">
        <v>30</v>
      </c>
      <c r="L226" t="s">
        <v>33</v>
      </c>
      <c r="M226" t="s">
        <v>34</v>
      </c>
      <c r="N226" t="s">
        <v>35</v>
      </c>
      <c r="O226">
        <v>441000</v>
      </c>
      <c r="P226">
        <v>36750</v>
      </c>
      <c r="Q226">
        <v>36</v>
      </c>
      <c r="R226" t="s">
        <v>116</v>
      </c>
      <c r="S226">
        <v>3.5</v>
      </c>
      <c r="T226">
        <v>47</v>
      </c>
      <c r="U226">
        <v>24</v>
      </c>
      <c r="V226">
        <v>13</v>
      </c>
      <c r="W226" t="s">
        <v>44</v>
      </c>
      <c r="X226">
        <v>3.6</v>
      </c>
      <c r="Y226">
        <v>3</v>
      </c>
      <c r="Z226">
        <v>12</v>
      </c>
    </row>
    <row r="227" spans="1:26">
      <c r="A227" t="s">
        <v>323</v>
      </c>
      <c r="B227" s="21">
        <v>43722</v>
      </c>
      <c r="C227" s="21"/>
      <c r="D227" t="s">
        <v>27</v>
      </c>
      <c r="E227">
        <v>0</v>
      </c>
      <c r="F227" t="s">
        <v>73</v>
      </c>
      <c r="G227" t="s">
        <v>88</v>
      </c>
      <c r="H227" t="s">
        <v>118</v>
      </c>
      <c r="I227" t="s">
        <v>31</v>
      </c>
      <c r="J227" t="s">
        <v>54</v>
      </c>
      <c r="K227">
        <v>53</v>
      </c>
      <c r="L227" t="s">
        <v>42</v>
      </c>
      <c r="M227" t="s">
        <v>34</v>
      </c>
      <c r="N227" t="s">
        <v>35</v>
      </c>
      <c r="O227">
        <v>1325000</v>
      </c>
      <c r="P227">
        <v>110416.67</v>
      </c>
      <c r="Q227">
        <v>75</v>
      </c>
      <c r="R227" t="s">
        <v>36</v>
      </c>
      <c r="S227">
        <v>4.0999999999999996</v>
      </c>
      <c r="T227">
        <v>4</v>
      </c>
      <c r="U227">
        <v>15</v>
      </c>
      <c r="V227">
        <v>7</v>
      </c>
      <c r="W227" t="s">
        <v>37</v>
      </c>
      <c r="X227">
        <v>4.3</v>
      </c>
      <c r="Y227">
        <v>2</v>
      </c>
      <c r="Z227">
        <v>20.6</v>
      </c>
    </row>
    <row r="228" spans="1:26">
      <c r="A228" t="s">
        <v>324</v>
      </c>
      <c r="B228" s="21">
        <v>42754</v>
      </c>
      <c r="C228" s="21"/>
      <c r="D228" t="s">
        <v>27</v>
      </c>
      <c r="E228">
        <v>0</v>
      </c>
      <c r="F228" t="s">
        <v>46</v>
      </c>
      <c r="G228" t="s">
        <v>88</v>
      </c>
      <c r="H228" t="s">
        <v>92</v>
      </c>
      <c r="I228" t="s">
        <v>62</v>
      </c>
      <c r="J228" t="s">
        <v>54</v>
      </c>
      <c r="K228">
        <v>23</v>
      </c>
      <c r="L228" t="s">
        <v>130</v>
      </c>
      <c r="M228" t="s">
        <v>43</v>
      </c>
      <c r="N228" t="s">
        <v>93</v>
      </c>
      <c r="O228">
        <v>857000</v>
      </c>
      <c r="P228">
        <v>71416.67</v>
      </c>
      <c r="Q228">
        <v>107</v>
      </c>
      <c r="R228" t="s">
        <v>36</v>
      </c>
      <c r="S228">
        <v>3.2</v>
      </c>
      <c r="T228">
        <v>30</v>
      </c>
      <c r="U228">
        <v>0</v>
      </c>
      <c r="V228">
        <v>6</v>
      </c>
      <c r="W228" t="s">
        <v>37</v>
      </c>
      <c r="X228">
        <v>3.6</v>
      </c>
      <c r="Y228">
        <v>4</v>
      </c>
      <c r="Z228">
        <v>7.7</v>
      </c>
    </row>
    <row r="229" spans="1:26">
      <c r="A229" t="s">
        <v>325</v>
      </c>
      <c r="B229" s="21">
        <v>43055</v>
      </c>
      <c r="C229" s="21"/>
      <c r="D229" t="s">
        <v>27</v>
      </c>
      <c r="E229">
        <v>0</v>
      </c>
      <c r="F229" t="s">
        <v>28</v>
      </c>
      <c r="G229" t="s">
        <v>70</v>
      </c>
      <c r="H229" t="s">
        <v>30</v>
      </c>
      <c r="I229" t="s">
        <v>53</v>
      </c>
      <c r="J229" t="s">
        <v>54</v>
      </c>
      <c r="K229">
        <v>39</v>
      </c>
      <c r="L229" t="s">
        <v>33</v>
      </c>
      <c r="M229" t="s">
        <v>58</v>
      </c>
      <c r="N229" t="s">
        <v>93</v>
      </c>
      <c r="O229">
        <v>479000</v>
      </c>
      <c r="P229">
        <v>39916.67</v>
      </c>
      <c r="Q229">
        <v>97</v>
      </c>
      <c r="R229" t="s">
        <v>36</v>
      </c>
      <c r="S229">
        <v>2.5</v>
      </c>
      <c r="T229">
        <v>80</v>
      </c>
      <c r="U229">
        <v>7</v>
      </c>
      <c r="V229">
        <v>6</v>
      </c>
      <c r="W229" t="s">
        <v>37</v>
      </c>
      <c r="X229">
        <v>3.3</v>
      </c>
      <c r="Y229">
        <v>1</v>
      </c>
      <c r="Z229">
        <v>1</v>
      </c>
    </row>
    <row r="230" spans="1:26">
      <c r="A230" t="s">
        <v>326</v>
      </c>
      <c r="B230" s="21">
        <v>43000</v>
      </c>
      <c r="C230" s="21"/>
      <c r="D230" t="s">
        <v>27</v>
      </c>
      <c r="E230">
        <v>0</v>
      </c>
      <c r="F230" t="s">
        <v>67</v>
      </c>
      <c r="G230" t="s">
        <v>70</v>
      </c>
      <c r="H230" t="s">
        <v>68</v>
      </c>
      <c r="I230" t="s">
        <v>75</v>
      </c>
      <c r="J230" t="s">
        <v>32</v>
      </c>
      <c r="K230">
        <v>33</v>
      </c>
      <c r="L230" t="s">
        <v>33</v>
      </c>
      <c r="M230" t="s">
        <v>65</v>
      </c>
      <c r="N230" t="s">
        <v>35</v>
      </c>
      <c r="O230">
        <v>420000</v>
      </c>
      <c r="P230">
        <v>35000</v>
      </c>
      <c r="Q230">
        <v>99</v>
      </c>
      <c r="R230" t="s">
        <v>55</v>
      </c>
      <c r="S230">
        <v>2.1</v>
      </c>
      <c r="T230">
        <v>71</v>
      </c>
      <c r="U230">
        <v>16</v>
      </c>
      <c r="V230">
        <v>7</v>
      </c>
      <c r="W230" t="s">
        <v>37</v>
      </c>
      <c r="X230">
        <v>3.8</v>
      </c>
      <c r="Y230">
        <v>3</v>
      </c>
      <c r="Z230">
        <v>1</v>
      </c>
    </row>
    <row r="231" spans="1:26">
      <c r="A231" t="s">
        <v>327</v>
      </c>
      <c r="B231" s="21">
        <v>43147</v>
      </c>
      <c r="C231" s="21"/>
      <c r="D231" t="s">
        <v>27</v>
      </c>
      <c r="E231">
        <v>0</v>
      </c>
      <c r="F231" t="s">
        <v>73</v>
      </c>
      <c r="G231" t="s">
        <v>88</v>
      </c>
      <c r="H231" t="s">
        <v>126</v>
      </c>
      <c r="I231" t="s">
        <v>48</v>
      </c>
      <c r="J231" t="s">
        <v>54</v>
      </c>
      <c r="K231">
        <v>34</v>
      </c>
      <c r="L231" t="s">
        <v>130</v>
      </c>
      <c r="M231" t="s">
        <v>43</v>
      </c>
      <c r="N231" t="s">
        <v>35</v>
      </c>
      <c r="O231">
        <v>958000</v>
      </c>
      <c r="P231">
        <v>79833.33</v>
      </c>
      <c r="Q231">
        <v>94</v>
      </c>
      <c r="R231" t="s">
        <v>36</v>
      </c>
      <c r="S231">
        <v>3.1</v>
      </c>
      <c r="T231">
        <v>23</v>
      </c>
      <c r="U231">
        <v>7</v>
      </c>
      <c r="V231">
        <v>9</v>
      </c>
      <c r="W231" t="s">
        <v>37</v>
      </c>
      <c r="X231">
        <v>4</v>
      </c>
      <c r="Y231">
        <v>4</v>
      </c>
      <c r="Z231">
        <v>6.3</v>
      </c>
    </row>
    <row r="232" spans="1:26">
      <c r="A232" t="s">
        <v>328</v>
      </c>
      <c r="B232" s="21">
        <v>43861</v>
      </c>
      <c r="C232" s="21"/>
      <c r="D232" t="s">
        <v>27</v>
      </c>
      <c r="E232">
        <v>0</v>
      </c>
      <c r="F232" t="s">
        <v>60</v>
      </c>
      <c r="G232" t="s">
        <v>51</v>
      </c>
      <c r="H232" t="s">
        <v>109</v>
      </c>
      <c r="I232" t="s">
        <v>31</v>
      </c>
      <c r="J232" t="s">
        <v>54</v>
      </c>
      <c r="K232">
        <v>40</v>
      </c>
      <c r="L232" t="s">
        <v>33</v>
      </c>
      <c r="M232" t="s">
        <v>43</v>
      </c>
      <c r="N232" t="s">
        <v>35</v>
      </c>
      <c r="O232">
        <v>753000</v>
      </c>
      <c r="P232">
        <v>62750</v>
      </c>
      <c r="Q232">
        <v>71</v>
      </c>
      <c r="R232" t="s">
        <v>36</v>
      </c>
      <c r="S232">
        <v>2.9</v>
      </c>
      <c r="T232">
        <v>16</v>
      </c>
      <c r="U232">
        <v>9</v>
      </c>
      <c r="V232">
        <v>0</v>
      </c>
      <c r="W232" t="s">
        <v>37</v>
      </c>
      <c r="X232">
        <v>2.9</v>
      </c>
      <c r="Y232">
        <v>4</v>
      </c>
      <c r="Z232">
        <v>7.9</v>
      </c>
    </row>
    <row r="233" spans="1:26">
      <c r="A233" t="s">
        <v>329</v>
      </c>
      <c r="B233" s="21">
        <v>42808</v>
      </c>
      <c r="C233" s="21"/>
      <c r="D233" t="s">
        <v>27</v>
      </c>
      <c r="E233">
        <v>0</v>
      </c>
      <c r="F233" t="s">
        <v>67</v>
      </c>
      <c r="G233" t="s">
        <v>29</v>
      </c>
      <c r="H233" t="s">
        <v>80</v>
      </c>
      <c r="I233" t="s">
        <v>62</v>
      </c>
      <c r="J233" t="s">
        <v>32</v>
      </c>
      <c r="K233">
        <v>30</v>
      </c>
      <c r="L233" t="s">
        <v>42</v>
      </c>
      <c r="M233" t="s">
        <v>40</v>
      </c>
      <c r="N233" t="s">
        <v>35</v>
      </c>
      <c r="O233">
        <v>406000</v>
      </c>
      <c r="P233">
        <v>33833.33</v>
      </c>
      <c r="Q233">
        <v>105</v>
      </c>
      <c r="R233" t="s">
        <v>36</v>
      </c>
      <c r="S233">
        <v>3.5</v>
      </c>
      <c r="T233">
        <v>7</v>
      </c>
      <c r="U233">
        <v>0</v>
      </c>
      <c r="V233">
        <v>1</v>
      </c>
      <c r="W233" t="s">
        <v>37</v>
      </c>
      <c r="X233">
        <v>3.5</v>
      </c>
      <c r="Y233">
        <v>2</v>
      </c>
      <c r="Z233">
        <v>4.5999999999999996</v>
      </c>
    </row>
    <row r="234" spans="1:26">
      <c r="A234" t="s">
        <v>330</v>
      </c>
      <c r="B234" s="21">
        <v>46017</v>
      </c>
      <c r="C234" s="21"/>
      <c r="D234" t="s">
        <v>27</v>
      </c>
      <c r="E234">
        <v>0</v>
      </c>
      <c r="F234" t="s">
        <v>73</v>
      </c>
      <c r="G234" t="s">
        <v>88</v>
      </c>
      <c r="H234" t="s">
        <v>74</v>
      </c>
      <c r="I234" t="s">
        <v>48</v>
      </c>
      <c r="J234" t="s">
        <v>54</v>
      </c>
      <c r="K234">
        <v>37</v>
      </c>
      <c r="L234" t="s">
        <v>33</v>
      </c>
      <c r="M234" t="s">
        <v>43</v>
      </c>
      <c r="N234" t="s">
        <v>35</v>
      </c>
      <c r="O234">
        <v>897000</v>
      </c>
      <c r="P234">
        <v>74750</v>
      </c>
      <c r="Q234">
        <v>1</v>
      </c>
      <c r="R234" t="s">
        <v>103</v>
      </c>
      <c r="S234">
        <v>3.9</v>
      </c>
      <c r="T234">
        <v>22</v>
      </c>
      <c r="U234">
        <v>8</v>
      </c>
      <c r="V234">
        <v>0</v>
      </c>
      <c r="W234" t="s">
        <v>44</v>
      </c>
      <c r="X234">
        <v>4.2</v>
      </c>
      <c r="Y234">
        <v>1</v>
      </c>
      <c r="Z234">
        <v>11.2</v>
      </c>
    </row>
    <row r="235" spans="1:26">
      <c r="A235" t="s">
        <v>331</v>
      </c>
      <c r="B235" s="21">
        <v>45426</v>
      </c>
      <c r="C235" s="21"/>
      <c r="D235" t="s">
        <v>27</v>
      </c>
      <c r="E235">
        <v>0</v>
      </c>
      <c r="F235" t="s">
        <v>28</v>
      </c>
      <c r="G235" t="s">
        <v>51</v>
      </c>
      <c r="H235" t="s">
        <v>64</v>
      </c>
      <c r="I235" t="s">
        <v>48</v>
      </c>
      <c r="J235" t="s">
        <v>54</v>
      </c>
      <c r="K235">
        <v>47</v>
      </c>
      <c r="L235" t="s">
        <v>33</v>
      </c>
      <c r="M235" t="s">
        <v>34</v>
      </c>
      <c r="N235" t="s">
        <v>93</v>
      </c>
      <c r="O235">
        <v>921000</v>
      </c>
      <c r="P235">
        <v>76750</v>
      </c>
      <c r="Q235">
        <v>19</v>
      </c>
      <c r="R235" t="s">
        <v>55</v>
      </c>
      <c r="S235">
        <v>4.2</v>
      </c>
      <c r="T235">
        <v>41</v>
      </c>
      <c r="U235">
        <v>6</v>
      </c>
      <c r="V235">
        <v>8</v>
      </c>
      <c r="W235" t="s">
        <v>37</v>
      </c>
      <c r="X235">
        <v>3.9</v>
      </c>
      <c r="Y235">
        <v>3</v>
      </c>
      <c r="Z235">
        <v>12.3</v>
      </c>
    </row>
    <row r="236" spans="1:26">
      <c r="A236" t="s">
        <v>332</v>
      </c>
      <c r="B236" s="21">
        <v>44963</v>
      </c>
      <c r="C236" s="21"/>
      <c r="D236" t="s">
        <v>27</v>
      </c>
      <c r="E236">
        <v>0</v>
      </c>
      <c r="F236" t="s">
        <v>60</v>
      </c>
      <c r="G236" t="s">
        <v>51</v>
      </c>
      <c r="H236" t="s">
        <v>61</v>
      </c>
      <c r="I236" t="s">
        <v>41</v>
      </c>
      <c r="J236" t="s">
        <v>134</v>
      </c>
      <c r="K236">
        <v>29</v>
      </c>
      <c r="L236" t="s">
        <v>33</v>
      </c>
      <c r="M236" t="s">
        <v>43</v>
      </c>
      <c r="N236" t="s">
        <v>93</v>
      </c>
      <c r="O236">
        <v>705000</v>
      </c>
      <c r="P236">
        <v>58750</v>
      </c>
      <c r="Q236">
        <v>34</v>
      </c>
      <c r="R236" t="s">
        <v>55</v>
      </c>
      <c r="S236">
        <v>4</v>
      </c>
      <c r="T236">
        <v>38</v>
      </c>
      <c r="U236">
        <v>4</v>
      </c>
      <c r="V236">
        <v>1</v>
      </c>
      <c r="W236" t="s">
        <v>44</v>
      </c>
      <c r="X236">
        <v>4.2</v>
      </c>
      <c r="Y236">
        <v>3</v>
      </c>
      <c r="Z236">
        <v>6.9</v>
      </c>
    </row>
    <row r="237" spans="1:26">
      <c r="A237" t="s">
        <v>333</v>
      </c>
      <c r="B237" s="21">
        <v>43249</v>
      </c>
      <c r="C237" s="21"/>
      <c r="D237" t="s">
        <v>27</v>
      </c>
      <c r="E237">
        <v>0</v>
      </c>
      <c r="F237" t="s">
        <v>67</v>
      </c>
      <c r="G237" t="s">
        <v>105</v>
      </c>
      <c r="H237" t="s">
        <v>95</v>
      </c>
      <c r="I237" t="s">
        <v>62</v>
      </c>
      <c r="J237" t="s">
        <v>54</v>
      </c>
      <c r="K237">
        <v>49</v>
      </c>
      <c r="L237" t="s">
        <v>42</v>
      </c>
      <c r="M237" t="s">
        <v>34</v>
      </c>
      <c r="N237" t="s">
        <v>35</v>
      </c>
      <c r="O237">
        <v>1974000</v>
      </c>
      <c r="P237">
        <v>164500</v>
      </c>
      <c r="Q237">
        <v>91</v>
      </c>
      <c r="R237" t="s">
        <v>36</v>
      </c>
      <c r="S237">
        <v>3.4</v>
      </c>
      <c r="T237">
        <v>38</v>
      </c>
      <c r="U237">
        <v>17</v>
      </c>
      <c r="V237">
        <v>0</v>
      </c>
      <c r="W237" t="s">
        <v>44</v>
      </c>
      <c r="X237">
        <v>2.2000000000000002</v>
      </c>
      <c r="Y237">
        <v>1</v>
      </c>
      <c r="Z237">
        <v>4.3</v>
      </c>
    </row>
    <row r="238" spans="1:26">
      <c r="A238" t="s">
        <v>334</v>
      </c>
      <c r="B238" s="21">
        <v>43260</v>
      </c>
      <c r="C238" s="21"/>
      <c r="D238" t="s">
        <v>27</v>
      </c>
      <c r="E238">
        <v>0</v>
      </c>
      <c r="F238" t="s">
        <v>67</v>
      </c>
      <c r="G238" t="s">
        <v>51</v>
      </c>
      <c r="H238" t="s">
        <v>68</v>
      </c>
      <c r="I238" t="s">
        <v>41</v>
      </c>
      <c r="J238" t="s">
        <v>32</v>
      </c>
      <c r="K238">
        <v>38</v>
      </c>
      <c r="L238" t="s">
        <v>42</v>
      </c>
      <c r="M238" t="s">
        <v>34</v>
      </c>
      <c r="N238" t="s">
        <v>35</v>
      </c>
      <c r="O238">
        <v>661000</v>
      </c>
      <c r="P238">
        <v>55083.33</v>
      </c>
      <c r="Q238">
        <v>90</v>
      </c>
      <c r="R238" t="s">
        <v>55</v>
      </c>
      <c r="S238">
        <v>2.2000000000000002</v>
      </c>
      <c r="T238">
        <v>55</v>
      </c>
      <c r="U238">
        <v>13</v>
      </c>
      <c r="V238">
        <v>2</v>
      </c>
      <c r="W238" t="s">
        <v>37</v>
      </c>
      <c r="X238">
        <v>2.2999999999999998</v>
      </c>
      <c r="Y238">
        <v>4</v>
      </c>
      <c r="Z238">
        <v>3</v>
      </c>
    </row>
    <row r="239" spans="1:26">
      <c r="A239" t="s">
        <v>335</v>
      </c>
      <c r="B239" s="21">
        <v>45932</v>
      </c>
      <c r="C239" s="21"/>
      <c r="D239" t="s">
        <v>27</v>
      </c>
      <c r="E239">
        <v>0</v>
      </c>
      <c r="F239" t="s">
        <v>73</v>
      </c>
      <c r="G239" t="s">
        <v>91</v>
      </c>
      <c r="H239" t="s">
        <v>74</v>
      </c>
      <c r="I239" t="s">
        <v>62</v>
      </c>
      <c r="J239" t="s">
        <v>54</v>
      </c>
      <c r="K239">
        <v>47</v>
      </c>
      <c r="L239" t="s">
        <v>42</v>
      </c>
      <c r="M239" t="s">
        <v>34</v>
      </c>
      <c r="N239" t="s">
        <v>35</v>
      </c>
      <c r="O239">
        <v>1277000</v>
      </c>
      <c r="P239">
        <v>106416.67</v>
      </c>
      <c r="Q239">
        <v>2</v>
      </c>
      <c r="R239" t="s">
        <v>55</v>
      </c>
      <c r="S239">
        <v>2.2000000000000002</v>
      </c>
      <c r="T239">
        <v>76</v>
      </c>
      <c r="U239">
        <v>22</v>
      </c>
      <c r="V239">
        <v>0</v>
      </c>
      <c r="W239" t="s">
        <v>37</v>
      </c>
      <c r="X239">
        <v>4.5</v>
      </c>
      <c r="Y239">
        <v>2</v>
      </c>
      <c r="Z239">
        <v>11.4</v>
      </c>
    </row>
    <row r="240" spans="1:26">
      <c r="A240" t="s">
        <v>336</v>
      </c>
      <c r="B240" s="21">
        <v>44139</v>
      </c>
      <c r="C240" s="21"/>
      <c r="D240" t="s">
        <v>27</v>
      </c>
      <c r="E240">
        <v>0</v>
      </c>
      <c r="F240" t="s">
        <v>28</v>
      </c>
      <c r="G240" t="s">
        <v>29</v>
      </c>
      <c r="H240" t="s">
        <v>30</v>
      </c>
      <c r="I240" t="s">
        <v>53</v>
      </c>
      <c r="J240" t="s">
        <v>32</v>
      </c>
      <c r="K240">
        <v>32</v>
      </c>
      <c r="L240" t="s">
        <v>33</v>
      </c>
      <c r="M240" t="s">
        <v>43</v>
      </c>
      <c r="N240" t="s">
        <v>35</v>
      </c>
      <c r="O240">
        <v>418000</v>
      </c>
      <c r="P240">
        <v>34833.33</v>
      </c>
      <c r="Q240">
        <v>61</v>
      </c>
      <c r="R240" t="s">
        <v>103</v>
      </c>
      <c r="S240">
        <v>4.3</v>
      </c>
      <c r="T240">
        <v>78</v>
      </c>
      <c r="U240">
        <v>14</v>
      </c>
      <c r="V240">
        <v>6</v>
      </c>
      <c r="W240" t="s">
        <v>37</v>
      </c>
      <c r="X240">
        <v>3.5</v>
      </c>
      <c r="Y240">
        <v>4</v>
      </c>
      <c r="Z240">
        <v>10.5</v>
      </c>
    </row>
    <row r="241" spans="1:26">
      <c r="A241" t="s">
        <v>337</v>
      </c>
      <c r="B241" s="21">
        <v>43362</v>
      </c>
      <c r="C241" s="21"/>
      <c r="D241" t="s">
        <v>27</v>
      </c>
      <c r="E241">
        <v>0</v>
      </c>
      <c r="F241" t="s">
        <v>50</v>
      </c>
      <c r="G241" t="s">
        <v>51</v>
      </c>
      <c r="H241" t="s">
        <v>89</v>
      </c>
      <c r="I241" t="s">
        <v>62</v>
      </c>
      <c r="J241" t="s">
        <v>134</v>
      </c>
      <c r="K241">
        <v>50</v>
      </c>
      <c r="L241" t="s">
        <v>33</v>
      </c>
      <c r="M241" t="s">
        <v>58</v>
      </c>
      <c r="N241" t="s">
        <v>35</v>
      </c>
      <c r="O241">
        <v>943000</v>
      </c>
      <c r="P241">
        <v>78583.33</v>
      </c>
      <c r="Q241">
        <v>87</v>
      </c>
      <c r="R241" t="s">
        <v>55</v>
      </c>
      <c r="S241">
        <v>4.0999999999999996</v>
      </c>
      <c r="T241">
        <v>18</v>
      </c>
      <c r="U241">
        <v>3</v>
      </c>
      <c r="V241">
        <v>13</v>
      </c>
      <c r="W241" t="s">
        <v>44</v>
      </c>
      <c r="X241">
        <v>3.1</v>
      </c>
      <c r="Y241">
        <v>2</v>
      </c>
      <c r="Z241">
        <v>11.6</v>
      </c>
    </row>
    <row r="242" spans="1:26">
      <c r="A242" t="s">
        <v>338</v>
      </c>
      <c r="B242" s="21">
        <v>43326</v>
      </c>
      <c r="C242" s="21">
        <v>43871</v>
      </c>
      <c r="D242" t="s">
        <v>57</v>
      </c>
      <c r="E242">
        <v>1</v>
      </c>
      <c r="F242" t="s">
        <v>73</v>
      </c>
      <c r="G242" t="s">
        <v>91</v>
      </c>
      <c r="H242" t="s">
        <v>102</v>
      </c>
      <c r="I242" t="s">
        <v>41</v>
      </c>
      <c r="J242" t="s">
        <v>54</v>
      </c>
      <c r="K242">
        <v>48</v>
      </c>
      <c r="L242" t="s">
        <v>42</v>
      </c>
      <c r="M242" t="s">
        <v>65</v>
      </c>
      <c r="N242" t="s">
        <v>35</v>
      </c>
      <c r="O242">
        <v>1371000</v>
      </c>
      <c r="P242">
        <v>114250</v>
      </c>
      <c r="Q242">
        <v>18</v>
      </c>
      <c r="R242" t="s">
        <v>103</v>
      </c>
      <c r="S242">
        <v>4.2</v>
      </c>
      <c r="T242">
        <v>33</v>
      </c>
      <c r="U242">
        <v>12</v>
      </c>
      <c r="V242">
        <v>0</v>
      </c>
      <c r="W242" t="s">
        <v>44</v>
      </c>
      <c r="X242">
        <v>5</v>
      </c>
      <c r="Y242">
        <v>2</v>
      </c>
      <c r="Z242">
        <v>4.7</v>
      </c>
    </row>
    <row r="243" spans="1:26">
      <c r="A243" t="s">
        <v>339</v>
      </c>
      <c r="B243" s="21">
        <v>42948</v>
      </c>
      <c r="C243" s="21"/>
      <c r="D243" t="s">
        <v>27</v>
      </c>
      <c r="E243">
        <v>0</v>
      </c>
      <c r="F243" t="s">
        <v>28</v>
      </c>
      <c r="G243" t="s">
        <v>51</v>
      </c>
      <c r="H243" t="s">
        <v>64</v>
      </c>
      <c r="I243" t="s">
        <v>41</v>
      </c>
      <c r="J243" t="s">
        <v>54</v>
      </c>
      <c r="K243">
        <v>36</v>
      </c>
      <c r="L243" t="s">
        <v>42</v>
      </c>
      <c r="M243" t="s">
        <v>43</v>
      </c>
      <c r="N243" t="s">
        <v>194</v>
      </c>
      <c r="O243">
        <v>651000</v>
      </c>
      <c r="P243">
        <v>54250</v>
      </c>
      <c r="Q243">
        <v>100</v>
      </c>
      <c r="R243" t="s">
        <v>36</v>
      </c>
      <c r="S243">
        <v>2.4</v>
      </c>
      <c r="T243">
        <v>46</v>
      </c>
      <c r="U243">
        <v>0</v>
      </c>
      <c r="V243">
        <v>11</v>
      </c>
      <c r="W243" t="s">
        <v>37</v>
      </c>
      <c r="X243">
        <v>4.0999999999999996</v>
      </c>
      <c r="Y243">
        <v>5</v>
      </c>
      <c r="Z243">
        <v>10.5</v>
      </c>
    </row>
    <row r="244" spans="1:26">
      <c r="A244" t="s">
        <v>340</v>
      </c>
      <c r="B244" s="21">
        <v>45922</v>
      </c>
      <c r="C244" s="21"/>
      <c r="D244" t="s">
        <v>27</v>
      </c>
      <c r="E244">
        <v>0</v>
      </c>
      <c r="F244" t="s">
        <v>60</v>
      </c>
      <c r="G244" t="s">
        <v>29</v>
      </c>
      <c r="H244" t="s">
        <v>109</v>
      </c>
      <c r="I244" t="s">
        <v>48</v>
      </c>
      <c r="J244" t="s">
        <v>32</v>
      </c>
      <c r="K244">
        <v>39</v>
      </c>
      <c r="L244" t="s">
        <v>130</v>
      </c>
      <c r="M244" t="s">
        <v>34</v>
      </c>
      <c r="N244" t="s">
        <v>35</v>
      </c>
      <c r="O244">
        <v>440000</v>
      </c>
      <c r="P244">
        <v>36666.67</v>
      </c>
      <c r="Q244">
        <v>3</v>
      </c>
      <c r="R244" t="s">
        <v>55</v>
      </c>
      <c r="S244">
        <v>3</v>
      </c>
      <c r="T244">
        <v>42</v>
      </c>
      <c r="U244">
        <v>21</v>
      </c>
      <c r="V244">
        <v>4</v>
      </c>
      <c r="W244" t="s">
        <v>37</v>
      </c>
      <c r="X244">
        <v>2.8</v>
      </c>
      <c r="Y244">
        <v>0</v>
      </c>
      <c r="Z244">
        <v>9.8000000000000007</v>
      </c>
    </row>
    <row r="245" spans="1:26">
      <c r="A245" t="s">
        <v>341</v>
      </c>
      <c r="B245" s="21">
        <v>42445</v>
      </c>
      <c r="C245" s="21"/>
      <c r="D245" t="s">
        <v>27</v>
      </c>
      <c r="E245">
        <v>0</v>
      </c>
      <c r="F245" t="s">
        <v>73</v>
      </c>
      <c r="G245" t="s">
        <v>88</v>
      </c>
      <c r="H245" t="s">
        <v>118</v>
      </c>
      <c r="I245" t="s">
        <v>48</v>
      </c>
      <c r="J245" t="s">
        <v>32</v>
      </c>
      <c r="K245">
        <v>39</v>
      </c>
      <c r="L245" t="s">
        <v>33</v>
      </c>
      <c r="M245" t="s">
        <v>34</v>
      </c>
      <c r="N245" t="s">
        <v>35</v>
      </c>
      <c r="O245">
        <v>1214000</v>
      </c>
      <c r="P245">
        <v>101166.67</v>
      </c>
      <c r="Q245">
        <v>117</v>
      </c>
      <c r="R245" t="s">
        <v>36</v>
      </c>
      <c r="S245">
        <v>4.0999999999999996</v>
      </c>
      <c r="T245">
        <v>17</v>
      </c>
      <c r="U245">
        <v>7</v>
      </c>
      <c r="V245">
        <v>2</v>
      </c>
      <c r="W245" t="s">
        <v>37</v>
      </c>
      <c r="X245">
        <v>4.0999999999999996</v>
      </c>
      <c r="Y245">
        <v>3</v>
      </c>
      <c r="Z245">
        <v>1.2</v>
      </c>
    </row>
    <row r="246" spans="1:26">
      <c r="A246" t="s">
        <v>342</v>
      </c>
      <c r="B246" s="21">
        <v>45147</v>
      </c>
      <c r="C246" s="21"/>
      <c r="D246" t="s">
        <v>27</v>
      </c>
      <c r="E246">
        <v>0</v>
      </c>
      <c r="F246" t="s">
        <v>67</v>
      </c>
      <c r="G246" t="s">
        <v>51</v>
      </c>
      <c r="H246" t="s">
        <v>95</v>
      </c>
      <c r="I246" t="s">
        <v>62</v>
      </c>
      <c r="J246" t="s">
        <v>54</v>
      </c>
      <c r="K246">
        <v>32</v>
      </c>
      <c r="L246" t="s">
        <v>42</v>
      </c>
      <c r="M246" t="s">
        <v>43</v>
      </c>
      <c r="N246" t="s">
        <v>35</v>
      </c>
      <c r="O246">
        <v>807000</v>
      </c>
      <c r="P246">
        <v>67250</v>
      </c>
      <c r="Q246">
        <v>28</v>
      </c>
      <c r="R246" t="s">
        <v>116</v>
      </c>
      <c r="S246">
        <v>2.8</v>
      </c>
      <c r="T246">
        <v>18</v>
      </c>
      <c r="U246">
        <v>12</v>
      </c>
      <c r="V246">
        <v>7</v>
      </c>
      <c r="W246" t="s">
        <v>44</v>
      </c>
      <c r="X246">
        <v>4.2</v>
      </c>
      <c r="Y246">
        <v>4</v>
      </c>
      <c r="Z246">
        <v>6.1</v>
      </c>
    </row>
    <row r="247" spans="1:26">
      <c r="A247" t="s">
        <v>343</v>
      </c>
      <c r="B247" s="21">
        <v>43017</v>
      </c>
      <c r="C247" s="21"/>
      <c r="D247" t="s">
        <v>27</v>
      </c>
      <c r="E247">
        <v>0</v>
      </c>
      <c r="F247" t="s">
        <v>98</v>
      </c>
      <c r="G247" t="s">
        <v>51</v>
      </c>
      <c r="H247" t="s">
        <v>106</v>
      </c>
      <c r="I247" t="s">
        <v>62</v>
      </c>
      <c r="J247" t="s">
        <v>32</v>
      </c>
      <c r="K247">
        <v>36</v>
      </c>
      <c r="L247" t="s">
        <v>33</v>
      </c>
      <c r="M247" t="s">
        <v>65</v>
      </c>
      <c r="N247" t="s">
        <v>35</v>
      </c>
      <c r="O247">
        <v>729000</v>
      </c>
      <c r="P247">
        <v>60750</v>
      </c>
      <c r="Q247">
        <v>98</v>
      </c>
      <c r="R247" t="s">
        <v>55</v>
      </c>
      <c r="S247">
        <v>4.4000000000000004</v>
      </c>
      <c r="T247">
        <v>78</v>
      </c>
      <c r="U247">
        <v>15</v>
      </c>
      <c r="V247">
        <v>4</v>
      </c>
      <c r="W247" t="s">
        <v>37</v>
      </c>
      <c r="X247">
        <v>3.5</v>
      </c>
      <c r="Y247">
        <v>3</v>
      </c>
      <c r="Z247">
        <v>1</v>
      </c>
    </row>
    <row r="248" spans="1:26">
      <c r="A248" t="s">
        <v>344</v>
      </c>
      <c r="B248" s="21">
        <v>44878</v>
      </c>
      <c r="C248" s="21"/>
      <c r="D248" t="s">
        <v>27</v>
      </c>
      <c r="E248">
        <v>0</v>
      </c>
      <c r="F248" t="s">
        <v>28</v>
      </c>
      <c r="G248" t="s">
        <v>51</v>
      </c>
      <c r="H248" t="s">
        <v>121</v>
      </c>
      <c r="I248" t="s">
        <v>53</v>
      </c>
      <c r="J248" t="s">
        <v>54</v>
      </c>
      <c r="K248">
        <v>40</v>
      </c>
      <c r="L248" t="s">
        <v>33</v>
      </c>
      <c r="M248" t="s">
        <v>34</v>
      </c>
      <c r="N248" t="s">
        <v>35</v>
      </c>
      <c r="O248">
        <v>722000</v>
      </c>
      <c r="P248">
        <v>60166.67</v>
      </c>
      <c r="Q248">
        <v>37</v>
      </c>
      <c r="R248" t="s">
        <v>36</v>
      </c>
      <c r="S248">
        <v>4.0999999999999996</v>
      </c>
      <c r="T248">
        <v>1</v>
      </c>
      <c r="U248">
        <v>9</v>
      </c>
      <c r="V248">
        <v>1</v>
      </c>
      <c r="W248" t="s">
        <v>37</v>
      </c>
      <c r="X248">
        <v>2.7</v>
      </c>
      <c r="Y248">
        <v>5</v>
      </c>
      <c r="Z248">
        <v>8.9</v>
      </c>
    </row>
    <row r="249" spans="1:26">
      <c r="A249" t="s">
        <v>345</v>
      </c>
      <c r="B249" s="21">
        <v>43281</v>
      </c>
      <c r="C249" s="21"/>
      <c r="D249" t="s">
        <v>27</v>
      </c>
      <c r="E249">
        <v>0</v>
      </c>
      <c r="F249" t="s">
        <v>50</v>
      </c>
      <c r="G249" t="s">
        <v>91</v>
      </c>
      <c r="H249" t="s">
        <v>89</v>
      </c>
      <c r="I249" t="s">
        <v>53</v>
      </c>
      <c r="J249" t="s">
        <v>32</v>
      </c>
      <c r="K249">
        <v>44</v>
      </c>
      <c r="L249" t="s">
        <v>33</v>
      </c>
      <c r="M249" t="s">
        <v>40</v>
      </c>
      <c r="N249" t="s">
        <v>35</v>
      </c>
      <c r="O249">
        <v>1667000</v>
      </c>
      <c r="P249">
        <v>138916.67000000001</v>
      </c>
      <c r="Q249">
        <v>90</v>
      </c>
      <c r="R249" t="s">
        <v>116</v>
      </c>
      <c r="S249">
        <v>1.1000000000000001</v>
      </c>
      <c r="T249">
        <v>50</v>
      </c>
      <c r="U249">
        <v>12</v>
      </c>
      <c r="V249">
        <v>3</v>
      </c>
      <c r="W249" t="s">
        <v>37</v>
      </c>
      <c r="X249">
        <v>4.2</v>
      </c>
      <c r="Y249">
        <v>2</v>
      </c>
      <c r="Z249">
        <v>3.8</v>
      </c>
    </row>
    <row r="250" spans="1:26">
      <c r="A250" t="s">
        <v>346</v>
      </c>
      <c r="B250" s="21">
        <v>44802</v>
      </c>
      <c r="C250" s="21"/>
      <c r="D250" t="s">
        <v>27</v>
      </c>
      <c r="E250">
        <v>0</v>
      </c>
      <c r="F250" t="s">
        <v>28</v>
      </c>
      <c r="G250" t="s">
        <v>88</v>
      </c>
      <c r="H250" t="s">
        <v>64</v>
      </c>
      <c r="I250" t="s">
        <v>41</v>
      </c>
      <c r="J250" t="s">
        <v>32</v>
      </c>
      <c r="K250">
        <v>33</v>
      </c>
      <c r="L250" t="s">
        <v>33</v>
      </c>
      <c r="M250" t="s">
        <v>43</v>
      </c>
      <c r="N250" t="s">
        <v>35</v>
      </c>
      <c r="O250">
        <v>992000</v>
      </c>
      <c r="P250">
        <v>82666.67</v>
      </c>
      <c r="Q250">
        <v>40</v>
      </c>
      <c r="R250" t="s">
        <v>36</v>
      </c>
      <c r="S250">
        <v>3.2</v>
      </c>
      <c r="T250">
        <v>37</v>
      </c>
      <c r="U250">
        <v>11</v>
      </c>
      <c r="V250">
        <v>3</v>
      </c>
      <c r="W250" t="s">
        <v>44</v>
      </c>
      <c r="X250">
        <v>4.7</v>
      </c>
      <c r="Y250">
        <v>1</v>
      </c>
      <c r="Z250">
        <v>1</v>
      </c>
    </row>
    <row r="251" spans="1:26">
      <c r="A251" t="s">
        <v>347</v>
      </c>
      <c r="B251" s="21">
        <v>45538</v>
      </c>
      <c r="C251" s="21">
        <v>45884</v>
      </c>
      <c r="D251" t="s">
        <v>57</v>
      </c>
      <c r="E251">
        <v>1</v>
      </c>
      <c r="F251" t="s">
        <v>73</v>
      </c>
      <c r="G251" t="s">
        <v>91</v>
      </c>
      <c r="H251" t="s">
        <v>74</v>
      </c>
      <c r="I251" t="s">
        <v>53</v>
      </c>
      <c r="J251" t="s">
        <v>54</v>
      </c>
      <c r="K251">
        <v>49</v>
      </c>
      <c r="L251" t="s">
        <v>33</v>
      </c>
      <c r="M251" t="s">
        <v>65</v>
      </c>
      <c r="N251" t="s">
        <v>35</v>
      </c>
      <c r="O251">
        <v>1271000</v>
      </c>
      <c r="P251">
        <v>105916.67</v>
      </c>
      <c r="Q251">
        <v>11</v>
      </c>
      <c r="R251" t="s">
        <v>36</v>
      </c>
      <c r="S251">
        <v>2.7</v>
      </c>
      <c r="T251">
        <v>25</v>
      </c>
      <c r="U251">
        <v>2</v>
      </c>
      <c r="V251">
        <v>7</v>
      </c>
      <c r="W251" t="s">
        <v>44</v>
      </c>
      <c r="X251">
        <v>4.5</v>
      </c>
      <c r="Y251">
        <v>3</v>
      </c>
      <c r="Z251">
        <v>17.8</v>
      </c>
    </row>
    <row r="252" spans="1:26">
      <c r="A252" t="s">
        <v>348</v>
      </c>
      <c r="B252" s="21">
        <v>43697</v>
      </c>
      <c r="C252" s="21"/>
      <c r="D252" t="s">
        <v>27</v>
      </c>
      <c r="E252">
        <v>0</v>
      </c>
      <c r="F252" t="s">
        <v>60</v>
      </c>
      <c r="G252" t="s">
        <v>29</v>
      </c>
      <c r="H252" t="s">
        <v>61</v>
      </c>
      <c r="I252" t="s">
        <v>48</v>
      </c>
      <c r="J252" t="s">
        <v>32</v>
      </c>
      <c r="K252">
        <v>28</v>
      </c>
      <c r="L252" t="s">
        <v>33</v>
      </c>
      <c r="M252" t="s">
        <v>34</v>
      </c>
      <c r="N252" t="s">
        <v>35</v>
      </c>
      <c r="O252">
        <v>392000</v>
      </c>
      <c r="P252">
        <v>32666.67</v>
      </c>
      <c r="Q252">
        <v>76</v>
      </c>
      <c r="R252" t="s">
        <v>36</v>
      </c>
      <c r="S252">
        <v>1.9</v>
      </c>
      <c r="T252">
        <v>42</v>
      </c>
      <c r="U252">
        <v>15</v>
      </c>
      <c r="V252">
        <v>0</v>
      </c>
      <c r="W252" t="s">
        <v>44</v>
      </c>
      <c r="X252">
        <v>3.1</v>
      </c>
      <c r="Y252">
        <v>4</v>
      </c>
      <c r="Z252">
        <v>10.8</v>
      </c>
    </row>
    <row r="253" spans="1:26">
      <c r="A253" t="s">
        <v>349</v>
      </c>
      <c r="B253" s="21">
        <v>42984</v>
      </c>
      <c r="C253" s="21"/>
      <c r="D253" t="s">
        <v>27</v>
      </c>
      <c r="E253">
        <v>0</v>
      </c>
      <c r="F253" t="s">
        <v>28</v>
      </c>
      <c r="G253" t="s">
        <v>51</v>
      </c>
      <c r="H253" t="s">
        <v>30</v>
      </c>
      <c r="I253" t="s">
        <v>41</v>
      </c>
      <c r="J253" t="s">
        <v>32</v>
      </c>
      <c r="K253">
        <v>42</v>
      </c>
      <c r="L253" t="s">
        <v>33</v>
      </c>
      <c r="M253" t="s">
        <v>34</v>
      </c>
      <c r="N253" t="s">
        <v>35</v>
      </c>
      <c r="O253">
        <v>721000</v>
      </c>
      <c r="P253">
        <v>60083.33</v>
      </c>
      <c r="Q253">
        <v>99</v>
      </c>
      <c r="R253" t="s">
        <v>55</v>
      </c>
      <c r="S253">
        <v>3.9</v>
      </c>
      <c r="T253">
        <v>69</v>
      </c>
      <c r="U253">
        <v>12</v>
      </c>
      <c r="V253">
        <v>3</v>
      </c>
      <c r="W253" t="s">
        <v>37</v>
      </c>
      <c r="X253">
        <v>4.3</v>
      </c>
      <c r="Y253">
        <v>1</v>
      </c>
      <c r="Z253">
        <v>7.8</v>
      </c>
    </row>
    <row r="254" spans="1:26">
      <c r="A254" t="s">
        <v>350</v>
      </c>
      <c r="B254" s="21">
        <v>44391</v>
      </c>
      <c r="C254" s="21"/>
      <c r="D254" t="s">
        <v>27</v>
      </c>
      <c r="E254">
        <v>0</v>
      </c>
      <c r="F254" t="s">
        <v>60</v>
      </c>
      <c r="G254" t="s">
        <v>51</v>
      </c>
      <c r="H254" t="s">
        <v>112</v>
      </c>
      <c r="I254" t="s">
        <v>41</v>
      </c>
      <c r="J254" t="s">
        <v>54</v>
      </c>
      <c r="K254">
        <v>40</v>
      </c>
      <c r="L254" t="s">
        <v>130</v>
      </c>
      <c r="M254" t="s">
        <v>34</v>
      </c>
      <c r="N254" t="s">
        <v>35</v>
      </c>
      <c r="O254">
        <v>919000</v>
      </c>
      <c r="P254">
        <v>76583.33</v>
      </c>
      <c r="Q254">
        <v>53</v>
      </c>
      <c r="R254" t="s">
        <v>36</v>
      </c>
      <c r="S254">
        <v>4.5999999999999996</v>
      </c>
      <c r="T254">
        <v>4</v>
      </c>
      <c r="U254">
        <v>3</v>
      </c>
      <c r="V254">
        <v>5</v>
      </c>
      <c r="W254" t="s">
        <v>44</v>
      </c>
      <c r="X254">
        <v>3.7</v>
      </c>
      <c r="Y254">
        <v>4</v>
      </c>
      <c r="Z254">
        <v>16.600000000000001</v>
      </c>
    </row>
    <row r="255" spans="1:26">
      <c r="A255" t="s">
        <v>351</v>
      </c>
      <c r="B255" s="21">
        <v>43592</v>
      </c>
      <c r="C255" s="21"/>
      <c r="D255" t="s">
        <v>27</v>
      </c>
      <c r="E255">
        <v>0</v>
      </c>
      <c r="F255" t="s">
        <v>98</v>
      </c>
      <c r="G255" t="s">
        <v>88</v>
      </c>
      <c r="H255" t="s">
        <v>352</v>
      </c>
      <c r="I255" t="s">
        <v>31</v>
      </c>
      <c r="J255" t="s">
        <v>32</v>
      </c>
      <c r="K255">
        <v>41</v>
      </c>
      <c r="L255" t="s">
        <v>96</v>
      </c>
      <c r="M255" t="s">
        <v>65</v>
      </c>
      <c r="N255" t="s">
        <v>35</v>
      </c>
      <c r="O255">
        <v>960000</v>
      </c>
      <c r="P255">
        <v>80000</v>
      </c>
      <c r="Q255">
        <v>79</v>
      </c>
      <c r="R255" t="s">
        <v>36</v>
      </c>
      <c r="S255">
        <v>3.8</v>
      </c>
      <c r="T255">
        <v>47</v>
      </c>
      <c r="U255">
        <v>31</v>
      </c>
      <c r="V255">
        <v>13</v>
      </c>
      <c r="W255" t="s">
        <v>44</v>
      </c>
      <c r="X255">
        <v>3.1</v>
      </c>
      <c r="Y255">
        <v>4</v>
      </c>
      <c r="Z255">
        <v>1.1000000000000001</v>
      </c>
    </row>
    <row r="256" spans="1:26">
      <c r="A256" t="s">
        <v>353</v>
      </c>
      <c r="B256" s="21">
        <v>45476</v>
      </c>
      <c r="C256" s="21"/>
      <c r="D256" t="s">
        <v>27</v>
      </c>
      <c r="E256">
        <v>0</v>
      </c>
      <c r="F256" t="s">
        <v>60</v>
      </c>
      <c r="G256" t="s">
        <v>88</v>
      </c>
      <c r="H256" t="s">
        <v>61</v>
      </c>
      <c r="I256" t="s">
        <v>31</v>
      </c>
      <c r="J256" t="s">
        <v>134</v>
      </c>
      <c r="K256">
        <v>35</v>
      </c>
      <c r="L256" t="s">
        <v>33</v>
      </c>
      <c r="M256" t="s">
        <v>65</v>
      </c>
      <c r="N256" t="s">
        <v>35</v>
      </c>
      <c r="O256">
        <v>865000</v>
      </c>
      <c r="P256">
        <v>72083.33</v>
      </c>
      <c r="Q256">
        <v>17</v>
      </c>
      <c r="R256" t="s">
        <v>36</v>
      </c>
      <c r="S256">
        <v>3.9</v>
      </c>
      <c r="T256">
        <v>77</v>
      </c>
      <c r="U256">
        <v>10</v>
      </c>
      <c r="V256">
        <v>7</v>
      </c>
      <c r="W256" t="s">
        <v>37</v>
      </c>
      <c r="X256">
        <v>2.9</v>
      </c>
      <c r="Y256">
        <v>5</v>
      </c>
      <c r="Z256">
        <v>7.8</v>
      </c>
    </row>
    <row r="257" spans="1:26">
      <c r="A257" t="s">
        <v>354</v>
      </c>
      <c r="B257" s="21">
        <v>43546</v>
      </c>
      <c r="C257" s="21"/>
      <c r="D257" t="s">
        <v>27</v>
      </c>
      <c r="E257">
        <v>0</v>
      </c>
      <c r="F257" t="s">
        <v>50</v>
      </c>
      <c r="G257" t="s">
        <v>105</v>
      </c>
      <c r="H257" t="s">
        <v>124</v>
      </c>
      <c r="I257" t="s">
        <v>48</v>
      </c>
      <c r="J257" t="s">
        <v>54</v>
      </c>
      <c r="K257">
        <v>36</v>
      </c>
      <c r="L257" t="s">
        <v>33</v>
      </c>
      <c r="M257" t="s">
        <v>65</v>
      </c>
      <c r="N257" t="s">
        <v>35</v>
      </c>
      <c r="O257">
        <v>1902000</v>
      </c>
      <c r="P257">
        <v>158500</v>
      </c>
      <c r="Q257">
        <v>81</v>
      </c>
      <c r="R257" t="s">
        <v>116</v>
      </c>
      <c r="S257">
        <v>4.2</v>
      </c>
      <c r="T257">
        <v>59</v>
      </c>
      <c r="U257">
        <v>11</v>
      </c>
      <c r="V257">
        <v>10</v>
      </c>
      <c r="W257" t="s">
        <v>37</v>
      </c>
      <c r="X257">
        <v>3.1</v>
      </c>
      <c r="Y257">
        <v>5</v>
      </c>
      <c r="Z257">
        <v>4.4000000000000004</v>
      </c>
    </row>
    <row r="258" spans="1:26">
      <c r="A258" t="s">
        <v>355</v>
      </c>
      <c r="B258" s="21">
        <v>45843</v>
      </c>
      <c r="C258" s="21"/>
      <c r="D258" t="s">
        <v>27</v>
      </c>
      <c r="E258">
        <v>0</v>
      </c>
      <c r="F258" t="s">
        <v>28</v>
      </c>
      <c r="G258" t="s">
        <v>29</v>
      </c>
      <c r="H258" t="s">
        <v>121</v>
      </c>
      <c r="I258" t="s">
        <v>75</v>
      </c>
      <c r="J258" t="s">
        <v>32</v>
      </c>
      <c r="K258">
        <v>36</v>
      </c>
      <c r="L258" t="s">
        <v>33</v>
      </c>
      <c r="M258" t="s">
        <v>65</v>
      </c>
      <c r="N258" t="s">
        <v>35</v>
      </c>
      <c r="O258">
        <v>462000</v>
      </c>
      <c r="P258">
        <v>38500</v>
      </c>
      <c r="Q258">
        <v>5</v>
      </c>
      <c r="R258" t="s">
        <v>55</v>
      </c>
      <c r="S258">
        <v>4.5999999999999996</v>
      </c>
      <c r="T258">
        <v>43</v>
      </c>
      <c r="U258">
        <v>9</v>
      </c>
      <c r="V258">
        <v>5</v>
      </c>
      <c r="W258" t="s">
        <v>37</v>
      </c>
      <c r="X258">
        <v>3.9</v>
      </c>
      <c r="Y258">
        <v>5</v>
      </c>
      <c r="Z258">
        <v>17.3</v>
      </c>
    </row>
    <row r="259" spans="1:26">
      <c r="A259" t="s">
        <v>356</v>
      </c>
      <c r="B259" s="21">
        <v>42489</v>
      </c>
      <c r="C259" s="21"/>
      <c r="D259" t="s">
        <v>27</v>
      </c>
      <c r="E259">
        <v>0</v>
      </c>
      <c r="F259" t="s">
        <v>73</v>
      </c>
      <c r="G259" t="s">
        <v>51</v>
      </c>
      <c r="H259" t="s">
        <v>126</v>
      </c>
      <c r="I259" t="s">
        <v>53</v>
      </c>
      <c r="J259" t="s">
        <v>32</v>
      </c>
      <c r="K259">
        <v>42</v>
      </c>
      <c r="L259" t="s">
        <v>33</v>
      </c>
      <c r="M259" t="s">
        <v>78</v>
      </c>
      <c r="N259" t="s">
        <v>35</v>
      </c>
      <c r="O259">
        <v>956000</v>
      </c>
      <c r="P259">
        <v>79666.67</v>
      </c>
      <c r="Q259">
        <v>116</v>
      </c>
      <c r="R259" t="s">
        <v>36</v>
      </c>
      <c r="S259">
        <v>3</v>
      </c>
      <c r="T259">
        <v>38</v>
      </c>
      <c r="U259">
        <v>21</v>
      </c>
      <c r="V259">
        <v>0</v>
      </c>
      <c r="W259" t="s">
        <v>37</v>
      </c>
      <c r="X259">
        <v>4.0999999999999996</v>
      </c>
      <c r="Y259">
        <v>1</v>
      </c>
      <c r="Z259">
        <v>9.6999999999999993</v>
      </c>
    </row>
    <row r="260" spans="1:26">
      <c r="A260" t="s">
        <v>357</v>
      </c>
      <c r="B260" s="21">
        <v>44644</v>
      </c>
      <c r="C260" s="21"/>
      <c r="D260" t="s">
        <v>27</v>
      </c>
      <c r="E260">
        <v>0</v>
      </c>
      <c r="F260" t="s">
        <v>28</v>
      </c>
      <c r="G260" t="s">
        <v>88</v>
      </c>
      <c r="H260" t="s">
        <v>64</v>
      </c>
      <c r="I260" t="s">
        <v>62</v>
      </c>
      <c r="J260" t="s">
        <v>32</v>
      </c>
      <c r="K260">
        <v>38</v>
      </c>
      <c r="L260" t="s">
        <v>33</v>
      </c>
      <c r="M260" t="s">
        <v>43</v>
      </c>
      <c r="N260" t="s">
        <v>35</v>
      </c>
      <c r="O260">
        <v>1021000</v>
      </c>
      <c r="P260">
        <v>85083.33</v>
      </c>
      <c r="Q260">
        <v>45</v>
      </c>
      <c r="R260" t="s">
        <v>36</v>
      </c>
      <c r="S260">
        <v>3.4</v>
      </c>
      <c r="T260">
        <v>39</v>
      </c>
      <c r="U260">
        <v>6</v>
      </c>
      <c r="V260">
        <v>0</v>
      </c>
      <c r="W260" t="s">
        <v>37</v>
      </c>
      <c r="X260">
        <v>4.3</v>
      </c>
      <c r="Y260">
        <v>0</v>
      </c>
      <c r="Z260">
        <v>8.1</v>
      </c>
    </row>
    <row r="261" spans="1:26">
      <c r="A261" t="s">
        <v>358</v>
      </c>
      <c r="B261" s="21">
        <v>42499</v>
      </c>
      <c r="C261" s="21"/>
      <c r="D261" t="s">
        <v>27</v>
      </c>
      <c r="E261">
        <v>0</v>
      </c>
      <c r="F261" t="s">
        <v>98</v>
      </c>
      <c r="G261" t="s">
        <v>70</v>
      </c>
      <c r="H261" t="s">
        <v>99</v>
      </c>
      <c r="I261" t="s">
        <v>53</v>
      </c>
      <c r="J261" t="s">
        <v>32</v>
      </c>
      <c r="K261">
        <v>36</v>
      </c>
      <c r="L261" t="s">
        <v>42</v>
      </c>
      <c r="M261" t="s">
        <v>40</v>
      </c>
      <c r="N261" t="s">
        <v>35</v>
      </c>
      <c r="O261">
        <v>599000</v>
      </c>
      <c r="P261">
        <v>49916.67</v>
      </c>
      <c r="Q261">
        <v>115</v>
      </c>
      <c r="R261" t="s">
        <v>36</v>
      </c>
      <c r="S261">
        <v>3.8</v>
      </c>
      <c r="T261">
        <v>43</v>
      </c>
      <c r="U261">
        <v>17</v>
      </c>
      <c r="V261">
        <v>2</v>
      </c>
      <c r="W261" t="s">
        <v>37</v>
      </c>
      <c r="X261">
        <v>3.3</v>
      </c>
      <c r="Y261">
        <v>2</v>
      </c>
      <c r="Z261">
        <v>8.4</v>
      </c>
    </row>
    <row r="262" spans="1:26">
      <c r="A262" t="s">
        <v>359</v>
      </c>
      <c r="B262" s="21">
        <v>44514</v>
      </c>
      <c r="C262" s="21"/>
      <c r="D262" t="s">
        <v>27</v>
      </c>
      <c r="E262">
        <v>0</v>
      </c>
      <c r="F262" t="s">
        <v>50</v>
      </c>
      <c r="G262" t="s">
        <v>88</v>
      </c>
      <c r="H262" t="s">
        <v>52</v>
      </c>
      <c r="I262" t="s">
        <v>41</v>
      </c>
      <c r="J262" t="s">
        <v>54</v>
      </c>
      <c r="K262">
        <v>40</v>
      </c>
      <c r="L262" t="s">
        <v>96</v>
      </c>
      <c r="M262" t="s">
        <v>43</v>
      </c>
      <c r="N262" t="s">
        <v>35</v>
      </c>
      <c r="O262">
        <v>1179000</v>
      </c>
      <c r="P262">
        <v>98250</v>
      </c>
      <c r="Q262">
        <v>49</v>
      </c>
      <c r="R262" t="s">
        <v>36</v>
      </c>
      <c r="S262">
        <v>4.2</v>
      </c>
      <c r="T262">
        <v>11</v>
      </c>
      <c r="U262">
        <v>12</v>
      </c>
      <c r="V262">
        <v>3</v>
      </c>
      <c r="W262" t="s">
        <v>37</v>
      </c>
      <c r="X262">
        <v>4.2</v>
      </c>
      <c r="Y262">
        <v>0</v>
      </c>
      <c r="Z262">
        <v>8.8000000000000007</v>
      </c>
    </row>
    <row r="263" spans="1:26">
      <c r="A263" t="s">
        <v>360</v>
      </c>
      <c r="B263" s="21">
        <v>42792</v>
      </c>
      <c r="C263" s="21"/>
      <c r="D263" t="s">
        <v>27</v>
      </c>
      <c r="E263">
        <v>0</v>
      </c>
      <c r="F263" t="s">
        <v>73</v>
      </c>
      <c r="G263" t="s">
        <v>91</v>
      </c>
      <c r="H263" t="s">
        <v>118</v>
      </c>
      <c r="I263" t="s">
        <v>75</v>
      </c>
      <c r="J263" t="s">
        <v>54</v>
      </c>
      <c r="K263">
        <v>35</v>
      </c>
      <c r="L263" t="s">
        <v>33</v>
      </c>
      <c r="M263" t="s">
        <v>65</v>
      </c>
      <c r="N263" t="s">
        <v>35</v>
      </c>
      <c r="O263">
        <v>1535000</v>
      </c>
      <c r="P263">
        <v>127916.67</v>
      </c>
      <c r="Q263">
        <v>106</v>
      </c>
      <c r="R263" t="s">
        <v>55</v>
      </c>
      <c r="S263">
        <v>3.3</v>
      </c>
      <c r="T263">
        <v>65</v>
      </c>
      <c r="U263">
        <v>7</v>
      </c>
      <c r="V263">
        <v>9</v>
      </c>
      <c r="W263" t="s">
        <v>37</v>
      </c>
      <c r="X263">
        <v>3.5</v>
      </c>
      <c r="Y263">
        <v>2</v>
      </c>
      <c r="Z263">
        <v>12.5</v>
      </c>
    </row>
    <row r="264" spans="1:26">
      <c r="A264" t="s">
        <v>361</v>
      </c>
      <c r="B264" s="21">
        <v>44620</v>
      </c>
      <c r="C264" s="21"/>
      <c r="D264" t="s">
        <v>27</v>
      </c>
      <c r="E264">
        <v>0</v>
      </c>
      <c r="F264" t="s">
        <v>67</v>
      </c>
      <c r="G264" t="s">
        <v>51</v>
      </c>
      <c r="H264" t="s">
        <v>80</v>
      </c>
      <c r="I264" t="s">
        <v>41</v>
      </c>
      <c r="J264" t="s">
        <v>54</v>
      </c>
      <c r="K264">
        <v>38</v>
      </c>
      <c r="L264" t="s">
        <v>33</v>
      </c>
      <c r="M264" t="s">
        <v>34</v>
      </c>
      <c r="N264" t="s">
        <v>35</v>
      </c>
      <c r="O264">
        <v>659000</v>
      </c>
      <c r="P264">
        <v>54916.67</v>
      </c>
      <c r="Q264">
        <v>46</v>
      </c>
      <c r="R264" t="s">
        <v>103</v>
      </c>
      <c r="S264">
        <v>3.9</v>
      </c>
      <c r="T264">
        <v>75</v>
      </c>
      <c r="U264">
        <v>10</v>
      </c>
      <c r="V264">
        <v>1</v>
      </c>
      <c r="W264" t="s">
        <v>44</v>
      </c>
      <c r="X264">
        <v>3.2</v>
      </c>
      <c r="Y264">
        <v>3</v>
      </c>
      <c r="Z264">
        <v>5.4</v>
      </c>
    </row>
    <row r="265" spans="1:26">
      <c r="A265" t="s">
        <v>362</v>
      </c>
      <c r="B265" s="21">
        <v>44196</v>
      </c>
      <c r="C265" s="21"/>
      <c r="D265" t="s">
        <v>27</v>
      </c>
      <c r="E265">
        <v>0</v>
      </c>
      <c r="F265" t="s">
        <v>28</v>
      </c>
      <c r="G265" t="s">
        <v>88</v>
      </c>
      <c r="H265" t="s">
        <v>64</v>
      </c>
      <c r="I265" t="s">
        <v>53</v>
      </c>
      <c r="J265" t="s">
        <v>54</v>
      </c>
      <c r="K265">
        <v>38</v>
      </c>
      <c r="L265" t="s">
        <v>33</v>
      </c>
      <c r="M265" t="s">
        <v>43</v>
      </c>
      <c r="N265" t="s">
        <v>35</v>
      </c>
      <c r="O265">
        <v>902000</v>
      </c>
      <c r="P265">
        <v>75166.67</v>
      </c>
      <c r="Q265">
        <v>60</v>
      </c>
      <c r="R265" t="s">
        <v>36</v>
      </c>
      <c r="S265">
        <v>3</v>
      </c>
      <c r="T265">
        <v>60</v>
      </c>
      <c r="U265">
        <v>17</v>
      </c>
      <c r="V265">
        <v>0</v>
      </c>
      <c r="W265" t="s">
        <v>37</v>
      </c>
      <c r="X265">
        <v>4.9000000000000004</v>
      </c>
      <c r="Y265">
        <v>3</v>
      </c>
      <c r="Z265">
        <v>7.3</v>
      </c>
    </row>
    <row r="266" spans="1:26">
      <c r="A266" t="s">
        <v>363</v>
      </c>
      <c r="B266" s="21">
        <v>45897</v>
      </c>
      <c r="C266" s="21"/>
      <c r="D266" t="s">
        <v>27</v>
      </c>
      <c r="E266">
        <v>0</v>
      </c>
      <c r="F266" t="s">
        <v>46</v>
      </c>
      <c r="G266" t="s">
        <v>70</v>
      </c>
      <c r="H266" t="s">
        <v>92</v>
      </c>
      <c r="I266" t="s">
        <v>53</v>
      </c>
      <c r="J266" t="s">
        <v>54</v>
      </c>
      <c r="K266">
        <v>41</v>
      </c>
      <c r="L266" t="s">
        <v>33</v>
      </c>
      <c r="M266" t="s">
        <v>40</v>
      </c>
      <c r="N266" t="s">
        <v>35</v>
      </c>
      <c r="O266">
        <v>574000</v>
      </c>
      <c r="P266">
        <v>47833.33</v>
      </c>
      <c r="Q266">
        <v>4</v>
      </c>
      <c r="R266" t="s">
        <v>36</v>
      </c>
      <c r="S266">
        <v>3.1</v>
      </c>
      <c r="T266">
        <v>16</v>
      </c>
      <c r="U266">
        <v>8</v>
      </c>
      <c r="V266">
        <v>6</v>
      </c>
      <c r="W266" t="s">
        <v>37</v>
      </c>
      <c r="X266">
        <v>4.0999999999999996</v>
      </c>
      <c r="Y266">
        <v>3</v>
      </c>
      <c r="Z266">
        <v>4.9000000000000004</v>
      </c>
    </row>
    <row r="267" spans="1:26">
      <c r="A267" t="s">
        <v>364</v>
      </c>
      <c r="B267" s="21">
        <v>45295</v>
      </c>
      <c r="C267" s="21"/>
      <c r="D267" t="s">
        <v>27</v>
      </c>
      <c r="E267">
        <v>0</v>
      </c>
      <c r="F267" t="s">
        <v>28</v>
      </c>
      <c r="G267" t="s">
        <v>51</v>
      </c>
      <c r="H267" t="s">
        <v>30</v>
      </c>
      <c r="I267" t="s">
        <v>75</v>
      </c>
      <c r="J267" t="s">
        <v>54</v>
      </c>
      <c r="K267">
        <v>41</v>
      </c>
      <c r="L267" t="s">
        <v>42</v>
      </c>
      <c r="M267" t="s">
        <v>34</v>
      </c>
      <c r="N267" t="s">
        <v>93</v>
      </c>
      <c r="O267">
        <v>822000</v>
      </c>
      <c r="P267">
        <v>68500</v>
      </c>
      <c r="Q267">
        <v>23</v>
      </c>
      <c r="R267" t="s">
        <v>36</v>
      </c>
      <c r="S267">
        <v>2.8</v>
      </c>
      <c r="T267">
        <v>72</v>
      </c>
      <c r="U267">
        <v>3</v>
      </c>
      <c r="V267">
        <v>0</v>
      </c>
      <c r="W267" t="s">
        <v>37</v>
      </c>
      <c r="X267">
        <v>2.9</v>
      </c>
      <c r="Y267">
        <v>4</v>
      </c>
      <c r="Z267">
        <v>13.3</v>
      </c>
    </row>
    <row r="268" spans="1:26">
      <c r="A268" t="s">
        <v>365</v>
      </c>
      <c r="B268" s="21">
        <v>43337</v>
      </c>
      <c r="C268" s="21"/>
      <c r="D268" t="s">
        <v>27</v>
      </c>
      <c r="E268">
        <v>0</v>
      </c>
      <c r="F268" t="s">
        <v>39</v>
      </c>
      <c r="G268" t="s">
        <v>51</v>
      </c>
      <c r="H268" t="s">
        <v>40</v>
      </c>
      <c r="I268" t="s">
        <v>41</v>
      </c>
      <c r="J268" t="s">
        <v>32</v>
      </c>
      <c r="K268">
        <v>44</v>
      </c>
      <c r="L268" t="s">
        <v>42</v>
      </c>
      <c r="M268" t="s">
        <v>43</v>
      </c>
      <c r="N268" t="s">
        <v>35</v>
      </c>
      <c r="O268">
        <v>749000</v>
      </c>
      <c r="P268">
        <v>62416.67</v>
      </c>
      <c r="Q268">
        <v>88</v>
      </c>
      <c r="R268" t="s">
        <v>36</v>
      </c>
      <c r="S268">
        <v>4.5999999999999996</v>
      </c>
      <c r="T268">
        <v>41</v>
      </c>
      <c r="U268">
        <v>11</v>
      </c>
      <c r="V268">
        <v>0</v>
      </c>
      <c r="W268" t="s">
        <v>37</v>
      </c>
      <c r="X268">
        <v>3.2</v>
      </c>
      <c r="Y268">
        <v>0</v>
      </c>
      <c r="Z268">
        <v>6</v>
      </c>
    </row>
    <row r="269" spans="1:26">
      <c r="A269" t="s">
        <v>366</v>
      </c>
      <c r="B269" s="21">
        <v>42740</v>
      </c>
      <c r="C269" s="21"/>
      <c r="D269" t="s">
        <v>27</v>
      </c>
      <c r="E269">
        <v>0</v>
      </c>
      <c r="F269" t="s">
        <v>73</v>
      </c>
      <c r="G269" t="s">
        <v>88</v>
      </c>
      <c r="H269" t="s">
        <v>74</v>
      </c>
      <c r="I269" t="s">
        <v>62</v>
      </c>
      <c r="J269" t="s">
        <v>32</v>
      </c>
      <c r="K269">
        <v>43</v>
      </c>
      <c r="L269" t="s">
        <v>33</v>
      </c>
      <c r="M269" t="s">
        <v>43</v>
      </c>
      <c r="N269" t="s">
        <v>194</v>
      </c>
      <c r="O269">
        <v>1144000</v>
      </c>
      <c r="P269">
        <v>95333.33</v>
      </c>
      <c r="Q269">
        <v>107</v>
      </c>
      <c r="R269" t="s">
        <v>55</v>
      </c>
      <c r="S269">
        <v>3.9</v>
      </c>
      <c r="T269">
        <v>38</v>
      </c>
      <c r="U269">
        <v>0</v>
      </c>
      <c r="V269">
        <v>1</v>
      </c>
      <c r="W269" t="s">
        <v>37</v>
      </c>
      <c r="X269">
        <v>3.3</v>
      </c>
      <c r="Y269">
        <v>2</v>
      </c>
      <c r="Z269">
        <v>3.4</v>
      </c>
    </row>
    <row r="270" spans="1:26">
      <c r="A270" t="s">
        <v>367</v>
      </c>
      <c r="B270" s="21">
        <v>45310</v>
      </c>
      <c r="C270" s="21"/>
      <c r="D270" t="s">
        <v>27</v>
      </c>
      <c r="E270">
        <v>0</v>
      </c>
      <c r="F270" t="s">
        <v>50</v>
      </c>
      <c r="G270" t="s">
        <v>91</v>
      </c>
      <c r="H270" t="s">
        <v>124</v>
      </c>
      <c r="I270" t="s">
        <v>31</v>
      </c>
      <c r="J270" t="s">
        <v>32</v>
      </c>
      <c r="K270">
        <v>52</v>
      </c>
      <c r="L270" t="s">
        <v>82</v>
      </c>
      <c r="M270" t="s">
        <v>65</v>
      </c>
      <c r="N270" t="s">
        <v>35</v>
      </c>
      <c r="O270">
        <v>1772000</v>
      </c>
      <c r="P270">
        <v>147666.67000000001</v>
      </c>
      <c r="Q270">
        <v>23</v>
      </c>
      <c r="R270" t="s">
        <v>36</v>
      </c>
      <c r="S270">
        <v>3.4</v>
      </c>
      <c r="T270">
        <v>3</v>
      </c>
      <c r="U270">
        <v>12</v>
      </c>
      <c r="V270">
        <v>5</v>
      </c>
      <c r="W270" t="s">
        <v>37</v>
      </c>
      <c r="X270">
        <v>4.0999999999999996</v>
      </c>
      <c r="Y270">
        <v>2</v>
      </c>
      <c r="Z270">
        <v>12.6</v>
      </c>
    </row>
    <row r="271" spans="1:26">
      <c r="A271" t="s">
        <v>368</v>
      </c>
      <c r="B271" s="21">
        <v>43984</v>
      </c>
      <c r="C271" s="21"/>
      <c r="D271" t="s">
        <v>27</v>
      </c>
      <c r="E271">
        <v>0</v>
      </c>
      <c r="F271" t="s">
        <v>46</v>
      </c>
      <c r="G271" t="s">
        <v>88</v>
      </c>
      <c r="H271" t="s">
        <v>162</v>
      </c>
      <c r="I271" t="s">
        <v>62</v>
      </c>
      <c r="J271" t="s">
        <v>54</v>
      </c>
      <c r="K271">
        <v>35</v>
      </c>
      <c r="L271" t="s">
        <v>33</v>
      </c>
      <c r="M271" t="s">
        <v>65</v>
      </c>
      <c r="N271" t="s">
        <v>194</v>
      </c>
      <c r="O271">
        <v>906000</v>
      </c>
      <c r="P271">
        <v>75500</v>
      </c>
      <c r="Q271">
        <v>66</v>
      </c>
      <c r="R271" t="s">
        <v>36</v>
      </c>
      <c r="S271">
        <v>2.6</v>
      </c>
      <c r="T271">
        <v>55</v>
      </c>
      <c r="U271">
        <v>4</v>
      </c>
      <c r="V271">
        <v>7</v>
      </c>
      <c r="W271" t="s">
        <v>44</v>
      </c>
      <c r="X271">
        <v>4.3</v>
      </c>
      <c r="Y271">
        <v>2</v>
      </c>
      <c r="Z271">
        <v>14.9</v>
      </c>
    </row>
    <row r="272" spans="1:26">
      <c r="A272" t="s">
        <v>369</v>
      </c>
      <c r="B272" s="21">
        <v>42932</v>
      </c>
      <c r="C272" s="21"/>
      <c r="D272" t="s">
        <v>27</v>
      </c>
      <c r="E272">
        <v>0</v>
      </c>
      <c r="F272" t="s">
        <v>50</v>
      </c>
      <c r="G272" t="s">
        <v>29</v>
      </c>
      <c r="H272" t="s">
        <v>124</v>
      </c>
      <c r="I272" t="s">
        <v>62</v>
      </c>
      <c r="J272" t="s">
        <v>54</v>
      </c>
      <c r="K272">
        <v>29</v>
      </c>
      <c r="L272" t="s">
        <v>130</v>
      </c>
      <c r="M272" t="s">
        <v>34</v>
      </c>
      <c r="N272" t="s">
        <v>35</v>
      </c>
      <c r="O272">
        <v>347000</v>
      </c>
      <c r="P272">
        <v>28916.67</v>
      </c>
      <c r="Q272">
        <v>101</v>
      </c>
      <c r="R272" t="s">
        <v>36</v>
      </c>
      <c r="S272">
        <v>2.9</v>
      </c>
      <c r="T272">
        <v>64</v>
      </c>
      <c r="U272">
        <v>0</v>
      </c>
      <c r="V272">
        <v>6</v>
      </c>
      <c r="W272" t="s">
        <v>37</v>
      </c>
      <c r="X272">
        <v>4.0999999999999996</v>
      </c>
      <c r="Y272">
        <v>4</v>
      </c>
      <c r="Z272">
        <v>15.5</v>
      </c>
    </row>
    <row r="273" spans="1:26">
      <c r="A273" t="s">
        <v>370</v>
      </c>
      <c r="B273" s="21">
        <v>44730</v>
      </c>
      <c r="C273" s="21"/>
      <c r="D273" t="s">
        <v>27</v>
      </c>
      <c r="E273">
        <v>0</v>
      </c>
      <c r="F273" t="s">
        <v>46</v>
      </c>
      <c r="G273" t="s">
        <v>91</v>
      </c>
      <c r="H273" t="s">
        <v>92</v>
      </c>
      <c r="I273" t="s">
        <v>53</v>
      </c>
      <c r="J273" t="s">
        <v>32</v>
      </c>
      <c r="K273">
        <v>33</v>
      </c>
      <c r="L273" t="s">
        <v>33</v>
      </c>
      <c r="M273" t="s">
        <v>43</v>
      </c>
      <c r="N273" t="s">
        <v>35</v>
      </c>
      <c r="O273">
        <v>1568000</v>
      </c>
      <c r="P273">
        <v>130666.67</v>
      </c>
      <c r="Q273">
        <v>42</v>
      </c>
      <c r="R273" t="s">
        <v>36</v>
      </c>
      <c r="S273">
        <v>5</v>
      </c>
      <c r="T273">
        <v>80</v>
      </c>
      <c r="U273">
        <v>0</v>
      </c>
      <c r="V273">
        <v>2</v>
      </c>
      <c r="W273" t="s">
        <v>44</v>
      </c>
      <c r="X273">
        <v>3.6</v>
      </c>
      <c r="Y273">
        <v>5</v>
      </c>
      <c r="Z273">
        <v>5.9</v>
      </c>
    </row>
    <row r="274" spans="1:26">
      <c r="A274" t="s">
        <v>371</v>
      </c>
      <c r="B274" s="21">
        <v>42689</v>
      </c>
      <c r="C274" s="21"/>
      <c r="D274" t="s">
        <v>27</v>
      </c>
      <c r="E274">
        <v>0</v>
      </c>
      <c r="F274" t="s">
        <v>39</v>
      </c>
      <c r="G274" t="s">
        <v>105</v>
      </c>
      <c r="H274" t="s">
        <v>40</v>
      </c>
      <c r="I274" t="s">
        <v>75</v>
      </c>
      <c r="J274" t="s">
        <v>54</v>
      </c>
      <c r="K274">
        <v>45</v>
      </c>
      <c r="L274" t="s">
        <v>130</v>
      </c>
      <c r="M274" t="s">
        <v>58</v>
      </c>
      <c r="N274" t="s">
        <v>35</v>
      </c>
      <c r="O274">
        <v>1845000</v>
      </c>
      <c r="P274">
        <v>153750</v>
      </c>
      <c r="Q274">
        <v>109</v>
      </c>
      <c r="R274" t="s">
        <v>36</v>
      </c>
      <c r="S274">
        <v>2.6</v>
      </c>
      <c r="T274">
        <v>72</v>
      </c>
      <c r="U274">
        <v>2</v>
      </c>
      <c r="V274">
        <v>2</v>
      </c>
      <c r="W274" t="s">
        <v>37</v>
      </c>
      <c r="X274">
        <v>4.5</v>
      </c>
      <c r="Y274">
        <v>3</v>
      </c>
      <c r="Z274">
        <v>9.4</v>
      </c>
    </row>
    <row r="275" spans="1:26">
      <c r="A275" t="s">
        <v>372</v>
      </c>
      <c r="B275" s="21">
        <v>44738</v>
      </c>
      <c r="C275" s="21"/>
      <c r="D275" t="s">
        <v>27</v>
      </c>
      <c r="E275">
        <v>0</v>
      </c>
      <c r="F275" t="s">
        <v>46</v>
      </c>
      <c r="G275" t="s">
        <v>51</v>
      </c>
      <c r="H275" t="s">
        <v>92</v>
      </c>
      <c r="I275" t="s">
        <v>75</v>
      </c>
      <c r="J275" t="s">
        <v>54</v>
      </c>
      <c r="K275">
        <v>41</v>
      </c>
      <c r="L275" t="s">
        <v>33</v>
      </c>
      <c r="M275" t="s">
        <v>65</v>
      </c>
      <c r="N275" t="s">
        <v>35</v>
      </c>
      <c r="O275">
        <v>863000</v>
      </c>
      <c r="P275">
        <v>71916.67</v>
      </c>
      <c r="Q275">
        <v>42</v>
      </c>
      <c r="R275" t="s">
        <v>36</v>
      </c>
      <c r="S275">
        <v>3.7</v>
      </c>
      <c r="T275">
        <v>19</v>
      </c>
      <c r="U275">
        <v>26</v>
      </c>
      <c r="V275">
        <v>4</v>
      </c>
      <c r="W275" t="s">
        <v>37</v>
      </c>
      <c r="X275">
        <v>4.4000000000000004</v>
      </c>
      <c r="Y275">
        <v>2</v>
      </c>
      <c r="Z275">
        <v>12.5</v>
      </c>
    </row>
    <row r="276" spans="1:26">
      <c r="A276" t="s">
        <v>373</v>
      </c>
      <c r="B276" s="21">
        <v>43088</v>
      </c>
      <c r="C276" s="21"/>
      <c r="D276" t="s">
        <v>27</v>
      </c>
      <c r="E276">
        <v>0</v>
      </c>
      <c r="F276" t="s">
        <v>98</v>
      </c>
      <c r="G276" t="s">
        <v>70</v>
      </c>
      <c r="H276" t="s">
        <v>352</v>
      </c>
      <c r="I276" t="s">
        <v>53</v>
      </c>
      <c r="J276" t="s">
        <v>54</v>
      </c>
      <c r="K276">
        <v>36</v>
      </c>
      <c r="L276" t="s">
        <v>33</v>
      </c>
      <c r="M276" t="s">
        <v>43</v>
      </c>
      <c r="N276" t="s">
        <v>35</v>
      </c>
      <c r="O276">
        <v>593000</v>
      </c>
      <c r="P276">
        <v>49416.67</v>
      </c>
      <c r="Q276">
        <v>96</v>
      </c>
      <c r="R276" t="s">
        <v>36</v>
      </c>
      <c r="S276">
        <v>4.7</v>
      </c>
      <c r="T276">
        <v>44</v>
      </c>
      <c r="U276">
        <v>0</v>
      </c>
      <c r="V276">
        <v>5</v>
      </c>
      <c r="W276" t="s">
        <v>37</v>
      </c>
      <c r="X276">
        <v>4</v>
      </c>
      <c r="Y276">
        <v>1</v>
      </c>
      <c r="Z276">
        <v>10.7</v>
      </c>
    </row>
    <row r="277" spans="1:26">
      <c r="A277" t="s">
        <v>374</v>
      </c>
      <c r="B277" s="21">
        <v>45726</v>
      </c>
      <c r="C277" s="21"/>
      <c r="D277" t="s">
        <v>27</v>
      </c>
      <c r="E277">
        <v>0</v>
      </c>
      <c r="F277" t="s">
        <v>67</v>
      </c>
      <c r="G277" t="s">
        <v>70</v>
      </c>
      <c r="H277" t="s">
        <v>68</v>
      </c>
      <c r="I277" t="s">
        <v>41</v>
      </c>
      <c r="J277" t="s">
        <v>54</v>
      </c>
      <c r="K277">
        <v>40</v>
      </c>
      <c r="L277" t="s">
        <v>42</v>
      </c>
      <c r="M277" t="s">
        <v>34</v>
      </c>
      <c r="N277" t="s">
        <v>35</v>
      </c>
      <c r="O277">
        <v>522000</v>
      </c>
      <c r="P277">
        <v>43500</v>
      </c>
      <c r="Q277">
        <v>9</v>
      </c>
      <c r="R277" t="s">
        <v>55</v>
      </c>
      <c r="S277">
        <v>3.8</v>
      </c>
      <c r="T277">
        <v>67</v>
      </c>
      <c r="U277">
        <v>6</v>
      </c>
      <c r="V277">
        <v>7</v>
      </c>
      <c r="W277" t="s">
        <v>37</v>
      </c>
      <c r="X277">
        <v>3</v>
      </c>
      <c r="Y277">
        <v>5</v>
      </c>
      <c r="Z277">
        <v>7.8</v>
      </c>
    </row>
    <row r="278" spans="1:26">
      <c r="A278" t="s">
        <v>375</v>
      </c>
      <c r="B278" s="21">
        <v>44546</v>
      </c>
      <c r="C278" s="21"/>
      <c r="D278" t="s">
        <v>27</v>
      </c>
      <c r="E278">
        <v>0</v>
      </c>
      <c r="F278" t="s">
        <v>98</v>
      </c>
      <c r="G278" t="s">
        <v>29</v>
      </c>
      <c r="H278" t="s">
        <v>212</v>
      </c>
      <c r="I278" t="s">
        <v>31</v>
      </c>
      <c r="J278" t="s">
        <v>32</v>
      </c>
      <c r="K278">
        <v>22</v>
      </c>
      <c r="L278" t="s">
        <v>42</v>
      </c>
      <c r="M278" t="s">
        <v>43</v>
      </c>
      <c r="N278" t="s">
        <v>35</v>
      </c>
      <c r="O278">
        <v>306000</v>
      </c>
      <c r="P278">
        <v>25500</v>
      </c>
      <c r="Q278">
        <v>48</v>
      </c>
      <c r="R278" t="s">
        <v>36</v>
      </c>
      <c r="S278">
        <v>2</v>
      </c>
      <c r="T278">
        <v>23</v>
      </c>
      <c r="U278">
        <v>0</v>
      </c>
      <c r="V278">
        <v>8</v>
      </c>
      <c r="W278" t="s">
        <v>37</v>
      </c>
      <c r="X278">
        <v>3.7</v>
      </c>
      <c r="Y278">
        <v>5</v>
      </c>
      <c r="Z278">
        <v>11.7</v>
      </c>
    </row>
    <row r="279" spans="1:26">
      <c r="A279" t="s">
        <v>376</v>
      </c>
      <c r="B279" s="21">
        <v>42404</v>
      </c>
      <c r="C279" s="21"/>
      <c r="D279" t="s">
        <v>27</v>
      </c>
      <c r="E279">
        <v>0</v>
      </c>
      <c r="F279" t="s">
        <v>73</v>
      </c>
      <c r="G279" t="s">
        <v>29</v>
      </c>
      <c r="H279" t="s">
        <v>74</v>
      </c>
      <c r="I279" t="s">
        <v>48</v>
      </c>
      <c r="J279" t="s">
        <v>32</v>
      </c>
      <c r="K279">
        <v>34</v>
      </c>
      <c r="L279" t="s">
        <v>42</v>
      </c>
      <c r="M279" t="s">
        <v>65</v>
      </c>
      <c r="N279" t="s">
        <v>35</v>
      </c>
      <c r="O279">
        <v>334000</v>
      </c>
      <c r="P279">
        <v>27833.33</v>
      </c>
      <c r="Q279">
        <v>118</v>
      </c>
      <c r="R279" t="s">
        <v>36</v>
      </c>
      <c r="S279">
        <v>3.4</v>
      </c>
      <c r="T279">
        <v>16</v>
      </c>
      <c r="U279">
        <v>15</v>
      </c>
      <c r="V279">
        <v>6</v>
      </c>
      <c r="W279" t="s">
        <v>37</v>
      </c>
      <c r="X279">
        <v>3.6</v>
      </c>
      <c r="Y279">
        <v>0</v>
      </c>
      <c r="Z279">
        <v>12.8</v>
      </c>
    </row>
    <row r="280" spans="1:26">
      <c r="A280" t="s">
        <v>377</v>
      </c>
      <c r="B280" s="21">
        <v>45023</v>
      </c>
      <c r="C280" s="21"/>
      <c r="D280" t="s">
        <v>27</v>
      </c>
      <c r="E280">
        <v>0</v>
      </c>
      <c r="F280" t="s">
        <v>73</v>
      </c>
      <c r="G280" t="s">
        <v>88</v>
      </c>
      <c r="H280" t="s">
        <v>126</v>
      </c>
      <c r="I280" t="s">
        <v>75</v>
      </c>
      <c r="J280" t="s">
        <v>54</v>
      </c>
      <c r="K280">
        <v>26</v>
      </c>
      <c r="L280" t="s">
        <v>130</v>
      </c>
      <c r="M280" t="s">
        <v>40</v>
      </c>
      <c r="N280" t="s">
        <v>35</v>
      </c>
      <c r="O280">
        <v>1065000</v>
      </c>
      <c r="P280">
        <v>88750</v>
      </c>
      <c r="Q280">
        <v>32</v>
      </c>
      <c r="R280" t="s">
        <v>36</v>
      </c>
      <c r="S280">
        <v>2.7</v>
      </c>
      <c r="T280">
        <v>42</v>
      </c>
      <c r="U280">
        <v>21</v>
      </c>
      <c r="V280">
        <v>1</v>
      </c>
      <c r="W280" t="s">
        <v>44</v>
      </c>
      <c r="X280">
        <v>4.5999999999999996</v>
      </c>
      <c r="Y280">
        <v>2</v>
      </c>
      <c r="Z280">
        <v>5.7</v>
      </c>
    </row>
    <row r="281" spans="1:26">
      <c r="A281" t="s">
        <v>378</v>
      </c>
      <c r="B281" s="21">
        <v>45699</v>
      </c>
      <c r="C281" s="21"/>
      <c r="D281" t="s">
        <v>27</v>
      </c>
      <c r="E281">
        <v>0</v>
      </c>
      <c r="F281" t="s">
        <v>50</v>
      </c>
      <c r="G281" t="s">
        <v>70</v>
      </c>
      <c r="H281" t="s">
        <v>89</v>
      </c>
      <c r="I281" t="s">
        <v>31</v>
      </c>
      <c r="J281" t="s">
        <v>54</v>
      </c>
      <c r="K281">
        <v>36</v>
      </c>
      <c r="L281" t="s">
        <v>130</v>
      </c>
      <c r="M281" t="s">
        <v>65</v>
      </c>
      <c r="N281" t="s">
        <v>35</v>
      </c>
      <c r="O281">
        <v>571000</v>
      </c>
      <c r="P281">
        <v>47583.33</v>
      </c>
      <c r="Q281">
        <v>10</v>
      </c>
      <c r="R281" t="s">
        <v>36</v>
      </c>
      <c r="S281">
        <v>4.4000000000000004</v>
      </c>
      <c r="T281">
        <v>57</v>
      </c>
      <c r="U281">
        <v>0</v>
      </c>
      <c r="V281">
        <v>5</v>
      </c>
      <c r="W281" t="s">
        <v>37</v>
      </c>
      <c r="X281">
        <v>3.3</v>
      </c>
      <c r="Y281">
        <v>3</v>
      </c>
      <c r="Z281">
        <v>9.1999999999999993</v>
      </c>
    </row>
    <row r="282" spans="1:26">
      <c r="A282" t="s">
        <v>379</v>
      </c>
      <c r="B282" s="21">
        <v>45044</v>
      </c>
      <c r="C282" s="21"/>
      <c r="D282" t="s">
        <v>27</v>
      </c>
      <c r="E282">
        <v>0</v>
      </c>
      <c r="F282" t="s">
        <v>67</v>
      </c>
      <c r="G282" t="s">
        <v>51</v>
      </c>
      <c r="H282" t="s">
        <v>80</v>
      </c>
      <c r="I282" t="s">
        <v>48</v>
      </c>
      <c r="J282" t="s">
        <v>54</v>
      </c>
      <c r="K282">
        <v>29</v>
      </c>
      <c r="L282" t="s">
        <v>33</v>
      </c>
      <c r="M282" t="s">
        <v>43</v>
      </c>
      <c r="N282" t="s">
        <v>35</v>
      </c>
      <c r="O282">
        <v>707000</v>
      </c>
      <c r="P282">
        <v>58916.67</v>
      </c>
      <c r="Q282">
        <v>32</v>
      </c>
      <c r="R282" t="s">
        <v>55</v>
      </c>
      <c r="S282">
        <v>2.1</v>
      </c>
      <c r="T282">
        <v>15</v>
      </c>
      <c r="U282">
        <v>8</v>
      </c>
      <c r="V282">
        <v>2</v>
      </c>
      <c r="W282" t="s">
        <v>37</v>
      </c>
      <c r="X282">
        <v>2.9</v>
      </c>
      <c r="Y282">
        <v>3</v>
      </c>
      <c r="Z282">
        <v>5.7</v>
      </c>
    </row>
    <row r="283" spans="1:26">
      <c r="A283" t="s">
        <v>380</v>
      </c>
      <c r="B283" s="21">
        <v>43840</v>
      </c>
      <c r="C283" s="21"/>
      <c r="D283" t="s">
        <v>27</v>
      </c>
      <c r="E283">
        <v>0</v>
      </c>
      <c r="F283" t="s">
        <v>28</v>
      </c>
      <c r="G283" t="s">
        <v>91</v>
      </c>
      <c r="H283" t="s">
        <v>30</v>
      </c>
      <c r="I283" t="s">
        <v>62</v>
      </c>
      <c r="J283" t="s">
        <v>32</v>
      </c>
      <c r="K283">
        <v>43</v>
      </c>
      <c r="L283" t="s">
        <v>82</v>
      </c>
      <c r="M283" t="s">
        <v>43</v>
      </c>
      <c r="N283" t="s">
        <v>35</v>
      </c>
      <c r="O283">
        <v>1325000</v>
      </c>
      <c r="P283">
        <v>110416.67</v>
      </c>
      <c r="Q283">
        <v>71</v>
      </c>
      <c r="R283" t="s">
        <v>36</v>
      </c>
      <c r="S283">
        <v>4.0999999999999996</v>
      </c>
      <c r="T283">
        <v>49</v>
      </c>
      <c r="U283">
        <v>37</v>
      </c>
      <c r="V283">
        <v>9</v>
      </c>
      <c r="W283" t="s">
        <v>37</v>
      </c>
      <c r="X283">
        <v>4.0999999999999996</v>
      </c>
      <c r="Y283">
        <v>3</v>
      </c>
      <c r="Z283">
        <v>4.5999999999999996</v>
      </c>
    </row>
    <row r="284" spans="1:26">
      <c r="A284" t="s">
        <v>381</v>
      </c>
      <c r="B284" s="21">
        <v>43841</v>
      </c>
      <c r="C284" s="21"/>
      <c r="D284" t="s">
        <v>27</v>
      </c>
      <c r="E284">
        <v>0</v>
      </c>
      <c r="F284" t="s">
        <v>60</v>
      </c>
      <c r="G284" t="s">
        <v>51</v>
      </c>
      <c r="H284" t="s">
        <v>109</v>
      </c>
      <c r="I284" t="s">
        <v>53</v>
      </c>
      <c r="J284" t="s">
        <v>32</v>
      </c>
      <c r="K284">
        <v>25</v>
      </c>
      <c r="L284" t="s">
        <v>42</v>
      </c>
      <c r="M284" t="s">
        <v>34</v>
      </c>
      <c r="N284" t="s">
        <v>93</v>
      </c>
      <c r="O284">
        <v>720000</v>
      </c>
      <c r="P284">
        <v>60000</v>
      </c>
      <c r="Q284">
        <v>71</v>
      </c>
      <c r="R284" t="s">
        <v>103</v>
      </c>
      <c r="S284">
        <v>3.6</v>
      </c>
      <c r="T284">
        <v>4</v>
      </c>
      <c r="U284">
        <v>7</v>
      </c>
      <c r="V284">
        <v>5</v>
      </c>
      <c r="W284" t="s">
        <v>44</v>
      </c>
      <c r="X284">
        <v>4.2</v>
      </c>
      <c r="Y284">
        <v>3</v>
      </c>
      <c r="Z284">
        <v>8.9</v>
      </c>
    </row>
    <row r="285" spans="1:26">
      <c r="A285" t="s">
        <v>382</v>
      </c>
      <c r="B285" s="21">
        <v>45323</v>
      </c>
      <c r="C285" s="21"/>
      <c r="D285" t="s">
        <v>27</v>
      </c>
      <c r="E285">
        <v>0</v>
      </c>
      <c r="F285" t="s">
        <v>73</v>
      </c>
      <c r="G285" t="s">
        <v>70</v>
      </c>
      <c r="H285" t="s">
        <v>74</v>
      </c>
      <c r="I285" t="s">
        <v>53</v>
      </c>
      <c r="J285" t="s">
        <v>32</v>
      </c>
      <c r="K285">
        <v>40</v>
      </c>
      <c r="L285" t="s">
        <v>33</v>
      </c>
      <c r="M285" t="s">
        <v>58</v>
      </c>
      <c r="N285" t="s">
        <v>35</v>
      </c>
      <c r="O285">
        <v>483000</v>
      </c>
      <c r="P285">
        <v>40250</v>
      </c>
      <c r="Q285">
        <v>22</v>
      </c>
      <c r="R285" t="s">
        <v>55</v>
      </c>
      <c r="S285">
        <v>3.6</v>
      </c>
      <c r="T285">
        <v>16</v>
      </c>
      <c r="U285">
        <v>16</v>
      </c>
      <c r="V285">
        <v>0</v>
      </c>
      <c r="W285" t="s">
        <v>37</v>
      </c>
      <c r="X285">
        <v>4</v>
      </c>
      <c r="Y285">
        <v>4</v>
      </c>
      <c r="Z285">
        <v>6.6</v>
      </c>
    </row>
    <row r="286" spans="1:26">
      <c r="A286" t="s">
        <v>383</v>
      </c>
      <c r="B286" s="21">
        <v>43628</v>
      </c>
      <c r="C286" s="21"/>
      <c r="D286" t="s">
        <v>27</v>
      </c>
      <c r="E286">
        <v>0</v>
      </c>
      <c r="F286" t="s">
        <v>67</v>
      </c>
      <c r="G286" t="s">
        <v>51</v>
      </c>
      <c r="H286" t="s">
        <v>68</v>
      </c>
      <c r="I286" t="s">
        <v>75</v>
      </c>
      <c r="J286" t="s">
        <v>32</v>
      </c>
      <c r="K286">
        <v>41</v>
      </c>
      <c r="L286" t="s">
        <v>82</v>
      </c>
      <c r="M286" t="s">
        <v>43</v>
      </c>
      <c r="N286" t="s">
        <v>35</v>
      </c>
      <c r="O286">
        <v>921000</v>
      </c>
      <c r="P286">
        <v>76750</v>
      </c>
      <c r="Q286">
        <v>78</v>
      </c>
      <c r="R286" t="s">
        <v>55</v>
      </c>
      <c r="S286">
        <v>3.2</v>
      </c>
      <c r="T286">
        <v>73</v>
      </c>
      <c r="U286">
        <v>0</v>
      </c>
      <c r="V286">
        <v>0</v>
      </c>
      <c r="W286" t="s">
        <v>44</v>
      </c>
      <c r="X286">
        <v>4.4000000000000004</v>
      </c>
      <c r="Y286">
        <v>4</v>
      </c>
      <c r="Z286">
        <v>14.3</v>
      </c>
    </row>
    <row r="287" spans="1:26">
      <c r="A287" t="s">
        <v>384</v>
      </c>
      <c r="B287" s="21">
        <v>45618</v>
      </c>
      <c r="C287" s="21"/>
      <c r="D287" t="s">
        <v>27</v>
      </c>
      <c r="E287">
        <v>0</v>
      </c>
      <c r="F287" t="s">
        <v>28</v>
      </c>
      <c r="G287" t="s">
        <v>70</v>
      </c>
      <c r="H287" t="s">
        <v>30</v>
      </c>
      <c r="I287" t="s">
        <v>62</v>
      </c>
      <c r="J287" t="s">
        <v>54</v>
      </c>
      <c r="K287">
        <v>37</v>
      </c>
      <c r="L287" t="s">
        <v>42</v>
      </c>
      <c r="M287" t="s">
        <v>43</v>
      </c>
      <c r="N287" t="s">
        <v>35</v>
      </c>
      <c r="O287">
        <v>637000</v>
      </c>
      <c r="P287">
        <v>53083.33</v>
      </c>
      <c r="Q287">
        <v>13</v>
      </c>
      <c r="R287" t="s">
        <v>55</v>
      </c>
      <c r="S287">
        <v>3.7</v>
      </c>
      <c r="T287">
        <v>2</v>
      </c>
      <c r="U287">
        <v>13</v>
      </c>
      <c r="V287">
        <v>6</v>
      </c>
      <c r="W287" t="s">
        <v>37</v>
      </c>
      <c r="X287">
        <v>4</v>
      </c>
      <c r="Y287">
        <v>1</v>
      </c>
      <c r="Z287">
        <v>14</v>
      </c>
    </row>
    <row r="288" spans="1:26">
      <c r="A288" t="s">
        <v>385</v>
      </c>
      <c r="B288" s="21">
        <v>42399</v>
      </c>
      <c r="C288" s="21"/>
      <c r="D288" t="s">
        <v>27</v>
      </c>
      <c r="E288">
        <v>0</v>
      </c>
      <c r="F288" t="s">
        <v>60</v>
      </c>
      <c r="G288" t="s">
        <v>29</v>
      </c>
      <c r="H288" t="s">
        <v>109</v>
      </c>
      <c r="I288" t="s">
        <v>53</v>
      </c>
      <c r="J288" t="s">
        <v>54</v>
      </c>
      <c r="K288">
        <v>35</v>
      </c>
      <c r="L288" t="s">
        <v>33</v>
      </c>
      <c r="M288" t="s">
        <v>43</v>
      </c>
      <c r="N288" t="s">
        <v>35</v>
      </c>
      <c r="O288">
        <v>374000</v>
      </c>
      <c r="P288">
        <v>31166.67</v>
      </c>
      <c r="Q288">
        <v>119</v>
      </c>
      <c r="R288" t="s">
        <v>55</v>
      </c>
      <c r="S288">
        <v>3.8</v>
      </c>
      <c r="T288">
        <v>63</v>
      </c>
      <c r="U288">
        <v>2</v>
      </c>
      <c r="V288">
        <v>0</v>
      </c>
      <c r="W288" t="s">
        <v>37</v>
      </c>
      <c r="X288">
        <v>3.9</v>
      </c>
      <c r="Y288">
        <v>1</v>
      </c>
      <c r="Z288">
        <v>1</v>
      </c>
    </row>
    <row r="289" spans="1:26">
      <c r="A289" t="s">
        <v>386</v>
      </c>
      <c r="B289" s="21">
        <v>45755</v>
      </c>
      <c r="C289" s="21"/>
      <c r="D289" t="s">
        <v>27</v>
      </c>
      <c r="E289">
        <v>0</v>
      </c>
      <c r="F289" t="s">
        <v>28</v>
      </c>
      <c r="G289" t="s">
        <v>29</v>
      </c>
      <c r="H289" t="s">
        <v>64</v>
      </c>
      <c r="I289" t="s">
        <v>31</v>
      </c>
      <c r="J289" t="s">
        <v>54</v>
      </c>
      <c r="K289">
        <v>35</v>
      </c>
      <c r="L289" t="s">
        <v>130</v>
      </c>
      <c r="M289" t="s">
        <v>65</v>
      </c>
      <c r="N289" t="s">
        <v>35</v>
      </c>
      <c r="O289">
        <v>404000</v>
      </c>
      <c r="P289">
        <v>33666.67</v>
      </c>
      <c r="Q289">
        <v>8</v>
      </c>
      <c r="R289" t="s">
        <v>36</v>
      </c>
      <c r="S289">
        <v>2.8</v>
      </c>
      <c r="T289">
        <v>60</v>
      </c>
      <c r="U289">
        <v>17</v>
      </c>
      <c r="V289">
        <v>5</v>
      </c>
      <c r="W289" t="s">
        <v>44</v>
      </c>
      <c r="X289">
        <v>4.2</v>
      </c>
      <c r="Y289">
        <v>4</v>
      </c>
      <c r="Z289">
        <v>12.2</v>
      </c>
    </row>
    <row r="290" spans="1:26">
      <c r="A290" t="s">
        <v>387</v>
      </c>
      <c r="B290" s="21">
        <v>42546</v>
      </c>
      <c r="C290" s="21"/>
      <c r="D290" t="s">
        <v>27</v>
      </c>
      <c r="E290">
        <v>0</v>
      </c>
      <c r="F290" t="s">
        <v>73</v>
      </c>
      <c r="G290" t="s">
        <v>29</v>
      </c>
      <c r="H290" t="s">
        <v>118</v>
      </c>
      <c r="I290" t="s">
        <v>53</v>
      </c>
      <c r="J290" t="s">
        <v>32</v>
      </c>
      <c r="K290">
        <v>40</v>
      </c>
      <c r="L290" t="s">
        <v>130</v>
      </c>
      <c r="M290" t="s">
        <v>34</v>
      </c>
      <c r="N290" t="s">
        <v>35</v>
      </c>
      <c r="O290">
        <v>397000</v>
      </c>
      <c r="P290">
        <v>33083.33</v>
      </c>
      <c r="Q290">
        <v>114</v>
      </c>
      <c r="R290" t="s">
        <v>55</v>
      </c>
      <c r="S290">
        <v>3.8</v>
      </c>
      <c r="T290">
        <v>74</v>
      </c>
      <c r="U290">
        <v>13</v>
      </c>
      <c r="V290">
        <v>7</v>
      </c>
      <c r="W290" t="s">
        <v>37</v>
      </c>
      <c r="X290">
        <v>3.4</v>
      </c>
      <c r="Y290">
        <v>0</v>
      </c>
      <c r="Z290">
        <v>9.8000000000000007</v>
      </c>
    </row>
    <row r="291" spans="1:26">
      <c r="A291" t="s">
        <v>388</v>
      </c>
      <c r="B291" s="21">
        <v>45142</v>
      </c>
      <c r="C291" s="21"/>
      <c r="D291" t="s">
        <v>27</v>
      </c>
      <c r="E291">
        <v>0</v>
      </c>
      <c r="F291" t="s">
        <v>73</v>
      </c>
      <c r="G291" t="s">
        <v>70</v>
      </c>
      <c r="H291" t="s">
        <v>102</v>
      </c>
      <c r="I291" t="s">
        <v>62</v>
      </c>
      <c r="J291" t="s">
        <v>54</v>
      </c>
      <c r="K291">
        <v>41</v>
      </c>
      <c r="L291" t="s">
        <v>33</v>
      </c>
      <c r="M291" t="s">
        <v>65</v>
      </c>
      <c r="N291" t="s">
        <v>35</v>
      </c>
      <c r="O291">
        <v>576000</v>
      </c>
      <c r="P291">
        <v>48000</v>
      </c>
      <c r="Q291">
        <v>28</v>
      </c>
      <c r="R291" t="s">
        <v>36</v>
      </c>
      <c r="S291">
        <v>3.2</v>
      </c>
      <c r="T291">
        <v>58</v>
      </c>
      <c r="U291">
        <v>16</v>
      </c>
      <c r="V291">
        <v>6</v>
      </c>
      <c r="W291" t="s">
        <v>37</v>
      </c>
      <c r="X291">
        <v>4.2</v>
      </c>
      <c r="Y291">
        <v>0</v>
      </c>
      <c r="Z291">
        <v>21</v>
      </c>
    </row>
    <row r="292" spans="1:26">
      <c r="A292" t="s">
        <v>389</v>
      </c>
      <c r="B292" s="21">
        <v>43474</v>
      </c>
      <c r="C292" s="21"/>
      <c r="D292" t="s">
        <v>27</v>
      </c>
      <c r="E292">
        <v>0</v>
      </c>
      <c r="F292" t="s">
        <v>98</v>
      </c>
      <c r="G292" t="s">
        <v>51</v>
      </c>
      <c r="H292" t="s">
        <v>212</v>
      </c>
      <c r="I292" t="s">
        <v>31</v>
      </c>
      <c r="J292" t="s">
        <v>149</v>
      </c>
      <c r="K292">
        <v>41</v>
      </c>
      <c r="L292" t="s">
        <v>42</v>
      </c>
      <c r="M292" t="s">
        <v>43</v>
      </c>
      <c r="N292" t="s">
        <v>35</v>
      </c>
      <c r="O292">
        <v>764000</v>
      </c>
      <c r="P292">
        <v>63666.67</v>
      </c>
      <c r="Q292">
        <v>83</v>
      </c>
      <c r="R292" t="s">
        <v>55</v>
      </c>
      <c r="S292">
        <v>3.9</v>
      </c>
      <c r="T292">
        <v>29</v>
      </c>
      <c r="U292">
        <v>11</v>
      </c>
      <c r="V292">
        <v>3</v>
      </c>
      <c r="W292" t="s">
        <v>44</v>
      </c>
      <c r="X292">
        <v>3.3</v>
      </c>
      <c r="Y292">
        <v>2</v>
      </c>
      <c r="Z292">
        <v>9.9</v>
      </c>
    </row>
    <row r="293" spans="1:26">
      <c r="A293" t="s">
        <v>390</v>
      </c>
      <c r="B293" s="21">
        <v>44373</v>
      </c>
      <c r="C293" s="21"/>
      <c r="D293" t="s">
        <v>27</v>
      </c>
      <c r="E293">
        <v>0</v>
      </c>
      <c r="F293" t="s">
        <v>67</v>
      </c>
      <c r="G293" t="s">
        <v>88</v>
      </c>
      <c r="H293" t="s">
        <v>95</v>
      </c>
      <c r="I293" t="s">
        <v>48</v>
      </c>
      <c r="J293" t="s">
        <v>32</v>
      </c>
      <c r="K293">
        <v>46</v>
      </c>
      <c r="L293" t="s">
        <v>33</v>
      </c>
      <c r="M293" t="s">
        <v>65</v>
      </c>
      <c r="N293" t="s">
        <v>93</v>
      </c>
      <c r="O293">
        <v>1299000</v>
      </c>
      <c r="P293">
        <v>108250</v>
      </c>
      <c r="Q293">
        <v>54</v>
      </c>
      <c r="R293" t="s">
        <v>36</v>
      </c>
      <c r="S293">
        <v>3.1</v>
      </c>
      <c r="T293">
        <v>64</v>
      </c>
      <c r="U293">
        <v>3</v>
      </c>
      <c r="V293">
        <v>5</v>
      </c>
      <c r="W293" t="s">
        <v>44</v>
      </c>
      <c r="X293">
        <v>4.0999999999999996</v>
      </c>
      <c r="Y293">
        <v>3</v>
      </c>
      <c r="Z293">
        <v>5.8</v>
      </c>
    </row>
    <row r="294" spans="1:26">
      <c r="A294" t="s">
        <v>391</v>
      </c>
      <c r="B294" s="21">
        <v>44333</v>
      </c>
      <c r="C294" s="21">
        <v>45028</v>
      </c>
      <c r="D294" t="s">
        <v>57</v>
      </c>
      <c r="E294">
        <v>1</v>
      </c>
      <c r="F294" t="s">
        <v>67</v>
      </c>
      <c r="G294" t="s">
        <v>51</v>
      </c>
      <c r="H294" t="s">
        <v>80</v>
      </c>
      <c r="I294" t="s">
        <v>41</v>
      </c>
      <c r="J294" t="s">
        <v>54</v>
      </c>
      <c r="K294">
        <v>43</v>
      </c>
      <c r="L294" t="s">
        <v>33</v>
      </c>
      <c r="M294" t="s">
        <v>78</v>
      </c>
      <c r="N294" t="s">
        <v>35</v>
      </c>
      <c r="O294">
        <v>761000</v>
      </c>
      <c r="P294">
        <v>63416.67</v>
      </c>
      <c r="Q294">
        <v>23</v>
      </c>
      <c r="R294" t="s">
        <v>55</v>
      </c>
      <c r="S294">
        <v>2.4</v>
      </c>
      <c r="T294">
        <v>74</v>
      </c>
      <c r="U294">
        <v>19</v>
      </c>
      <c r="V294">
        <v>7</v>
      </c>
      <c r="W294" t="s">
        <v>44</v>
      </c>
      <c r="X294">
        <v>3.4</v>
      </c>
      <c r="Y294">
        <v>1</v>
      </c>
      <c r="Z294">
        <v>3.3</v>
      </c>
    </row>
    <row r="295" spans="1:26">
      <c r="A295" t="s">
        <v>392</v>
      </c>
      <c r="B295" s="21">
        <v>45531</v>
      </c>
      <c r="C295" s="21"/>
      <c r="D295" t="s">
        <v>27</v>
      </c>
      <c r="E295">
        <v>0</v>
      </c>
      <c r="F295" t="s">
        <v>67</v>
      </c>
      <c r="G295" t="s">
        <v>51</v>
      </c>
      <c r="H295" t="s">
        <v>80</v>
      </c>
      <c r="I295" t="s">
        <v>75</v>
      </c>
      <c r="J295" t="s">
        <v>54</v>
      </c>
      <c r="K295">
        <v>47</v>
      </c>
      <c r="L295" t="s">
        <v>33</v>
      </c>
      <c r="M295" t="s">
        <v>58</v>
      </c>
      <c r="N295" t="s">
        <v>35</v>
      </c>
      <c r="O295">
        <v>820000</v>
      </c>
      <c r="P295">
        <v>68333.33</v>
      </c>
      <c r="Q295">
        <v>16</v>
      </c>
      <c r="R295" t="s">
        <v>55</v>
      </c>
      <c r="S295">
        <v>4.5</v>
      </c>
      <c r="T295">
        <v>26</v>
      </c>
      <c r="U295">
        <v>18</v>
      </c>
      <c r="V295">
        <v>12</v>
      </c>
      <c r="W295" t="s">
        <v>37</v>
      </c>
      <c r="X295">
        <v>4.7</v>
      </c>
      <c r="Y295">
        <v>3</v>
      </c>
      <c r="Z295">
        <v>9.1</v>
      </c>
    </row>
    <row r="296" spans="1:26">
      <c r="A296" t="s">
        <v>393</v>
      </c>
      <c r="B296" s="21">
        <v>45977</v>
      </c>
      <c r="C296" s="21"/>
      <c r="D296" t="s">
        <v>27</v>
      </c>
      <c r="E296">
        <v>0</v>
      </c>
      <c r="F296" t="s">
        <v>39</v>
      </c>
      <c r="G296" t="s">
        <v>29</v>
      </c>
      <c r="H296" t="s">
        <v>204</v>
      </c>
      <c r="I296" t="s">
        <v>31</v>
      </c>
      <c r="J296" t="s">
        <v>54</v>
      </c>
      <c r="K296">
        <v>25</v>
      </c>
      <c r="L296" t="s">
        <v>42</v>
      </c>
      <c r="M296" t="s">
        <v>65</v>
      </c>
      <c r="N296" t="s">
        <v>93</v>
      </c>
      <c r="O296">
        <v>284000</v>
      </c>
      <c r="P296">
        <v>23666.67</v>
      </c>
      <c r="Q296">
        <v>1</v>
      </c>
      <c r="R296" t="s">
        <v>103</v>
      </c>
      <c r="S296">
        <v>5</v>
      </c>
      <c r="T296">
        <v>30</v>
      </c>
      <c r="U296">
        <v>0</v>
      </c>
      <c r="V296">
        <v>4</v>
      </c>
      <c r="W296" t="s">
        <v>37</v>
      </c>
      <c r="X296">
        <v>3.1</v>
      </c>
      <c r="Y296">
        <v>0</v>
      </c>
      <c r="Z296">
        <v>13.5</v>
      </c>
    </row>
    <row r="297" spans="1:26">
      <c r="A297" t="s">
        <v>394</v>
      </c>
      <c r="B297" s="21">
        <v>45390</v>
      </c>
      <c r="C297" s="21"/>
      <c r="D297" t="s">
        <v>27</v>
      </c>
      <c r="E297">
        <v>0</v>
      </c>
      <c r="F297" t="s">
        <v>28</v>
      </c>
      <c r="G297" t="s">
        <v>51</v>
      </c>
      <c r="H297" t="s">
        <v>121</v>
      </c>
      <c r="I297" t="s">
        <v>75</v>
      </c>
      <c r="J297" t="s">
        <v>54</v>
      </c>
      <c r="K297">
        <v>48</v>
      </c>
      <c r="L297" t="s">
        <v>33</v>
      </c>
      <c r="M297" t="s">
        <v>40</v>
      </c>
      <c r="N297" t="s">
        <v>35</v>
      </c>
      <c r="O297">
        <v>742000</v>
      </c>
      <c r="P297">
        <v>61833.33</v>
      </c>
      <c r="Q297">
        <v>20</v>
      </c>
      <c r="R297" t="s">
        <v>36</v>
      </c>
      <c r="S297">
        <v>3.1</v>
      </c>
      <c r="T297">
        <v>68</v>
      </c>
      <c r="U297">
        <v>17</v>
      </c>
      <c r="V297">
        <v>4</v>
      </c>
      <c r="W297" t="s">
        <v>37</v>
      </c>
      <c r="X297">
        <v>3.4</v>
      </c>
      <c r="Y297">
        <v>5</v>
      </c>
      <c r="Z297">
        <v>12.8</v>
      </c>
    </row>
    <row r="298" spans="1:26">
      <c r="A298" t="s">
        <v>395</v>
      </c>
      <c r="B298" s="21">
        <v>43567</v>
      </c>
      <c r="C298" s="21"/>
      <c r="D298" t="s">
        <v>27</v>
      </c>
      <c r="E298">
        <v>0</v>
      </c>
      <c r="F298" t="s">
        <v>98</v>
      </c>
      <c r="G298" t="s">
        <v>51</v>
      </c>
      <c r="H298" t="s">
        <v>106</v>
      </c>
      <c r="I298" t="s">
        <v>41</v>
      </c>
      <c r="J298" t="s">
        <v>54</v>
      </c>
      <c r="K298">
        <v>33</v>
      </c>
      <c r="L298" t="s">
        <v>33</v>
      </c>
      <c r="M298" t="s">
        <v>43</v>
      </c>
      <c r="N298" t="s">
        <v>35</v>
      </c>
      <c r="O298">
        <v>890000</v>
      </c>
      <c r="P298">
        <v>74166.67</v>
      </c>
      <c r="Q298">
        <v>80</v>
      </c>
      <c r="R298" t="s">
        <v>55</v>
      </c>
      <c r="S298">
        <v>3.7</v>
      </c>
      <c r="T298">
        <v>26</v>
      </c>
      <c r="U298">
        <v>6</v>
      </c>
      <c r="V298">
        <v>0</v>
      </c>
      <c r="W298" t="s">
        <v>37</v>
      </c>
      <c r="X298">
        <v>4.2</v>
      </c>
      <c r="Y298">
        <v>0</v>
      </c>
      <c r="Z298">
        <v>20.5</v>
      </c>
    </row>
    <row r="299" spans="1:26">
      <c r="A299" t="s">
        <v>396</v>
      </c>
      <c r="B299" s="21">
        <v>43570</v>
      </c>
      <c r="C299" s="21"/>
      <c r="D299" t="s">
        <v>27</v>
      </c>
      <c r="E299">
        <v>0</v>
      </c>
      <c r="F299" t="s">
        <v>28</v>
      </c>
      <c r="G299" t="s">
        <v>51</v>
      </c>
      <c r="H299" t="s">
        <v>64</v>
      </c>
      <c r="I299" t="s">
        <v>31</v>
      </c>
      <c r="J299" t="s">
        <v>54</v>
      </c>
      <c r="K299">
        <v>30</v>
      </c>
      <c r="L299" t="s">
        <v>33</v>
      </c>
      <c r="M299" t="s">
        <v>43</v>
      </c>
      <c r="N299" t="s">
        <v>35</v>
      </c>
      <c r="O299">
        <v>662000</v>
      </c>
      <c r="P299">
        <v>55166.67</v>
      </c>
      <c r="Q299">
        <v>80</v>
      </c>
      <c r="R299" t="s">
        <v>55</v>
      </c>
      <c r="S299">
        <v>4.0999999999999996</v>
      </c>
      <c r="T299">
        <v>62</v>
      </c>
      <c r="U299">
        <v>20</v>
      </c>
      <c r="V299">
        <v>3</v>
      </c>
      <c r="W299" t="s">
        <v>37</v>
      </c>
      <c r="X299">
        <v>4.0999999999999996</v>
      </c>
      <c r="Y299">
        <v>0</v>
      </c>
      <c r="Z299">
        <v>9.5</v>
      </c>
    </row>
    <row r="300" spans="1:26">
      <c r="A300" t="s">
        <v>397</v>
      </c>
      <c r="B300" s="21">
        <v>45818</v>
      </c>
      <c r="C300" s="21"/>
      <c r="D300" t="s">
        <v>27</v>
      </c>
      <c r="E300">
        <v>0</v>
      </c>
      <c r="F300" t="s">
        <v>28</v>
      </c>
      <c r="G300" t="s">
        <v>88</v>
      </c>
      <c r="H300" t="s">
        <v>121</v>
      </c>
      <c r="I300" t="s">
        <v>75</v>
      </c>
      <c r="J300" t="s">
        <v>54</v>
      </c>
      <c r="K300">
        <v>35</v>
      </c>
      <c r="L300" t="s">
        <v>33</v>
      </c>
      <c r="M300" t="s">
        <v>58</v>
      </c>
      <c r="N300" t="s">
        <v>35</v>
      </c>
      <c r="O300">
        <v>861000</v>
      </c>
      <c r="P300">
        <v>71750</v>
      </c>
      <c r="Q300">
        <v>6</v>
      </c>
      <c r="R300" t="s">
        <v>55</v>
      </c>
      <c r="S300">
        <v>3.2</v>
      </c>
      <c r="T300">
        <v>36</v>
      </c>
      <c r="U300">
        <v>0</v>
      </c>
      <c r="V300">
        <v>1</v>
      </c>
      <c r="W300" t="s">
        <v>37</v>
      </c>
      <c r="X300">
        <v>3.8</v>
      </c>
      <c r="Y300">
        <v>2</v>
      </c>
      <c r="Z300">
        <v>14.7</v>
      </c>
    </row>
    <row r="301" spans="1:26">
      <c r="A301" t="s">
        <v>398</v>
      </c>
      <c r="B301" s="21">
        <v>45270</v>
      </c>
      <c r="C301" s="21"/>
      <c r="D301" t="s">
        <v>27</v>
      </c>
      <c r="E301">
        <v>0</v>
      </c>
      <c r="F301" t="s">
        <v>46</v>
      </c>
      <c r="G301" t="s">
        <v>70</v>
      </c>
      <c r="H301" t="s">
        <v>92</v>
      </c>
      <c r="I301" t="s">
        <v>75</v>
      </c>
      <c r="J301" t="s">
        <v>54</v>
      </c>
      <c r="K301">
        <v>33</v>
      </c>
      <c r="L301" t="s">
        <v>33</v>
      </c>
      <c r="M301" t="s">
        <v>58</v>
      </c>
      <c r="N301" t="s">
        <v>35</v>
      </c>
      <c r="O301">
        <v>562000</v>
      </c>
      <c r="P301">
        <v>46833.33</v>
      </c>
      <c r="Q301">
        <v>24</v>
      </c>
      <c r="R301" t="s">
        <v>36</v>
      </c>
      <c r="S301">
        <v>2.4</v>
      </c>
      <c r="T301">
        <v>15</v>
      </c>
      <c r="U301">
        <v>15</v>
      </c>
      <c r="V301">
        <v>7</v>
      </c>
      <c r="W301" t="s">
        <v>44</v>
      </c>
      <c r="X301">
        <v>4.0999999999999996</v>
      </c>
      <c r="Y301">
        <v>1</v>
      </c>
      <c r="Z301">
        <v>12.3</v>
      </c>
    </row>
    <row r="302" spans="1:26">
      <c r="A302" t="s">
        <v>399</v>
      </c>
      <c r="B302" s="21">
        <v>44415</v>
      </c>
      <c r="C302" s="21"/>
      <c r="D302" t="s">
        <v>27</v>
      </c>
      <c r="E302">
        <v>0</v>
      </c>
      <c r="F302" t="s">
        <v>50</v>
      </c>
      <c r="G302" t="s">
        <v>51</v>
      </c>
      <c r="H302" t="s">
        <v>52</v>
      </c>
      <c r="I302" t="s">
        <v>31</v>
      </c>
      <c r="J302" t="s">
        <v>54</v>
      </c>
      <c r="K302">
        <v>41</v>
      </c>
      <c r="L302" t="s">
        <v>33</v>
      </c>
      <c r="M302" t="s">
        <v>40</v>
      </c>
      <c r="N302" t="s">
        <v>35</v>
      </c>
      <c r="O302">
        <v>762000</v>
      </c>
      <c r="P302">
        <v>63500</v>
      </c>
      <c r="Q302">
        <v>52</v>
      </c>
      <c r="R302" t="s">
        <v>36</v>
      </c>
      <c r="S302">
        <v>1.6</v>
      </c>
      <c r="T302">
        <v>14</v>
      </c>
      <c r="U302">
        <v>16</v>
      </c>
      <c r="V302">
        <v>3</v>
      </c>
      <c r="W302" t="s">
        <v>37</v>
      </c>
      <c r="X302">
        <v>2.7</v>
      </c>
      <c r="Y302">
        <v>2</v>
      </c>
      <c r="Z302">
        <v>8.6</v>
      </c>
    </row>
    <row r="303" spans="1:26">
      <c r="A303" t="s">
        <v>400</v>
      </c>
      <c r="B303" s="21">
        <v>42941</v>
      </c>
      <c r="C303" s="21"/>
      <c r="D303" t="s">
        <v>27</v>
      </c>
      <c r="E303">
        <v>0</v>
      </c>
      <c r="F303" t="s">
        <v>39</v>
      </c>
      <c r="G303" t="s">
        <v>91</v>
      </c>
      <c r="H303" t="s">
        <v>40</v>
      </c>
      <c r="I303" t="s">
        <v>62</v>
      </c>
      <c r="J303" t="s">
        <v>54</v>
      </c>
      <c r="K303">
        <v>44</v>
      </c>
      <c r="L303" t="s">
        <v>33</v>
      </c>
      <c r="M303" t="s">
        <v>34</v>
      </c>
      <c r="N303" t="s">
        <v>35</v>
      </c>
      <c r="O303">
        <v>1295000</v>
      </c>
      <c r="P303">
        <v>107916.67</v>
      </c>
      <c r="Q303">
        <v>101</v>
      </c>
      <c r="R303" t="s">
        <v>36</v>
      </c>
      <c r="S303">
        <v>3.1</v>
      </c>
      <c r="T303">
        <v>11</v>
      </c>
      <c r="U303">
        <v>22</v>
      </c>
      <c r="V303">
        <v>5</v>
      </c>
      <c r="W303" t="s">
        <v>44</v>
      </c>
      <c r="X303">
        <v>3.3</v>
      </c>
      <c r="Y303">
        <v>1</v>
      </c>
      <c r="Z303">
        <v>16.3</v>
      </c>
    </row>
    <row r="304" spans="1:26">
      <c r="A304" t="s">
        <v>401</v>
      </c>
      <c r="B304" s="21">
        <v>44378</v>
      </c>
      <c r="C304" s="21">
        <v>45174</v>
      </c>
      <c r="D304" t="s">
        <v>57</v>
      </c>
      <c r="E304">
        <v>1</v>
      </c>
      <c r="F304" t="s">
        <v>50</v>
      </c>
      <c r="G304" t="s">
        <v>51</v>
      </c>
      <c r="H304" t="s">
        <v>89</v>
      </c>
      <c r="I304" t="s">
        <v>48</v>
      </c>
      <c r="J304" t="s">
        <v>54</v>
      </c>
      <c r="K304">
        <v>36</v>
      </c>
      <c r="L304" t="s">
        <v>42</v>
      </c>
      <c r="M304" t="s">
        <v>34</v>
      </c>
      <c r="N304" t="s">
        <v>93</v>
      </c>
      <c r="O304">
        <v>744000</v>
      </c>
      <c r="P304">
        <v>62000</v>
      </c>
      <c r="Q304">
        <v>26</v>
      </c>
      <c r="R304" t="s">
        <v>36</v>
      </c>
      <c r="S304">
        <v>4.5</v>
      </c>
      <c r="T304">
        <v>56</v>
      </c>
      <c r="U304">
        <v>28</v>
      </c>
      <c r="V304">
        <v>1</v>
      </c>
      <c r="W304" t="s">
        <v>37</v>
      </c>
      <c r="X304">
        <v>4.0999999999999996</v>
      </c>
      <c r="Y304">
        <v>2</v>
      </c>
      <c r="Z304">
        <v>4.4000000000000004</v>
      </c>
    </row>
    <row r="305" spans="1:26">
      <c r="A305" t="s">
        <v>402</v>
      </c>
      <c r="B305" s="21">
        <v>44106</v>
      </c>
      <c r="C305" s="21">
        <v>45405</v>
      </c>
      <c r="D305" t="s">
        <v>57</v>
      </c>
      <c r="E305">
        <v>1</v>
      </c>
      <c r="F305" t="s">
        <v>73</v>
      </c>
      <c r="G305" t="s">
        <v>88</v>
      </c>
      <c r="H305" t="s">
        <v>118</v>
      </c>
      <c r="I305" t="s">
        <v>41</v>
      </c>
      <c r="J305" t="s">
        <v>54</v>
      </c>
      <c r="K305">
        <v>42</v>
      </c>
      <c r="L305" t="s">
        <v>42</v>
      </c>
      <c r="M305" t="s">
        <v>34</v>
      </c>
      <c r="N305" t="s">
        <v>35</v>
      </c>
      <c r="O305">
        <v>1212000</v>
      </c>
      <c r="P305">
        <v>101000</v>
      </c>
      <c r="Q305">
        <v>42</v>
      </c>
      <c r="R305" t="s">
        <v>36</v>
      </c>
      <c r="S305">
        <v>2.7</v>
      </c>
      <c r="T305">
        <v>72</v>
      </c>
      <c r="U305">
        <v>17</v>
      </c>
      <c r="V305">
        <v>0</v>
      </c>
      <c r="W305" t="s">
        <v>44</v>
      </c>
      <c r="X305">
        <v>4.5999999999999996</v>
      </c>
      <c r="Y305">
        <v>2</v>
      </c>
      <c r="Z305">
        <v>8.5</v>
      </c>
    </row>
    <row r="306" spans="1:26">
      <c r="A306" t="s">
        <v>403</v>
      </c>
      <c r="B306" s="21">
        <v>43131</v>
      </c>
      <c r="C306" s="21">
        <v>43231</v>
      </c>
      <c r="D306" t="s">
        <v>57</v>
      </c>
      <c r="E306">
        <v>1</v>
      </c>
      <c r="F306" t="s">
        <v>39</v>
      </c>
      <c r="G306" t="s">
        <v>29</v>
      </c>
      <c r="H306" t="s">
        <v>40</v>
      </c>
      <c r="I306" t="s">
        <v>31</v>
      </c>
      <c r="J306" t="s">
        <v>32</v>
      </c>
      <c r="K306">
        <v>36</v>
      </c>
      <c r="L306" t="s">
        <v>33</v>
      </c>
      <c r="M306" t="s">
        <v>43</v>
      </c>
      <c r="N306" t="s">
        <v>194</v>
      </c>
      <c r="O306">
        <v>364000</v>
      </c>
      <c r="P306">
        <v>30333.33</v>
      </c>
      <c r="Q306">
        <v>4</v>
      </c>
      <c r="R306" t="s">
        <v>36</v>
      </c>
      <c r="S306">
        <v>2.9</v>
      </c>
      <c r="T306">
        <v>53</v>
      </c>
      <c r="U306">
        <v>0</v>
      </c>
      <c r="V306">
        <v>5</v>
      </c>
      <c r="W306" t="s">
        <v>37</v>
      </c>
      <c r="X306">
        <v>2.6</v>
      </c>
      <c r="Y306">
        <v>1</v>
      </c>
      <c r="Z306">
        <v>9.4</v>
      </c>
    </row>
    <row r="307" spans="1:26">
      <c r="A307" t="s">
        <v>404</v>
      </c>
      <c r="B307" s="21">
        <v>45011</v>
      </c>
      <c r="C307" s="21"/>
      <c r="D307" t="s">
        <v>27</v>
      </c>
      <c r="E307">
        <v>0</v>
      </c>
      <c r="F307" t="s">
        <v>67</v>
      </c>
      <c r="G307" t="s">
        <v>91</v>
      </c>
      <c r="H307" t="s">
        <v>80</v>
      </c>
      <c r="I307" t="s">
        <v>75</v>
      </c>
      <c r="J307" t="s">
        <v>32</v>
      </c>
      <c r="K307">
        <v>46</v>
      </c>
      <c r="L307" t="s">
        <v>33</v>
      </c>
      <c r="M307" t="s">
        <v>40</v>
      </c>
      <c r="N307" t="s">
        <v>35</v>
      </c>
      <c r="O307">
        <v>1452000</v>
      </c>
      <c r="P307">
        <v>121000</v>
      </c>
      <c r="Q307">
        <v>33</v>
      </c>
      <c r="R307" t="s">
        <v>55</v>
      </c>
      <c r="S307">
        <v>3.9</v>
      </c>
      <c r="T307">
        <v>7</v>
      </c>
      <c r="U307">
        <v>7</v>
      </c>
      <c r="V307">
        <v>17</v>
      </c>
      <c r="W307" t="s">
        <v>44</v>
      </c>
      <c r="X307">
        <v>2.9</v>
      </c>
      <c r="Y307">
        <v>2</v>
      </c>
      <c r="Z307">
        <v>5.2</v>
      </c>
    </row>
    <row r="308" spans="1:26">
      <c r="A308" t="s">
        <v>405</v>
      </c>
      <c r="B308" s="21">
        <v>45209</v>
      </c>
      <c r="C308" s="21"/>
      <c r="D308" t="s">
        <v>27</v>
      </c>
      <c r="E308">
        <v>0</v>
      </c>
      <c r="F308" t="s">
        <v>67</v>
      </c>
      <c r="G308" t="s">
        <v>51</v>
      </c>
      <c r="H308" t="s">
        <v>95</v>
      </c>
      <c r="I308" t="s">
        <v>41</v>
      </c>
      <c r="J308" t="s">
        <v>32</v>
      </c>
      <c r="K308">
        <v>42</v>
      </c>
      <c r="L308" t="s">
        <v>33</v>
      </c>
      <c r="M308" t="s">
        <v>34</v>
      </c>
      <c r="N308" t="s">
        <v>35</v>
      </c>
      <c r="O308">
        <v>917000</v>
      </c>
      <c r="P308">
        <v>76416.67</v>
      </c>
      <c r="Q308">
        <v>26</v>
      </c>
      <c r="R308" t="s">
        <v>36</v>
      </c>
      <c r="S308">
        <v>3.9</v>
      </c>
      <c r="T308">
        <v>38</v>
      </c>
      <c r="U308">
        <v>10</v>
      </c>
      <c r="V308">
        <v>9</v>
      </c>
      <c r="W308" t="s">
        <v>37</v>
      </c>
      <c r="X308">
        <v>3.5</v>
      </c>
      <c r="Y308">
        <v>0</v>
      </c>
      <c r="Z308">
        <v>16.100000000000001</v>
      </c>
    </row>
    <row r="309" spans="1:26">
      <c r="A309" t="s">
        <v>406</v>
      </c>
      <c r="B309" s="21">
        <v>43854</v>
      </c>
      <c r="C309" s="21"/>
      <c r="D309" t="s">
        <v>27</v>
      </c>
      <c r="E309">
        <v>0</v>
      </c>
      <c r="F309" t="s">
        <v>46</v>
      </c>
      <c r="G309" t="s">
        <v>88</v>
      </c>
      <c r="H309" t="s">
        <v>162</v>
      </c>
      <c r="I309" t="s">
        <v>62</v>
      </c>
      <c r="J309" t="s">
        <v>32</v>
      </c>
      <c r="K309">
        <v>50</v>
      </c>
      <c r="L309" t="s">
        <v>33</v>
      </c>
      <c r="M309" t="s">
        <v>43</v>
      </c>
      <c r="N309" t="s">
        <v>93</v>
      </c>
      <c r="O309">
        <v>1018000</v>
      </c>
      <c r="P309">
        <v>84833.33</v>
      </c>
      <c r="Q309">
        <v>71</v>
      </c>
      <c r="R309" t="s">
        <v>36</v>
      </c>
      <c r="S309">
        <v>4.0999999999999996</v>
      </c>
      <c r="T309">
        <v>68</v>
      </c>
      <c r="U309">
        <v>12</v>
      </c>
      <c r="V309">
        <v>4</v>
      </c>
      <c r="W309" t="s">
        <v>37</v>
      </c>
      <c r="X309">
        <v>3.1</v>
      </c>
      <c r="Y309">
        <v>1</v>
      </c>
      <c r="Z309">
        <v>9.5</v>
      </c>
    </row>
    <row r="310" spans="1:26">
      <c r="A310" t="s">
        <v>407</v>
      </c>
      <c r="B310" s="21">
        <v>45657</v>
      </c>
      <c r="C310" s="21"/>
      <c r="D310" t="s">
        <v>27</v>
      </c>
      <c r="E310">
        <v>0</v>
      </c>
      <c r="F310" t="s">
        <v>98</v>
      </c>
      <c r="G310" t="s">
        <v>88</v>
      </c>
      <c r="H310" t="s">
        <v>106</v>
      </c>
      <c r="I310" t="s">
        <v>62</v>
      </c>
      <c r="J310" t="s">
        <v>32</v>
      </c>
      <c r="K310">
        <v>48</v>
      </c>
      <c r="L310" t="s">
        <v>130</v>
      </c>
      <c r="M310" t="s">
        <v>40</v>
      </c>
      <c r="N310" t="s">
        <v>35</v>
      </c>
      <c r="O310">
        <v>1190000</v>
      </c>
      <c r="P310">
        <v>99166.67</v>
      </c>
      <c r="Q310">
        <v>12</v>
      </c>
      <c r="R310" t="s">
        <v>36</v>
      </c>
      <c r="S310">
        <v>4.0999999999999996</v>
      </c>
      <c r="T310">
        <v>18</v>
      </c>
      <c r="U310">
        <v>25</v>
      </c>
      <c r="V310">
        <v>8</v>
      </c>
      <c r="W310" t="s">
        <v>37</v>
      </c>
      <c r="X310">
        <v>3.4</v>
      </c>
      <c r="Y310">
        <v>3</v>
      </c>
      <c r="Z310">
        <v>14.3</v>
      </c>
    </row>
    <row r="311" spans="1:26">
      <c r="A311" t="s">
        <v>408</v>
      </c>
      <c r="B311" s="21">
        <v>43229</v>
      </c>
      <c r="C311" s="21">
        <v>45422</v>
      </c>
      <c r="D311" t="s">
        <v>57</v>
      </c>
      <c r="E311">
        <v>1</v>
      </c>
      <c r="F311" t="s">
        <v>98</v>
      </c>
      <c r="G311" t="s">
        <v>70</v>
      </c>
      <c r="H311" t="s">
        <v>352</v>
      </c>
      <c r="I311" t="s">
        <v>41</v>
      </c>
      <c r="J311" t="s">
        <v>32</v>
      </c>
      <c r="K311">
        <v>38</v>
      </c>
      <c r="L311" t="s">
        <v>130</v>
      </c>
      <c r="M311" t="s">
        <v>34</v>
      </c>
      <c r="N311" t="s">
        <v>35</v>
      </c>
      <c r="O311">
        <v>576000</v>
      </c>
      <c r="P311">
        <v>48000</v>
      </c>
      <c r="Q311">
        <v>72</v>
      </c>
      <c r="R311" t="s">
        <v>55</v>
      </c>
      <c r="S311">
        <v>3.7</v>
      </c>
      <c r="T311">
        <v>12</v>
      </c>
      <c r="U311">
        <v>6</v>
      </c>
      <c r="V311">
        <v>0</v>
      </c>
      <c r="W311" t="s">
        <v>44</v>
      </c>
      <c r="X311">
        <v>3.7</v>
      </c>
      <c r="Y311">
        <v>0</v>
      </c>
      <c r="Z311">
        <v>7.2</v>
      </c>
    </row>
    <row r="312" spans="1:26">
      <c r="A312" t="s">
        <v>409</v>
      </c>
      <c r="B312" s="21">
        <v>43211</v>
      </c>
      <c r="C312" s="21"/>
      <c r="D312" t="s">
        <v>27</v>
      </c>
      <c r="E312">
        <v>0</v>
      </c>
      <c r="F312" t="s">
        <v>39</v>
      </c>
      <c r="G312" t="s">
        <v>91</v>
      </c>
      <c r="H312" t="s">
        <v>204</v>
      </c>
      <c r="I312" t="s">
        <v>48</v>
      </c>
      <c r="J312" t="s">
        <v>54</v>
      </c>
      <c r="K312">
        <v>42</v>
      </c>
      <c r="L312" t="s">
        <v>33</v>
      </c>
      <c r="M312" t="s">
        <v>65</v>
      </c>
      <c r="N312" t="s">
        <v>35</v>
      </c>
      <c r="O312">
        <v>1435000</v>
      </c>
      <c r="P312">
        <v>119583.33</v>
      </c>
      <c r="Q312">
        <v>92</v>
      </c>
      <c r="R312" t="s">
        <v>55</v>
      </c>
      <c r="S312">
        <v>3.2</v>
      </c>
      <c r="T312">
        <v>1</v>
      </c>
      <c r="U312">
        <v>11</v>
      </c>
      <c r="V312">
        <v>4</v>
      </c>
      <c r="W312" t="s">
        <v>44</v>
      </c>
      <c r="X312">
        <v>3.5</v>
      </c>
      <c r="Y312">
        <v>2</v>
      </c>
      <c r="Z312">
        <v>16.8</v>
      </c>
    </row>
    <row r="313" spans="1:26">
      <c r="A313" t="s">
        <v>410</v>
      </c>
      <c r="B313" s="21">
        <v>43524</v>
      </c>
      <c r="C313" s="21"/>
      <c r="D313" t="s">
        <v>27</v>
      </c>
      <c r="E313">
        <v>0</v>
      </c>
      <c r="F313" t="s">
        <v>28</v>
      </c>
      <c r="G313" t="s">
        <v>88</v>
      </c>
      <c r="H313" t="s">
        <v>30</v>
      </c>
      <c r="I313" t="s">
        <v>62</v>
      </c>
      <c r="J313" t="s">
        <v>32</v>
      </c>
      <c r="K313">
        <v>48</v>
      </c>
      <c r="L313" t="s">
        <v>82</v>
      </c>
      <c r="M313" t="s">
        <v>34</v>
      </c>
      <c r="N313" t="s">
        <v>35</v>
      </c>
      <c r="O313">
        <v>1123000</v>
      </c>
      <c r="P313">
        <v>93583.33</v>
      </c>
      <c r="Q313">
        <v>82</v>
      </c>
      <c r="R313" t="s">
        <v>116</v>
      </c>
      <c r="S313">
        <v>4.7</v>
      </c>
      <c r="T313">
        <v>52</v>
      </c>
      <c r="U313">
        <v>24</v>
      </c>
      <c r="V313">
        <v>5</v>
      </c>
      <c r="W313" t="s">
        <v>37</v>
      </c>
      <c r="X313">
        <v>4.2</v>
      </c>
      <c r="Y313">
        <v>5</v>
      </c>
      <c r="Z313">
        <v>3.5</v>
      </c>
    </row>
    <row r="314" spans="1:26">
      <c r="A314" t="s">
        <v>411</v>
      </c>
      <c r="B314" s="21">
        <v>42876</v>
      </c>
      <c r="C314" s="21"/>
      <c r="D314" t="s">
        <v>27</v>
      </c>
      <c r="E314">
        <v>0</v>
      </c>
      <c r="F314" t="s">
        <v>67</v>
      </c>
      <c r="G314" t="s">
        <v>105</v>
      </c>
      <c r="H314" t="s">
        <v>77</v>
      </c>
      <c r="I314" t="s">
        <v>31</v>
      </c>
      <c r="J314" t="s">
        <v>134</v>
      </c>
      <c r="K314">
        <v>40</v>
      </c>
      <c r="L314" t="s">
        <v>33</v>
      </c>
      <c r="M314" t="s">
        <v>43</v>
      </c>
      <c r="N314" t="s">
        <v>35</v>
      </c>
      <c r="O314">
        <v>2015000</v>
      </c>
      <c r="P314">
        <v>167916.67</v>
      </c>
      <c r="Q314">
        <v>103</v>
      </c>
      <c r="R314" t="s">
        <v>55</v>
      </c>
      <c r="S314">
        <v>3.7</v>
      </c>
      <c r="T314">
        <v>54</v>
      </c>
      <c r="U314">
        <v>4</v>
      </c>
      <c r="V314">
        <v>5</v>
      </c>
      <c r="W314" t="s">
        <v>44</v>
      </c>
      <c r="X314">
        <v>4.4000000000000004</v>
      </c>
      <c r="Y314">
        <v>3</v>
      </c>
      <c r="Z314">
        <v>12.5</v>
      </c>
    </row>
    <row r="315" spans="1:26">
      <c r="A315" t="s">
        <v>412</v>
      </c>
      <c r="B315" s="21">
        <v>45814</v>
      </c>
      <c r="C315" s="21">
        <v>45922</v>
      </c>
      <c r="D315" t="s">
        <v>57</v>
      </c>
      <c r="E315">
        <v>1</v>
      </c>
      <c r="F315" t="s">
        <v>46</v>
      </c>
      <c r="G315" t="s">
        <v>29</v>
      </c>
      <c r="H315" t="s">
        <v>47</v>
      </c>
      <c r="I315" t="s">
        <v>31</v>
      </c>
      <c r="J315" t="s">
        <v>32</v>
      </c>
      <c r="K315">
        <v>39</v>
      </c>
      <c r="L315" t="s">
        <v>82</v>
      </c>
      <c r="M315" t="s">
        <v>65</v>
      </c>
      <c r="N315" t="s">
        <v>93</v>
      </c>
      <c r="O315">
        <v>423000</v>
      </c>
      <c r="P315">
        <v>35250</v>
      </c>
      <c r="Q315">
        <v>3</v>
      </c>
      <c r="R315" t="s">
        <v>55</v>
      </c>
      <c r="S315">
        <v>1.7</v>
      </c>
      <c r="T315">
        <v>43</v>
      </c>
      <c r="U315">
        <v>11</v>
      </c>
      <c r="V315">
        <v>5</v>
      </c>
      <c r="W315" t="s">
        <v>37</v>
      </c>
      <c r="X315">
        <v>3</v>
      </c>
      <c r="Y315">
        <v>5</v>
      </c>
      <c r="Z315">
        <v>13.4</v>
      </c>
    </row>
    <row r="316" spans="1:26">
      <c r="A316" t="s">
        <v>413</v>
      </c>
      <c r="B316" s="21">
        <v>44025</v>
      </c>
      <c r="C316" s="21"/>
      <c r="D316" t="s">
        <v>27</v>
      </c>
      <c r="E316">
        <v>0</v>
      </c>
      <c r="F316" t="s">
        <v>46</v>
      </c>
      <c r="G316" t="s">
        <v>88</v>
      </c>
      <c r="H316" t="s">
        <v>71</v>
      </c>
      <c r="I316" t="s">
        <v>53</v>
      </c>
      <c r="J316" t="s">
        <v>32</v>
      </c>
      <c r="K316">
        <v>52</v>
      </c>
      <c r="L316" t="s">
        <v>33</v>
      </c>
      <c r="M316" t="s">
        <v>34</v>
      </c>
      <c r="N316" t="s">
        <v>35</v>
      </c>
      <c r="O316">
        <v>1118000</v>
      </c>
      <c r="P316">
        <v>93166.67</v>
      </c>
      <c r="Q316">
        <v>65</v>
      </c>
      <c r="R316" t="s">
        <v>36</v>
      </c>
      <c r="S316">
        <v>4.5999999999999996</v>
      </c>
      <c r="T316">
        <v>62</v>
      </c>
      <c r="U316">
        <v>10</v>
      </c>
      <c r="V316">
        <v>1</v>
      </c>
      <c r="W316" t="s">
        <v>37</v>
      </c>
      <c r="X316">
        <v>3.5</v>
      </c>
      <c r="Y316">
        <v>5</v>
      </c>
      <c r="Z316">
        <v>19.5</v>
      </c>
    </row>
    <row r="317" spans="1:26">
      <c r="A317" t="s">
        <v>414</v>
      </c>
      <c r="B317" s="21">
        <v>42921</v>
      </c>
      <c r="C317" s="21"/>
      <c r="D317" t="s">
        <v>27</v>
      </c>
      <c r="E317">
        <v>0</v>
      </c>
      <c r="F317" t="s">
        <v>73</v>
      </c>
      <c r="G317" t="s">
        <v>51</v>
      </c>
      <c r="H317" t="s">
        <v>118</v>
      </c>
      <c r="I317" t="s">
        <v>31</v>
      </c>
      <c r="J317" t="s">
        <v>32</v>
      </c>
      <c r="K317">
        <v>51</v>
      </c>
      <c r="L317" t="s">
        <v>42</v>
      </c>
      <c r="M317" t="s">
        <v>40</v>
      </c>
      <c r="N317" t="s">
        <v>35</v>
      </c>
      <c r="O317">
        <v>777000</v>
      </c>
      <c r="P317">
        <v>64750</v>
      </c>
      <c r="Q317">
        <v>101</v>
      </c>
      <c r="R317" t="s">
        <v>36</v>
      </c>
      <c r="S317">
        <v>3.7</v>
      </c>
      <c r="T317">
        <v>63</v>
      </c>
      <c r="U317">
        <v>16</v>
      </c>
      <c r="V317">
        <v>0</v>
      </c>
      <c r="W317" t="s">
        <v>44</v>
      </c>
      <c r="X317">
        <v>3.2</v>
      </c>
      <c r="Y317">
        <v>2</v>
      </c>
      <c r="Z317">
        <v>5.7</v>
      </c>
    </row>
    <row r="318" spans="1:26">
      <c r="A318" t="s">
        <v>415</v>
      </c>
      <c r="B318" s="21">
        <v>43777</v>
      </c>
      <c r="C318" s="21"/>
      <c r="D318" t="s">
        <v>27</v>
      </c>
      <c r="E318">
        <v>0</v>
      </c>
      <c r="F318" t="s">
        <v>73</v>
      </c>
      <c r="G318" t="s">
        <v>70</v>
      </c>
      <c r="H318" t="s">
        <v>74</v>
      </c>
      <c r="I318" t="s">
        <v>48</v>
      </c>
      <c r="J318" t="s">
        <v>32</v>
      </c>
      <c r="K318">
        <v>40</v>
      </c>
      <c r="L318" t="s">
        <v>42</v>
      </c>
      <c r="M318" t="s">
        <v>40</v>
      </c>
      <c r="N318" t="s">
        <v>35</v>
      </c>
      <c r="O318">
        <v>476000</v>
      </c>
      <c r="P318">
        <v>39666.67</v>
      </c>
      <c r="Q318">
        <v>73</v>
      </c>
      <c r="R318" t="s">
        <v>55</v>
      </c>
      <c r="S318">
        <v>2.6</v>
      </c>
      <c r="T318">
        <v>55</v>
      </c>
      <c r="U318">
        <v>25</v>
      </c>
      <c r="V318">
        <v>5</v>
      </c>
      <c r="W318" t="s">
        <v>37</v>
      </c>
      <c r="X318">
        <v>4.3</v>
      </c>
      <c r="Y318">
        <v>3</v>
      </c>
      <c r="Z318">
        <v>13.5</v>
      </c>
    </row>
    <row r="319" spans="1:26">
      <c r="A319" t="s">
        <v>416</v>
      </c>
      <c r="B319" s="21">
        <v>44366</v>
      </c>
      <c r="C319" s="21"/>
      <c r="D319" t="s">
        <v>27</v>
      </c>
      <c r="E319">
        <v>0</v>
      </c>
      <c r="F319" t="s">
        <v>67</v>
      </c>
      <c r="G319" t="s">
        <v>88</v>
      </c>
      <c r="H319" t="s">
        <v>68</v>
      </c>
      <c r="I319" t="s">
        <v>48</v>
      </c>
      <c r="J319" t="s">
        <v>32</v>
      </c>
      <c r="K319">
        <v>43</v>
      </c>
      <c r="L319" t="s">
        <v>42</v>
      </c>
      <c r="M319" t="s">
        <v>34</v>
      </c>
      <c r="N319" t="s">
        <v>35</v>
      </c>
      <c r="O319">
        <v>1109000</v>
      </c>
      <c r="P319">
        <v>92416.67</v>
      </c>
      <c r="Q319">
        <v>54</v>
      </c>
      <c r="R319" t="s">
        <v>36</v>
      </c>
      <c r="S319">
        <v>2.5</v>
      </c>
      <c r="T319">
        <v>75</v>
      </c>
      <c r="U319">
        <v>1</v>
      </c>
      <c r="V319">
        <v>5</v>
      </c>
      <c r="W319" t="s">
        <v>37</v>
      </c>
      <c r="X319">
        <v>3.3</v>
      </c>
      <c r="Y319">
        <v>0</v>
      </c>
      <c r="Z319">
        <v>7.7</v>
      </c>
    </row>
    <row r="320" spans="1:26">
      <c r="A320" t="s">
        <v>417</v>
      </c>
      <c r="B320" s="21">
        <v>43798</v>
      </c>
      <c r="C320" s="21"/>
      <c r="D320" t="s">
        <v>27</v>
      </c>
      <c r="E320">
        <v>0</v>
      </c>
      <c r="F320" t="s">
        <v>67</v>
      </c>
      <c r="G320" t="s">
        <v>88</v>
      </c>
      <c r="H320" t="s">
        <v>77</v>
      </c>
      <c r="I320" t="s">
        <v>48</v>
      </c>
      <c r="J320" t="s">
        <v>54</v>
      </c>
      <c r="K320">
        <v>46</v>
      </c>
      <c r="L320" t="s">
        <v>42</v>
      </c>
      <c r="M320" t="s">
        <v>40</v>
      </c>
      <c r="N320" t="s">
        <v>35</v>
      </c>
      <c r="O320">
        <v>1027000</v>
      </c>
      <c r="P320">
        <v>85583.33</v>
      </c>
      <c r="Q320">
        <v>73</v>
      </c>
      <c r="R320" t="s">
        <v>36</v>
      </c>
      <c r="S320">
        <v>2.5</v>
      </c>
      <c r="T320">
        <v>21</v>
      </c>
      <c r="U320">
        <v>13</v>
      </c>
      <c r="V320">
        <v>0</v>
      </c>
      <c r="W320" t="s">
        <v>37</v>
      </c>
      <c r="X320">
        <v>4.4000000000000004</v>
      </c>
      <c r="Y320">
        <v>0</v>
      </c>
      <c r="Z320">
        <v>8.6999999999999993</v>
      </c>
    </row>
    <row r="321" spans="1:26">
      <c r="A321" t="s">
        <v>418</v>
      </c>
      <c r="B321" s="21">
        <v>44257</v>
      </c>
      <c r="C321" s="21"/>
      <c r="D321" t="s">
        <v>27</v>
      </c>
      <c r="E321">
        <v>0</v>
      </c>
      <c r="F321" t="s">
        <v>67</v>
      </c>
      <c r="G321" t="s">
        <v>70</v>
      </c>
      <c r="H321" t="s">
        <v>68</v>
      </c>
      <c r="I321" t="s">
        <v>41</v>
      </c>
      <c r="J321" t="s">
        <v>32</v>
      </c>
      <c r="K321">
        <v>32</v>
      </c>
      <c r="L321" t="s">
        <v>33</v>
      </c>
      <c r="M321" t="s">
        <v>34</v>
      </c>
      <c r="N321" t="s">
        <v>35</v>
      </c>
      <c r="O321">
        <v>526000</v>
      </c>
      <c r="P321">
        <v>43833.33</v>
      </c>
      <c r="Q321">
        <v>57</v>
      </c>
      <c r="R321" t="s">
        <v>36</v>
      </c>
      <c r="S321">
        <v>2.8</v>
      </c>
      <c r="T321">
        <v>43</v>
      </c>
      <c r="U321">
        <v>3</v>
      </c>
      <c r="V321">
        <v>4</v>
      </c>
      <c r="W321" t="s">
        <v>44</v>
      </c>
      <c r="X321">
        <v>4.3</v>
      </c>
      <c r="Y321">
        <v>4</v>
      </c>
      <c r="Z321">
        <v>9.6999999999999993</v>
      </c>
    </row>
    <row r="322" spans="1:26">
      <c r="A322" t="s">
        <v>419</v>
      </c>
      <c r="B322" s="21">
        <v>44155</v>
      </c>
      <c r="C322" s="21"/>
      <c r="D322" t="s">
        <v>27</v>
      </c>
      <c r="E322">
        <v>0</v>
      </c>
      <c r="F322" t="s">
        <v>67</v>
      </c>
      <c r="G322" t="s">
        <v>70</v>
      </c>
      <c r="H322" t="s">
        <v>80</v>
      </c>
      <c r="I322" t="s">
        <v>31</v>
      </c>
      <c r="J322" t="s">
        <v>32</v>
      </c>
      <c r="K322">
        <v>39</v>
      </c>
      <c r="L322" t="s">
        <v>33</v>
      </c>
      <c r="M322" t="s">
        <v>34</v>
      </c>
      <c r="N322" t="s">
        <v>35</v>
      </c>
      <c r="O322">
        <v>507000</v>
      </c>
      <c r="P322">
        <v>42250</v>
      </c>
      <c r="Q322">
        <v>61</v>
      </c>
      <c r="R322" t="s">
        <v>36</v>
      </c>
      <c r="S322">
        <v>4.5999999999999996</v>
      </c>
      <c r="T322">
        <v>67</v>
      </c>
      <c r="U322">
        <v>15</v>
      </c>
      <c r="V322">
        <v>4</v>
      </c>
      <c r="W322" t="s">
        <v>37</v>
      </c>
      <c r="X322">
        <v>3.6</v>
      </c>
      <c r="Y322">
        <v>4</v>
      </c>
      <c r="Z322">
        <v>14</v>
      </c>
    </row>
    <row r="323" spans="1:26">
      <c r="A323" t="s">
        <v>420</v>
      </c>
      <c r="B323" s="21">
        <v>45628</v>
      </c>
      <c r="C323" s="21"/>
      <c r="D323" t="s">
        <v>27</v>
      </c>
      <c r="E323">
        <v>0</v>
      </c>
      <c r="F323" t="s">
        <v>73</v>
      </c>
      <c r="G323" t="s">
        <v>70</v>
      </c>
      <c r="H323" t="s">
        <v>74</v>
      </c>
      <c r="I323" t="s">
        <v>41</v>
      </c>
      <c r="J323" t="s">
        <v>32</v>
      </c>
      <c r="K323">
        <v>48</v>
      </c>
      <c r="L323" t="s">
        <v>33</v>
      </c>
      <c r="M323" t="s">
        <v>65</v>
      </c>
      <c r="N323" t="s">
        <v>35</v>
      </c>
      <c r="O323">
        <v>686000</v>
      </c>
      <c r="P323">
        <v>57166.67</v>
      </c>
      <c r="Q323">
        <v>12</v>
      </c>
      <c r="R323" t="s">
        <v>36</v>
      </c>
      <c r="S323">
        <v>4.2</v>
      </c>
      <c r="T323">
        <v>59</v>
      </c>
      <c r="U323">
        <v>5</v>
      </c>
      <c r="V323">
        <v>4</v>
      </c>
      <c r="W323" t="s">
        <v>37</v>
      </c>
      <c r="X323">
        <v>3.2</v>
      </c>
      <c r="Y323">
        <v>4</v>
      </c>
      <c r="Z323">
        <v>11.3</v>
      </c>
    </row>
    <row r="324" spans="1:26">
      <c r="A324" t="s">
        <v>421</v>
      </c>
      <c r="B324" s="21">
        <v>45683</v>
      </c>
      <c r="C324" s="21"/>
      <c r="D324" t="s">
        <v>27</v>
      </c>
      <c r="E324">
        <v>0</v>
      </c>
      <c r="F324" t="s">
        <v>46</v>
      </c>
      <c r="G324" t="s">
        <v>51</v>
      </c>
      <c r="H324" t="s">
        <v>71</v>
      </c>
      <c r="I324" t="s">
        <v>53</v>
      </c>
      <c r="J324" t="s">
        <v>54</v>
      </c>
      <c r="K324">
        <v>30</v>
      </c>
      <c r="L324" t="s">
        <v>42</v>
      </c>
      <c r="M324" t="s">
        <v>65</v>
      </c>
      <c r="N324" t="s">
        <v>35</v>
      </c>
      <c r="O324">
        <v>827000</v>
      </c>
      <c r="P324">
        <v>68916.67</v>
      </c>
      <c r="Q324">
        <v>11</v>
      </c>
      <c r="R324" t="s">
        <v>36</v>
      </c>
      <c r="S324">
        <v>2.6</v>
      </c>
      <c r="T324">
        <v>52</v>
      </c>
      <c r="U324">
        <v>2</v>
      </c>
      <c r="V324">
        <v>7</v>
      </c>
      <c r="W324" t="s">
        <v>37</v>
      </c>
      <c r="X324">
        <v>3.4</v>
      </c>
      <c r="Y324">
        <v>1</v>
      </c>
      <c r="Z324">
        <v>11.6</v>
      </c>
    </row>
    <row r="325" spans="1:26">
      <c r="A325" t="s">
        <v>422</v>
      </c>
      <c r="B325" s="21">
        <v>43027</v>
      </c>
      <c r="C325" s="21"/>
      <c r="D325" t="s">
        <v>27</v>
      </c>
      <c r="E325">
        <v>0</v>
      </c>
      <c r="F325" t="s">
        <v>46</v>
      </c>
      <c r="G325" t="s">
        <v>70</v>
      </c>
      <c r="H325" t="s">
        <v>47</v>
      </c>
      <c r="I325" t="s">
        <v>62</v>
      </c>
      <c r="J325" t="s">
        <v>54</v>
      </c>
      <c r="K325">
        <v>36</v>
      </c>
      <c r="L325" t="s">
        <v>33</v>
      </c>
      <c r="M325" t="s">
        <v>34</v>
      </c>
      <c r="N325" t="s">
        <v>35</v>
      </c>
      <c r="O325">
        <v>525000</v>
      </c>
      <c r="P325">
        <v>43750</v>
      </c>
      <c r="Q325">
        <v>98</v>
      </c>
      <c r="R325" t="s">
        <v>36</v>
      </c>
      <c r="S325">
        <v>4.5999999999999996</v>
      </c>
      <c r="T325">
        <v>70</v>
      </c>
      <c r="U325">
        <v>8</v>
      </c>
      <c r="V325">
        <v>6</v>
      </c>
      <c r="W325" t="s">
        <v>44</v>
      </c>
      <c r="X325">
        <v>4.0999999999999996</v>
      </c>
      <c r="Y325">
        <v>4</v>
      </c>
      <c r="Z325">
        <v>3.1</v>
      </c>
    </row>
    <row r="326" spans="1:26">
      <c r="A326" t="s">
        <v>423</v>
      </c>
      <c r="B326" s="21">
        <v>45329</v>
      </c>
      <c r="C326" s="21"/>
      <c r="D326" t="s">
        <v>27</v>
      </c>
      <c r="E326">
        <v>0</v>
      </c>
      <c r="F326" t="s">
        <v>67</v>
      </c>
      <c r="G326" t="s">
        <v>88</v>
      </c>
      <c r="H326" t="s">
        <v>68</v>
      </c>
      <c r="I326" t="s">
        <v>31</v>
      </c>
      <c r="J326" t="s">
        <v>32</v>
      </c>
      <c r="K326">
        <v>41</v>
      </c>
      <c r="L326" t="s">
        <v>33</v>
      </c>
      <c r="M326" t="s">
        <v>43</v>
      </c>
      <c r="N326" t="s">
        <v>35</v>
      </c>
      <c r="O326">
        <v>1259000</v>
      </c>
      <c r="P326">
        <v>104916.67</v>
      </c>
      <c r="Q326">
        <v>22</v>
      </c>
      <c r="R326" t="s">
        <v>55</v>
      </c>
      <c r="S326">
        <v>3.5</v>
      </c>
      <c r="T326">
        <v>15</v>
      </c>
      <c r="U326">
        <v>14</v>
      </c>
      <c r="V326">
        <v>3</v>
      </c>
      <c r="W326" t="s">
        <v>37</v>
      </c>
      <c r="X326">
        <v>4.3</v>
      </c>
      <c r="Y326">
        <v>2</v>
      </c>
      <c r="Z326">
        <v>5.4</v>
      </c>
    </row>
    <row r="327" spans="1:26">
      <c r="A327" t="s">
        <v>424</v>
      </c>
      <c r="B327" s="21">
        <v>45544</v>
      </c>
      <c r="C327" s="21"/>
      <c r="D327" t="s">
        <v>27</v>
      </c>
      <c r="E327">
        <v>0</v>
      </c>
      <c r="F327" t="s">
        <v>28</v>
      </c>
      <c r="G327" t="s">
        <v>88</v>
      </c>
      <c r="H327" t="s">
        <v>121</v>
      </c>
      <c r="I327" t="s">
        <v>62</v>
      </c>
      <c r="J327" t="s">
        <v>54</v>
      </c>
      <c r="K327">
        <v>47</v>
      </c>
      <c r="L327" t="s">
        <v>33</v>
      </c>
      <c r="M327" t="s">
        <v>58</v>
      </c>
      <c r="N327" t="s">
        <v>35</v>
      </c>
      <c r="O327">
        <v>1244000</v>
      </c>
      <c r="P327">
        <v>103666.67</v>
      </c>
      <c r="Q327">
        <v>15</v>
      </c>
      <c r="R327" t="s">
        <v>55</v>
      </c>
      <c r="S327">
        <v>3.2</v>
      </c>
      <c r="T327">
        <v>32</v>
      </c>
      <c r="U327">
        <v>16</v>
      </c>
      <c r="V327">
        <v>3</v>
      </c>
      <c r="W327" t="s">
        <v>44</v>
      </c>
      <c r="X327">
        <v>3.3</v>
      </c>
      <c r="Y327">
        <v>3</v>
      </c>
      <c r="Z327">
        <v>16</v>
      </c>
    </row>
    <row r="328" spans="1:26">
      <c r="A328" t="s">
        <v>425</v>
      </c>
      <c r="B328" s="21">
        <v>44555</v>
      </c>
      <c r="C328" s="21"/>
      <c r="D328" t="s">
        <v>27</v>
      </c>
      <c r="E328">
        <v>0</v>
      </c>
      <c r="F328" t="s">
        <v>60</v>
      </c>
      <c r="G328" t="s">
        <v>29</v>
      </c>
      <c r="H328" t="s">
        <v>109</v>
      </c>
      <c r="I328" t="s">
        <v>41</v>
      </c>
      <c r="J328" t="s">
        <v>32</v>
      </c>
      <c r="K328">
        <v>21</v>
      </c>
      <c r="L328" t="s">
        <v>42</v>
      </c>
      <c r="M328" t="s">
        <v>65</v>
      </c>
      <c r="N328" t="s">
        <v>35</v>
      </c>
      <c r="O328">
        <v>284000</v>
      </c>
      <c r="P328">
        <v>23666.67</v>
      </c>
      <c r="Q328">
        <v>48</v>
      </c>
      <c r="R328" t="s">
        <v>116</v>
      </c>
      <c r="S328">
        <v>4.9000000000000004</v>
      </c>
      <c r="T328">
        <v>6</v>
      </c>
      <c r="U328">
        <v>8</v>
      </c>
      <c r="V328">
        <v>8</v>
      </c>
      <c r="W328" t="s">
        <v>37</v>
      </c>
      <c r="X328">
        <v>4.9000000000000004</v>
      </c>
      <c r="Y328">
        <v>2</v>
      </c>
      <c r="Z328">
        <v>1</v>
      </c>
    </row>
    <row r="329" spans="1:26">
      <c r="A329" t="s">
        <v>426</v>
      </c>
      <c r="B329" s="21">
        <v>43351</v>
      </c>
      <c r="C329" s="21"/>
      <c r="D329" t="s">
        <v>27</v>
      </c>
      <c r="E329">
        <v>0</v>
      </c>
      <c r="F329" t="s">
        <v>98</v>
      </c>
      <c r="G329" t="s">
        <v>88</v>
      </c>
      <c r="H329" t="s">
        <v>352</v>
      </c>
      <c r="I329" t="s">
        <v>75</v>
      </c>
      <c r="J329" t="s">
        <v>54</v>
      </c>
      <c r="K329">
        <v>42</v>
      </c>
      <c r="L329" t="s">
        <v>96</v>
      </c>
      <c r="M329" t="s">
        <v>78</v>
      </c>
      <c r="N329" t="s">
        <v>35</v>
      </c>
      <c r="O329">
        <v>1276000</v>
      </c>
      <c r="P329">
        <v>106333.33</v>
      </c>
      <c r="Q329">
        <v>87</v>
      </c>
      <c r="R329" t="s">
        <v>55</v>
      </c>
      <c r="S329">
        <v>4.3</v>
      </c>
      <c r="T329">
        <v>20</v>
      </c>
      <c r="U329">
        <v>4</v>
      </c>
      <c r="V329">
        <v>0</v>
      </c>
      <c r="W329" t="s">
        <v>37</v>
      </c>
      <c r="X329">
        <v>3.2</v>
      </c>
      <c r="Y329">
        <v>3</v>
      </c>
      <c r="Z329">
        <v>8</v>
      </c>
    </row>
    <row r="330" spans="1:26">
      <c r="A330" t="s">
        <v>427</v>
      </c>
      <c r="B330" s="21">
        <v>45972</v>
      </c>
      <c r="C330" s="21"/>
      <c r="D330" t="s">
        <v>27</v>
      </c>
      <c r="E330">
        <v>0</v>
      </c>
      <c r="F330" t="s">
        <v>50</v>
      </c>
      <c r="G330" t="s">
        <v>51</v>
      </c>
      <c r="H330" t="s">
        <v>124</v>
      </c>
      <c r="I330" t="s">
        <v>62</v>
      </c>
      <c r="J330" t="s">
        <v>32</v>
      </c>
      <c r="K330">
        <v>43</v>
      </c>
      <c r="L330" t="s">
        <v>33</v>
      </c>
      <c r="M330" t="s">
        <v>34</v>
      </c>
      <c r="N330" t="s">
        <v>35</v>
      </c>
      <c r="O330">
        <v>959000</v>
      </c>
      <c r="P330">
        <v>79916.67</v>
      </c>
      <c r="Q330">
        <v>1</v>
      </c>
      <c r="R330" t="s">
        <v>55</v>
      </c>
      <c r="S330">
        <v>2.4</v>
      </c>
      <c r="T330">
        <v>70</v>
      </c>
      <c r="U330">
        <v>13</v>
      </c>
      <c r="V330">
        <v>1</v>
      </c>
      <c r="W330" t="s">
        <v>44</v>
      </c>
      <c r="X330">
        <v>2.6</v>
      </c>
      <c r="Y330">
        <v>2</v>
      </c>
      <c r="Z330">
        <v>9.5</v>
      </c>
    </row>
    <row r="331" spans="1:26">
      <c r="A331" t="s">
        <v>428</v>
      </c>
      <c r="B331" s="21">
        <v>42482</v>
      </c>
      <c r="C331" s="21">
        <v>43218</v>
      </c>
      <c r="D331" t="s">
        <v>57</v>
      </c>
      <c r="E331">
        <v>1</v>
      </c>
      <c r="F331" t="s">
        <v>39</v>
      </c>
      <c r="G331" t="s">
        <v>51</v>
      </c>
      <c r="H331" t="s">
        <v>204</v>
      </c>
      <c r="I331" t="s">
        <v>31</v>
      </c>
      <c r="J331" t="s">
        <v>32</v>
      </c>
      <c r="K331">
        <v>40</v>
      </c>
      <c r="L331" t="s">
        <v>42</v>
      </c>
      <c r="M331" t="s">
        <v>43</v>
      </c>
      <c r="N331" t="s">
        <v>35</v>
      </c>
      <c r="O331">
        <v>742000</v>
      </c>
      <c r="P331">
        <v>61833.33</v>
      </c>
      <c r="Q331">
        <v>24</v>
      </c>
      <c r="R331" t="s">
        <v>103</v>
      </c>
      <c r="S331">
        <v>2.4</v>
      </c>
      <c r="T331">
        <v>40</v>
      </c>
      <c r="U331">
        <v>15</v>
      </c>
      <c r="V331">
        <v>8</v>
      </c>
      <c r="W331" t="s">
        <v>37</v>
      </c>
      <c r="X331">
        <v>3.9</v>
      </c>
      <c r="Y331">
        <v>4</v>
      </c>
      <c r="Z331">
        <v>13.9</v>
      </c>
    </row>
    <row r="332" spans="1:26">
      <c r="A332" t="s">
        <v>429</v>
      </c>
      <c r="B332" s="21">
        <v>42916</v>
      </c>
      <c r="C332" s="21"/>
      <c r="D332" t="s">
        <v>27</v>
      </c>
      <c r="E332">
        <v>0</v>
      </c>
      <c r="F332" t="s">
        <v>73</v>
      </c>
      <c r="G332" t="s">
        <v>91</v>
      </c>
      <c r="H332" t="s">
        <v>74</v>
      </c>
      <c r="I332" t="s">
        <v>41</v>
      </c>
      <c r="J332" t="s">
        <v>134</v>
      </c>
      <c r="K332">
        <v>45</v>
      </c>
      <c r="L332" t="s">
        <v>33</v>
      </c>
      <c r="M332" t="s">
        <v>78</v>
      </c>
      <c r="N332" t="s">
        <v>35</v>
      </c>
      <c r="O332">
        <v>1708000</v>
      </c>
      <c r="P332">
        <v>142333.32999999999</v>
      </c>
      <c r="Q332">
        <v>102</v>
      </c>
      <c r="R332" t="s">
        <v>36</v>
      </c>
      <c r="S332">
        <v>4.7</v>
      </c>
      <c r="T332">
        <v>51</v>
      </c>
      <c r="U332">
        <v>18</v>
      </c>
      <c r="V332">
        <v>0</v>
      </c>
      <c r="W332" t="s">
        <v>44</v>
      </c>
      <c r="X332">
        <v>4.3</v>
      </c>
      <c r="Y332">
        <v>4</v>
      </c>
      <c r="Z332">
        <v>20.2</v>
      </c>
    </row>
    <row r="333" spans="1:26">
      <c r="A333" t="s">
        <v>430</v>
      </c>
      <c r="B333" s="21">
        <v>42981</v>
      </c>
      <c r="C333" s="21"/>
      <c r="D333" t="s">
        <v>27</v>
      </c>
      <c r="E333">
        <v>0</v>
      </c>
      <c r="F333" t="s">
        <v>28</v>
      </c>
      <c r="G333" t="s">
        <v>51</v>
      </c>
      <c r="H333" t="s">
        <v>30</v>
      </c>
      <c r="I333" t="s">
        <v>62</v>
      </c>
      <c r="J333" t="s">
        <v>32</v>
      </c>
      <c r="K333">
        <v>45</v>
      </c>
      <c r="L333" t="s">
        <v>42</v>
      </c>
      <c r="M333" t="s">
        <v>34</v>
      </c>
      <c r="N333" t="s">
        <v>35</v>
      </c>
      <c r="O333">
        <v>772000</v>
      </c>
      <c r="P333">
        <v>64333.33</v>
      </c>
      <c r="Q333">
        <v>99</v>
      </c>
      <c r="R333" t="s">
        <v>36</v>
      </c>
      <c r="S333">
        <v>3.9</v>
      </c>
      <c r="T333">
        <v>48</v>
      </c>
      <c r="U333">
        <v>15</v>
      </c>
      <c r="V333">
        <v>4</v>
      </c>
      <c r="W333" t="s">
        <v>37</v>
      </c>
      <c r="X333">
        <v>4.4000000000000004</v>
      </c>
      <c r="Y333">
        <v>5</v>
      </c>
      <c r="Z333">
        <v>5.8</v>
      </c>
    </row>
    <row r="334" spans="1:26">
      <c r="A334" t="s">
        <v>431</v>
      </c>
      <c r="B334" s="21">
        <v>44827</v>
      </c>
      <c r="C334" s="21"/>
      <c r="D334" t="s">
        <v>27</v>
      </c>
      <c r="E334">
        <v>0</v>
      </c>
      <c r="F334" t="s">
        <v>67</v>
      </c>
      <c r="G334" t="s">
        <v>88</v>
      </c>
      <c r="H334" t="s">
        <v>77</v>
      </c>
      <c r="I334" t="s">
        <v>48</v>
      </c>
      <c r="J334" t="s">
        <v>32</v>
      </c>
      <c r="K334">
        <v>45</v>
      </c>
      <c r="L334" t="s">
        <v>33</v>
      </c>
      <c r="M334" t="s">
        <v>65</v>
      </c>
      <c r="N334" t="s">
        <v>35</v>
      </c>
      <c r="O334">
        <v>1298000</v>
      </c>
      <c r="P334">
        <v>108166.67</v>
      </c>
      <c r="Q334">
        <v>39</v>
      </c>
      <c r="R334" t="s">
        <v>55</v>
      </c>
      <c r="S334">
        <v>5</v>
      </c>
      <c r="T334">
        <v>41</v>
      </c>
      <c r="U334">
        <v>11</v>
      </c>
      <c r="V334">
        <v>2</v>
      </c>
      <c r="W334" t="s">
        <v>44</v>
      </c>
      <c r="X334">
        <v>5</v>
      </c>
      <c r="Y334">
        <v>1</v>
      </c>
      <c r="Z334">
        <v>11.9</v>
      </c>
    </row>
    <row r="335" spans="1:26">
      <c r="A335" t="s">
        <v>432</v>
      </c>
      <c r="B335" s="21">
        <v>43239</v>
      </c>
      <c r="C335" s="21"/>
      <c r="D335" t="s">
        <v>27</v>
      </c>
      <c r="E335">
        <v>0</v>
      </c>
      <c r="F335" t="s">
        <v>50</v>
      </c>
      <c r="G335" t="s">
        <v>51</v>
      </c>
      <c r="H335" t="s">
        <v>52</v>
      </c>
      <c r="I335" t="s">
        <v>31</v>
      </c>
      <c r="J335" t="s">
        <v>32</v>
      </c>
      <c r="K335">
        <v>37</v>
      </c>
      <c r="L335" t="s">
        <v>130</v>
      </c>
      <c r="M335" t="s">
        <v>34</v>
      </c>
      <c r="N335" t="s">
        <v>35</v>
      </c>
      <c r="O335">
        <v>933000</v>
      </c>
      <c r="P335">
        <v>77750</v>
      </c>
      <c r="Q335">
        <v>91</v>
      </c>
      <c r="R335" t="s">
        <v>103</v>
      </c>
      <c r="S335">
        <v>2.2999999999999998</v>
      </c>
      <c r="T335">
        <v>38</v>
      </c>
      <c r="U335">
        <v>11</v>
      </c>
      <c r="V335">
        <v>1</v>
      </c>
      <c r="W335" t="s">
        <v>44</v>
      </c>
      <c r="X335">
        <v>3.4</v>
      </c>
      <c r="Y335">
        <v>2</v>
      </c>
      <c r="Z335">
        <v>12.8</v>
      </c>
    </row>
    <row r="336" spans="1:26">
      <c r="A336" t="s">
        <v>433</v>
      </c>
      <c r="B336" s="21">
        <v>42911</v>
      </c>
      <c r="C336" s="21"/>
      <c r="D336" t="s">
        <v>27</v>
      </c>
      <c r="E336">
        <v>0</v>
      </c>
      <c r="F336" t="s">
        <v>50</v>
      </c>
      <c r="G336" t="s">
        <v>88</v>
      </c>
      <c r="H336" t="s">
        <v>89</v>
      </c>
      <c r="I336" t="s">
        <v>41</v>
      </c>
      <c r="J336" t="s">
        <v>54</v>
      </c>
      <c r="K336">
        <v>51</v>
      </c>
      <c r="L336" t="s">
        <v>82</v>
      </c>
      <c r="M336" t="s">
        <v>34</v>
      </c>
      <c r="N336" t="s">
        <v>93</v>
      </c>
      <c r="O336">
        <v>1143000</v>
      </c>
      <c r="P336">
        <v>95250</v>
      </c>
      <c r="Q336">
        <v>102</v>
      </c>
      <c r="R336" t="s">
        <v>116</v>
      </c>
      <c r="S336">
        <v>3.3</v>
      </c>
      <c r="T336">
        <v>35</v>
      </c>
      <c r="U336">
        <v>6</v>
      </c>
      <c r="V336">
        <v>3</v>
      </c>
      <c r="W336" t="s">
        <v>37</v>
      </c>
      <c r="X336">
        <v>4</v>
      </c>
      <c r="Y336">
        <v>2</v>
      </c>
      <c r="Z336">
        <v>6.8</v>
      </c>
    </row>
    <row r="337" spans="1:26">
      <c r="A337" t="s">
        <v>434</v>
      </c>
      <c r="B337" s="21">
        <v>43528</v>
      </c>
      <c r="C337" s="21"/>
      <c r="D337" t="s">
        <v>27</v>
      </c>
      <c r="E337">
        <v>0</v>
      </c>
      <c r="F337" t="s">
        <v>39</v>
      </c>
      <c r="G337" t="s">
        <v>91</v>
      </c>
      <c r="H337" t="s">
        <v>204</v>
      </c>
      <c r="I337" t="s">
        <v>31</v>
      </c>
      <c r="J337" t="s">
        <v>32</v>
      </c>
      <c r="K337">
        <v>50</v>
      </c>
      <c r="L337" t="s">
        <v>130</v>
      </c>
      <c r="M337" t="s">
        <v>65</v>
      </c>
      <c r="N337" t="s">
        <v>35</v>
      </c>
      <c r="O337">
        <v>1300000</v>
      </c>
      <c r="P337">
        <v>108333.33</v>
      </c>
      <c r="Q337">
        <v>81</v>
      </c>
      <c r="R337" t="s">
        <v>36</v>
      </c>
      <c r="S337">
        <v>3.1</v>
      </c>
      <c r="T337">
        <v>4</v>
      </c>
      <c r="U337">
        <v>20</v>
      </c>
      <c r="V337">
        <v>0</v>
      </c>
      <c r="W337" t="s">
        <v>37</v>
      </c>
      <c r="X337">
        <v>4.3</v>
      </c>
      <c r="Y337">
        <v>3</v>
      </c>
      <c r="Z337">
        <v>17.399999999999999</v>
      </c>
    </row>
    <row r="338" spans="1:26">
      <c r="A338" t="s">
        <v>435</v>
      </c>
      <c r="B338" s="21">
        <v>44283</v>
      </c>
      <c r="C338" s="21"/>
      <c r="D338" t="s">
        <v>27</v>
      </c>
      <c r="E338">
        <v>0</v>
      </c>
      <c r="F338" t="s">
        <v>73</v>
      </c>
      <c r="G338" t="s">
        <v>70</v>
      </c>
      <c r="H338" t="s">
        <v>118</v>
      </c>
      <c r="I338" t="s">
        <v>62</v>
      </c>
      <c r="J338" t="s">
        <v>32</v>
      </c>
      <c r="K338">
        <v>20</v>
      </c>
      <c r="L338" t="s">
        <v>33</v>
      </c>
      <c r="M338" t="s">
        <v>65</v>
      </c>
      <c r="N338" t="s">
        <v>35</v>
      </c>
      <c r="O338">
        <v>344000</v>
      </c>
      <c r="P338">
        <v>28666.67</v>
      </c>
      <c r="Q338">
        <v>57</v>
      </c>
      <c r="R338" t="s">
        <v>55</v>
      </c>
      <c r="S338">
        <v>4.5</v>
      </c>
      <c r="T338">
        <v>34</v>
      </c>
      <c r="U338">
        <v>14</v>
      </c>
      <c r="V338">
        <v>4</v>
      </c>
      <c r="W338" t="s">
        <v>37</v>
      </c>
      <c r="X338">
        <v>2.9</v>
      </c>
      <c r="Y338">
        <v>5</v>
      </c>
      <c r="Z338">
        <v>9.6</v>
      </c>
    </row>
    <row r="339" spans="1:26">
      <c r="A339" t="s">
        <v>436</v>
      </c>
      <c r="B339" s="21">
        <v>43239</v>
      </c>
      <c r="C339" s="21">
        <v>43828</v>
      </c>
      <c r="D339" t="s">
        <v>57</v>
      </c>
      <c r="E339">
        <v>1</v>
      </c>
      <c r="F339" t="s">
        <v>28</v>
      </c>
      <c r="G339" t="s">
        <v>88</v>
      </c>
      <c r="H339" t="s">
        <v>64</v>
      </c>
      <c r="I339" t="s">
        <v>41</v>
      </c>
      <c r="J339" t="s">
        <v>32</v>
      </c>
      <c r="K339">
        <v>26</v>
      </c>
      <c r="L339" t="s">
        <v>33</v>
      </c>
      <c r="M339" t="s">
        <v>65</v>
      </c>
      <c r="N339" t="s">
        <v>35</v>
      </c>
      <c r="O339">
        <v>939000</v>
      </c>
      <c r="P339">
        <v>78250</v>
      </c>
      <c r="Q339">
        <v>19</v>
      </c>
      <c r="R339" t="s">
        <v>103</v>
      </c>
      <c r="S339">
        <v>2.4</v>
      </c>
      <c r="T339">
        <v>61</v>
      </c>
      <c r="U339">
        <v>1</v>
      </c>
      <c r="V339">
        <v>4</v>
      </c>
      <c r="W339" t="s">
        <v>37</v>
      </c>
      <c r="X339">
        <v>3.8</v>
      </c>
      <c r="Y339">
        <v>2</v>
      </c>
      <c r="Z339">
        <v>1</v>
      </c>
    </row>
    <row r="340" spans="1:26">
      <c r="A340" t="s">
        <v>437</v>
      </c>
      <c r="B340" s="21">
        <v>44803</v>
      </c>
      <c r="C340" s="21"/>
      <c r="D340" t="s">
        <v>27</v>
      </c>
      <c r="E340">
        <v>0</v>
      </c>
      <c r="F340" t="s">
        <v>73</v>
      </c>
      <c r="G340" t="s">
        <v>91</v>
      </c>
      <c r="H340" t="s">
        <v>126</v>
      </c>
      <c r="I340" t="s">
        <v>75</v>
      </c>
      <c r="J340" t="s">
        <v>32</v>
      </c>
      <c r="K340">
        <v>42</v>
      </c>
      <c r="L340" t="s">
        <v>42</v>
      </c>
      <c r="M340" t="s">
        <v>43</v>
      </c>
      <c r="N340" t="s">
        <v>35</v>
      </c>
      <c r="O340">
        <v>1638000</v>
      </c>
      <c r="P340">
        <v>136500</v>
      </c>
      <c r="Q340">
        <v>40</v>
      </c>
      <c r="R340" t="s">
        <v>116</v>
      </c>
      <c r="S340">
        <v>2.9</v>
      </c>
      <c r="T340">
        <v>11</v>
      </c>
      <c r="U340">
        <v>22</v>
      </c>
      <c r="V340">
        <v>6</v>
      </c>
      <c r="W340" t="s">
        <v>37</v>
      </c>
      <c r="X340">
        <v>5</v>
      </c>
      <c r="Y340">
        <v>4</v>
      </c>
      <c r="Z340">
        <v>9</v>
      </c>
    </row>
    <row r="341" spans="1:26">
      <c r="A341" t="s">
        <v>438</v>
      </c>
      <c r="B341" s="21">
        <v>45527</v>
      </c>
      <c r="C341" s="21"/>
      <c r="D341" t="s">
        <v>27</v>
      </c>
      <c r="E341">
        <v>0</v>
      </c>
      <c r="F341" t="s">
        <v>73</v>
      </c>
      <c r="G341" t="s">
        <v>70</v>
      </c>
      <c r="H341" t="s">
        <v>126</v>
      </c>
      <c r="I341" t="s">
        <v>31</v>
      </c>
      <c r="J341" t="s">
        <v>32</v>
      </c>
      <c r="K341">
        <v>39</v>
      </c>
      <c r="L341" t="s">
        <v>33</v>
      </c>
      <c r="M341" t="s">
        <v>65</v>
      </c>
      <c r="N341" t="s">
        <v>35</v>
      </c>
      <c r="O341">
        <v>626000</v>
      </c>
      <c r="P341">
        <v>52166.67</v>
      </c>
      <c r="Q341">
        <v>16</v>
      </c>
      <c r="R341" t="s">
        <v>36</v>
      </c>
      <c r="S341">
        <v>3.2</v>
      </c>
      <c r="T341">
        <v>25</v>
      </c>
      <c r="U341">
        <v>14</v>
      </c>
      <c r="V341">
        <v>3</v>
      </c>
      <c r="W341" t="s">
        <v>37</v>
      </c>
      <c r="X341">
        <v>3.7</v>
      </c>
      <c r="Y341">
        <v>0</v>
      </c>
      <c r="Z341">
        <v>1</v>
      </c>
    </row>
    <row r="342" spans="1:26">
      <c r="A342" t="s">
        <v>439</v>
      </c>
      <c r="B342" s="21">
        <v>44321</v>
      </c>
      <c r="C342" s="21"/>
      <c r="D342" t="s">
        <v>27</v>
      </c>
      <c r="E342">
        <v>0</v>
      </c>
      <c r="F342" t="s">
        <v>73</v>
      </c>
      <c r="G342" t="s">
        <v>91</v>
      </c>
      <c r="H342" t="s">
        <v>74</v>
      </c>
      <c r="I342" t="s">
        <v>31</v>
      </c>
      <c r="J342" t="s">
        <v>32</v>
      </c>
      <c r="K342">
        <v>44</v>
      </c>
      <c r="L342" t="s">
        <v>33</v>
      </c>
      <c r="M342" t="s">
        <v>34</v>
      </c>
      <c r="N342" t="s">
        <v>35</v>
      </c>
      <c r="O342">
        <v>1430000</v>
      </c>
      <c r="P342">
        <v>119166.67</v>
      </c>
      <c r="Q342">
        <v>55</v>
      </c>
      <c r="R342" t="s">
        <v>36</v>
      </c>
      <c r="S342">
        <v>4.5999999999999996</v>
      </c>
      <c r="T342">
        <v>67</v>
      </c>
      <c r="U342">
        <v>19</v>
      </c>
      <c r="V342">
        <v>7</v>
      </c>
      <c r="W342" t="s">
        <v>37</v>
      </c>
      <c r="X342">
        <v>3.5</v>
      </c>
      <c r="Y342">
        <v>4</v>
      </c>
      <c r="Z342">
        <v>7.1</v>
      </c>
    </row>
    <row r="343" spans="1:26">
      <c r="A343" t="s">
        <v>440</v>
      </c>
      <c r="B343" s="21">
        <v>42694</v>
      </c>
      <c r="C343" s="21"/>
      <c r="D343" t="s">
        <v>27</v>
      </c>
      <c r="E343">
        <v>0</v>
      </c>
      <c r="F343" t="s">
        <v>67</v>
      </c>
      <c r="G343" t="s">
        <v>51</v>
      </c>
      <c r="H343" t="s">
        <v>80</v>
      </c>
      <c r="I343" t="s">
        <v>48</v>
      </c>
      <c r="J343" t="s">
        <v>54</v>
      </c>
      <c r="K343">
        <v>46</v>
      </c>
      <c r="L343" t="s">
        <v>33</v>
      </c>
      <c r="M343" t="s">
        <v>43</v>
      </c>
      <c r="N343" t="s">
        <v>35</v>
      </c>
      <c r="O343">
        <v>994000</v>
      </c>
      <c r="P343">
        <v>82833.33</v>
      </c>
      <c r="Q343">
        <v>109</v>
      </c>
      <c r="R343" t="s">
        <v>55</v>
      </c>
      <c r="S343">
        <v>3</v>
      </c>
      <c r="T343">
        <v>32</v>
      </c>
      <c r="U343">
        <v>14</v>
      </c>
      <c r="V343">
        <v>6</v>
      </c>
      <c r="W343" t="s">
        <v>37</v>
      </c>
      <c r="X343">
        <v>3.1</v>
      </c>
      <c r="Y343">
        <v>0</v>
      </c>
      <c r="Z343">
        <v>8.3000000000000007</v>
      </c>
    </row>
    <row r="344" spans="1:26">
      <c r="A344" t="s">
        <v>441</v>
      </c>
      <c r="B344" s="21">
        <v>45518</v>
      </c>
      <c r="C344" s="21"/>
      <c r="D344" t="s">
        <v>27</v>
      </c>
      <c r="E344">
        <v>0</v>
      </c>
      <c r="F344" t="s">
        <v>73</v>
      </c>
      <c r="G344" t="s">
        <v>51</v>
      </c>
      <c r="H344" t="s">
        <v>102</v>
      </c>
      <c r="I344" t="s">
        <v>48</v>
      </c>
      <c r="J344" t="s">
        <v>32</v>
      </c>
      <c r="K344">
        <v>36</v>
      </c>
      <c r="L344" t="s">
        <v>33</v>
      </c>
      <c r="M344" t="s">
        <v>58</v>
      </c>
      <c r="N344" t="s">
        <v>35</v>
      </c>
      <c r="O344">
        <v>859000</v>
      </c>
      <c r="P344">
        <v>71583.33</v>
      </c>
      <c r="Q344">
        <v>16</v>
      </c>
      <c r="R344" t="s">
        <v>36</v>
      </c>
      <c r="S344">
        <v>3.5</v>
      </c>
      <c r="T344">
        <v>27</v>
      </c>
      <c r="U344">
        <v>9</v>
      </c>
      <c r="V344">
        <v>2</v>
      </c>
      <c r="W344" t="s">
        <v>44</v>
      </c>
      <c r="X344">
        <v>4.9000000000000004</v>
      </c>
      <c r="Y344">
        <v>2</v>
      </c>
      <c r="Z344">
        <v>15.1</v>
      </c>
    </row>
    <row r="345" spans="1:26">
      <c r="A345" t="s">
        <v>442</v>
      </c>
      <c r="B345" s="21">
        <v>44844</v>
      </c>
      <c r="C345" s="21"/>
      <c r="D345" t="s">
        <v>27</v>
      </c>
      <c r="E345">
        <v>0</v>
      </c>
      <c r="F345" t="s">
        <v>46</v>
      </c>
      <c r="G345" t="s">
        <v>88</v>
      </c>
      <c r="H345" t="s">
        <v>71</v>
      </c>
      <c r="I345" t="s">
        <v>75</v>
      </c>
      <c r="J345" t="s">
        <v>32</v>
      </c>
      <c r="K345">
        <v>42</v>
      </c>
      <c r="L345" t="s">
        <v>82</v>
      </c>
      <c r="M345" t="s">
        <v>34</v>
      </c>
      <c r="N345" t="s">
        <v>35</v>
      </c>
      <c r="O345">
        <v>1300000</v>
      </c>
      <c r="P345">
        <v>108333.33</v>
      </c>
      <c r="Q345">
        <v>38</v>
      </c>
      <c r="R345" t="s">
        <v>103</v>
      </c>
      <c r="S345">
        <v>4.7</v>
      </c>
      <c r="T345">
        <v>50</v>
      </c>
      <c r="U345">
        <v>10</v>
      </c>
      <c r="V345">
        <v>5</v>
      </c>
      <c r="W345" t="s">
        <v>37</v>
      </c>
      <c r="X345">
        <v>3.3</v>
      </c>
      <c r="Y345">
        <v>3</v>
      </c>
      <c r="Z345">
        <v>3.5</v>
      </c>
    </row>
    <row r="346" spans="1:26">
      <c r="A346" t="s">
        <v>443</v>
      </c>
      <c r="B346" s="21">
        <v>42923</v>
      </c>
      <c r="C346" s="21"/>
      <c r="D346" t="s">
        <v>27</v>
      </c>
      <c r="E346">
        <v>0</v>
      </c>
      <c r="F346" t="s">
        <v>60</v>
      </c>
      <c r="G346" t="s">
        <v>29</v>
      </c>
      <c r="H346" t="s">
        <v>61</v>
      </c>
      <c r="I346" t="s">
        <v>62</v>
      </c>
      <c r="J346" t="s">
        <v>54</v>
      </c>
      <c r="K346">
        <v>37</v>
      </c>
      <c r="L346" t="s">
        <v>42</v>
      </c>
      <c r="M346" t="s">
        <v>65</v>
      </c>
      <c r="N346" t="s">
        <v>35</v>
      </c>
      <c r="O346">
        <v>480000</v>
      </c>
      <c r="P346">
        <v>40000</v>
      </c>
      <c r="Q346">
        <v>101</v>
      </c>
      <c r="R346" t="s">
        <v>36</v>
      </c>
      <c r="S346">
        <v>3.5</v>
      </c>
      <c r="T346">
        <v>14</v>
      </c>
      <c r="U346">
        <v>33</v>
      </c>
      <c r="V346">
        <v>6</v>
      </c>
      <c r="W346" t="s">
        <v>37</v>
      </c>
      <c r="X346">
        <v>3.1</v>
      </c>
      <c r="Y346">
        <v>3</v>
      </c>
      <c r="Z346">
        <v>2</v>
      </c>
    </row>
    <row r="347" spans="1:26">
      <c r="A347" t="s">
        <v>444</v>
      </c>
      <c r="B347" s="21">
        <v>45247</v>
      </c>
      <c r="C347" s="21">
        <v>45982</v>
      </c>
      <c r="D347" t="s">
        <v>57</v>
      </c>
      <c r="E347">
        <v>1</v>
      </c>
      <c r="F347" t="s">
        <v>67</v>
      </c>
      <c r="G347" t="s">
        <v>29</v>
      </c>
      <c r="H347" t="s">
        <v>68</v>
      </c>
      <c r="I347" t="s">
        <v>53</v>
      </c>
      <c r="J347" t="s">
        <v>32</v>
      </c>
      <c r="K347">
        <v>26</v>
      </c>
      <c r="L347" t="s">
        <v>42</v>
      </c>
      <c r="M347" t="s">
        <v>43</v>
      </c>
      <c r="N347" t="s">
        <v>35</v>
      </c>
      <c r="O347">
        <v>396000</v>
      </c>
      <c r="P347">
        <v>33000</v>
      </c>
      <c r="Q347">
        <v>24</v>
      </c>
      <c r="R347" t="s">
        <v>36</v>
      </c>
      <c r="S347">
        <v>3.8</v>
      </c>
      <c r="T347">
        <v>37</v>
      </c>
      <c r="U347">
        <v>20</v>
      </c>
      <c r="V347">
        <v>5</v>
      </c>
      <c r="W347" t="s">
        <v>37</v>
      </c>
      <c r="X347">
        <v>4</v>
      </c>
      <c r="Y347">
        <v>2</v>
      </c>
      <c r="Z347">
        <v>3.7</v>
      </c>
    </row>
    <row r="348" spans="1:26">
      <c r="A348" t="s">
        <v>445</v>
      </c>
      <c r="B348" s="21">
        <v>44472</v>
      </c>
      <c r="C348" s="21"/>
      <c r="D348" t="s">
        <v>27</v>
      </c>
      <c r="E348">
        <v>0</v>
      </c>
      <c r="F348" t="s">
        <v>67</v>
      </c>
      <c r="G348" t="s">
        <v>51</v>
      </c>
      <c r="H348" t="s">
        <v>68</v>
      </c>
      <c r="I348" t="s">
        <v>53</v>
      </c>
      <c r="J348" t="s">
        <v>54</v>
      </c>
      <c r="K348">
        <v>31</v>
      </c>
      <c r="L348" t="s">
        <v>33</v>
      </c>
      <c r="M348" t="s">
        <v>43</v>
      </c>
      <c r="N348" t="s">
        <v>35</v>
      </c>
      <c r="O348">
        <v>680000</v>
      </c>
      <c r="P348">
        <v>56666.67</v>
      </c>
      <c r="Q348">
        <v>50</v>
      </c>
      <c r="R348" t="s">
        <v>55</v>
      </c>
      <c r="S348">
        <v>2.9</v>
      </c>
      <c r="T348">
        <v>55</v>
      </c>
      <c r="U348">
        <v>5</v>
      </c>
      <c r="V348">
        <v>0</v>
      </c>
      <c r="W348" t="s">
        <v>37</v>
      </c>
      <c r="X348">
        <v>3</v>
      </c>
      <c r="Y348">
        <v>2</v>
      </c>
      <c r="Z348">
        <v>7.9</v>
      </c>
    </row>
    <row r="349" spans="1:26">
      <c r="A349" t="s">
        <v>446</v>
      </c>
      <c r="B349" s="21">
        <v>43157</v>
      </c>
      <c r="C349" s="21"/>
      <c r="D349" t="s">
        <v>27</v>
      </c>
      <c r="E349">
        <v>0</v>
      </c>
      <c r="F349" t="s">
        <v>67</v>
      </c>
      <c r="G349" t="s">
        <v>70</v>
      </c>
      <c r="H349" t="s">
        <v>68</v>
      </c>
      <c r="I349" t="s">
        <v>53</v>
      </c>
      <c r="J349" t="s">
        <v>32</v>
      </c>
      <c r="K349">
        <v>29</v>
      </c>
      <c r="L349" t="s">
        <v>42</v>
      </c>
      <c r="M349" t="s">
        <v>78</v>
      </c>
      <c r="N349" t="s">
        <v>35</v>
      </c>
      <c r="O349">
        <v>446000</v>
      </c>
      <c r="P349">
        <v>37166.67</v>
      </c>
      <c r="Q349">
        <v>94</v>
      </c>
      <c r="R349" t="s">
        <v>116</v>
      </c>
      <c r="S349">
        <v>3.7</v>
      </c>
      <c r="T349">
        <v>20</v>
      </c>
      <c r="U349">
        <v>1</v>
      </c>
      <c r="V349">
        <v>4</v>
      </c>
      <c r="W349" t="s">
        <v>37</v>
      </c>
      <c r="X349">
        <v>4.4000000000000004</v>
      </c>
      <c r="Y349">
        <v>3</v>
      </c>
      <c r="Z349">
        <v>1.4</v>
      </c>
    </row>
    <row r="350" spans="1:26">
      <c r="A350" t="s">
        <v>447</v>
      </c>
      <c r="B350" s="21">
        <v>45438</v>
      </c>
      <c r="C350" s="21"/>
      <c r="D350" t="s">
        <v>27</v>
      </c>
      <c r="E350">
        <v>0</v>
      </c>
      <c r="F350" t="s">
        <v>28</v>
      </c>
      <c r="G350" t="s">
        <v>70</v>
      </c>
      <c r="H350" t="s">
        <v>30</v>
      </c>
      <c r="I350" t="s">
        <v>75</v>
      </c>
      <c r="J350" t="s">
        <v>32</v>
      </c>
      <c r="K350">
        <v>43</v>
      </c>
      <c r="L350" t="s">
        <v>33</v>
      </c>
      <c r="M350" t="s">
        <v>65</v>
      </c>
      <c r="N350" t="s">
        <v>35</v>
      </c>
      <c r="O350">
        <v>500000</v>
      </c>
      <c r="P350">
        <v>41666.67</v>
      </c>
      <c r="Q350">
        <v>19</v>
      </c>
      <c r="R350" t="s">
        <v>55</v>
      </c>
      <c r="S350">
        <v>4</v>
      </c>
      <c r="T350">
        <v>64</v>
      </c>
      <c r="U350">
        <v>14</v>
      </c>
      <c r="V350">
        <v>7</v>
      </c>
      <c r="W350" t="s">
        <v>37</v>
      </c>
      <c r="X350">
        <v>4.5</v>
      </c>
      <c r="Y350">
        <v>1</v>
      </c>
      <c r="Z350">
        <v>6.5</v>
      </c>
    </row>
    <row r="351" spans="1:26">
      <c r="A351" t="s">
        <v>448</v>
      </c>
      <c r="B351" s="21">
        <v>44133</v>
      </c>
      <c r="C351" s="21"/>
      <c r="D351" t="s">
        <v>27</v>
      </c>
      <c r="E351">
        <v>0</v>
      </c>
      <c r="F351" t="s">
        <v>67</v>
      </c>
      <c r="G351" t="s">
        <v>29</v>
      </c>
      <c r="H351" t="s">
        <v>80</v>
      </c>
      <c r="I351" t="s">
        <v>31</v>
      </c>
      <c r="J351" t="s">
        <v>54</v>
      </c>
      <c r="K351">
        <v>37</v>
      </c>
      <c r="L351" t="s">
        <v>96</v>
      </c>
      <c r="M351" t="s">
        <v>40</v>
      </c>
      <c r="N351" t="s">
        <v>93</v>
      </c>
      <c r="O351">
        <v>371000</v>
      </c>
      <c r="P351">
        <v>30916.67</v>
      </c>
      <c r="Q351">
        <v>62</v>
      </c>
      <c r="R351" t="s">
        <v>55</v>
      </c>
      <c r="S351">
        <v>3.9</v>
      </c>
      <c r="T351">
        <v>14</v>
      </c>
      <c r="U351">
        <v>3</v>
      </c>
      <c r="V351">
        <v>3</v>
      </c>
      <c r="W351" t="s">
        <v>37</v>
      </c>
      <c r="X351">
        <v>3.8</v>
      </c>
      <c r="Y351">
        <v>4</v>
      </c>
      <c r="Z351">
        <v>1</v>
      </c>
    </row>
    <row r="352" spans="1:26">
      <c r="A352" t="s">
        <v>449</v>
      </c>
      <c r="B352" s="21">
        <v>44867</v>
      </c>
      <c r="C352" s="21"/>
      <c r="D352" t="s">
        <v>27</v>
      </c>
      <c r="E352">
        <v>0</v>
      </c>
      <c r="F352" t="s">
        <v>50</v>
      </c>
      <c r="G352" t="s">
        <v>88</v>
      </c>
      <c r="H352" t="s">
        <v>52</v>
      </c>
      <c r="I352" t="s">
        <v>53</v>
      </c>
      <c r="J352" t="s">
        <v>32</v>
      </c>
      <c r="K352">
        <v>46</v>
      </c>
      <c r="L352" t="s">
        <v>33</v>
      </c>
      <c r="M352" t="s">
        <v>43</v>
      </c>
      <c r="N352" t="s">
        <v>35</v>
      </c>
      <c r="O352">
        <v>1222000</v>
      </c>
      <c r="P352">
        <v>101833.33</v>
      </c>
      <c r="Q352">
        <v>37</v>
      </c>
      <c r="R352" t="s">
        <v>36</v>
      </c>
      <c r="S352">
        <v>1.6</v>
      </c>
      <c r="T352">
        <v>17</v>
      </c>
      <c r="U352">
        <v>13</v>
      </c>
      <c r="V352">
        <v>3</v>
      </c>
      <c r="W352" t="s">
        <v>44</v>
      </c>
      <c r="X352">
        <v>4.8</v>
      </c>
      <c r="Y352">
        <v>1</v>
      </c>
      <c r="Z352">
        <v>1</v>
      </c>
    </row>
    <row r="353" spans="1:26">
      <c r="A353" t="s">
        <v>450</v>
      </c>
      <c r="B353" s="21">
        <v>44072</v>
      </c>
      <c r="C353" s="21"/>
      <c r="D353" t="s">
        <v>27</v>
      </c>
      <c r="E353">
        <v>0</v>
      </c>
      <c r="F353" t="s">
        <v>67</v>
      </c>
      <c r="G353" t="s">
        <v>70</v>
      </c>
      <c r="H353" t="s">
        <v>95</v>
      </c>
      <c r="I353" t="s">
        <v>48</v>
      </c>
      <c r="J353" t="s">
        <v>54</v>
      </c>
      <c r="K353">
        <v>37</v>
      </c>
      <c r="L353" t="s">
        <v>33</v>
      </c>
      <c r="M353" t="s">
        <v>40</v>
      </c>
      <c r="N353" t="s">
        <v>35</v>
      </c>
      <c r="O353">
        <v>583000</v>
      </c>
      <c r="P353">
        <v>48583.33</v>
      </c>
      <c r="Q353">
        <v>64</v>
      </c>
      <c r="R353" t="s">
        <v>36</v>
      </c>
      <c r="S353">
        <v>3.4</v>
      </c>
      <c r="T353">
        <v>52</v>
      </c>
      <c r="U353">
        <v>16</v>
      </c>
      <c r="V353">
        <v>1</v>
      </c>
      <c r="W353" t="s">
        <v>37</v>
      </c>
      <c r="X353">
        <v>3.6</v>
      </c>
      <c r="Y353">
        <v>3</v>
      </c>
      <c r="Z353">
        <v>18.5</v>
      </c>
    </row>
    <row r="354" spans="1:26">
      <c r="A354" t="s">
        <v>451</v>
      </c>
      <c r="B354" s="21">
        <v>44484</v>
      </c>
      <c r="C354" s="21"/>
      <c r="D354" t="s">
        <v>27</v>
      </c>
      <c r="E354">
        <v>0</v>
      </c>
      <c r="F354" t="s">
        <v>60</v>
      </c>
      <c r="G354" t="s">
        <v>91</v>
      </c>
      <c r="H354" t="s">
        <v>109</v>
      </c>
      <c r="I354" t="s">
        <v>41</v>
      </c>
      <c r="J354" t="s">
        <v>54</v>
      </c>
      <c r="K354">
        <v>47</v>
      </c>
      <c r="L354" t="s">
        <v>130</v>
      </c>
      <c r="M354" t="s">
        <v>58</v>
      </c>
      <c r="N354" t="s">
        <v>35</v>
      </c>
      <c r="O354">
        <v>1625000</v>
      </c>
      <c r="P354">
        <v>135416.67000000001</v>
      </c>
      <c r="Q354">
        <v>50</v>
      </c>
      <c r="R354" t="s">
        <v>55</v>
      </c>
      <c r="S354">
        <v>2.8</v>
      </c>
      <c r="T354">
        <v>73</v>
      </c>
      <c r="U354">
        <v>16</v>
      </c>
      <c r="V354">
        <v>5</v>
      </c>
      <c r="W354" t="s">
        <v>44</v>
      </c>
      <c r="X354">
        <v>4</v>
      </c>
      <c r="Y354">
        <v>2</v>
      </c>
      <c r="Z354">
        <v>8.1</v>
      </c>
    </row>
    <row r="355" spans="1:26">
      <c r="A355" t="s">
        <v>452</v>
      </c>
      <c r="B355" s="21">
        <v>45291</v>
      </c>
      <c r="C355" s="21"/>
      <c r="D355" t="s">
        <v>27</v>
      </c>
      <c r="E355">
        <v>0</v>
      </c>
      <c r="F355" t="s">
        <v>67</v>
      </c>
      <c r="G355" t="s">
        <v>51</v>
      </c>
      <c r="H355" t="s">
        <v>77</v>
      </c>
      <c r="I355" t="s">
        <v>48</v>
      </c>
      <c r="J355" t="s">
        <v>32</v>
      </c>
      <c r="K355">
        <v>44</v>
      </c>
      <c r="L355" t="s">
        <v>33</v>
      </c>
      <c r="M355" t="s">
        <v>34</v>
      </c>
      <c r="N355" t="s">
        <v>35</v>
      </c>
      <c r="O355">
        <v>697000</v>
      </c>
      <c r="P355">
        <v>58083.33</v>
      </c>
      <c r="Q355">
        <v>24</v>
      </c>
      <c r="R355" t="s">
        <v>55</v>
      </c>
      <c r="S355">
        <v>1.9</v>
      </c>
      <c r="T355">
        <v>69</v>
      </c>
      <c r="U355">
        <v>20</v>
      </c>
      <c r="V355">
        <v>4</v>
      </c>
      <c r="W355" t="s">
        <v>37</v>
      </c>
      <c r="X355">
        <v>4.5</v>
      </c>
      <c r="Y355">
        <v>2</v>
      </c>
      <c r="Z355">
        <v>2.2000000000000002</v>
      </c>
    </row>
    <row r="356" spans="1:26">
      <c r="A356" t="s">
        <v>453</v>
      </c>
      <c r="B356" s="21">
        <v>44181</v>
      </c>
      <c r="C356" s="21"/>
      <c r="D356" t="s">
        <v>27</v>
      </c>
      <c r="E356">
        <v>0</v>
      </c>
      <c r="F356" t="s">
        <v>28</v>
      </c>
      <c r="G356" t="s">
        <v>51</v>
      </c>
      <c r="H356" t="s">
        <v>64</v>
      </c>
      <c r="I356" t="s">
        <v>48</v>
      </c>
      <c r="J356" t="s">
        <v>54</v>
      </c>
      <c r="K356">
        <v>35</v>
      </c>
      <c r="L356" t="s">
        <v>33</v>
      </c>
      <c r="M356" t="s">
        <v>43</v>
      </c>
      <c r="N356" t="s">
        <v>35</v>
      </c>
      <c r="O356">
        <v>900000</v>
      </c>
      <c r="P356">
        <v>75000</v>
      </c>
      <c r="Q356">
        <v>60</v>
      </c>
      <c r="R356" t="s">
        <v>36</v>
      </c>
      <c r="S356">
        <v>1.9</v>
      </c>
      <c r="T356">
        <v>20</v>
      </c>
      <c r="U356">
        <v>13</v>
      </c>
      <c r="V356">
        <v>1</v>
      </c>
      <c r="W356" t="s">
        <v>44</v>
      </c>
      <c r="X356">
        <v>4.3</v>
      </c>
      <c r="Y356">
        <v>5</v>
      </c>
      <c r="Z356">
        <v>10.199999999999999</v>
      </c>
    </row>
    <row r="357" spans="1:26">
      <c r="A357" t="s">
        <v>454</v>
      </c>
      <c r="B357" s="21">
        <v>44581</v>
      </c>
      <c r="C357" s="21"/>
      <c r="D357" t="s">
        <v>27</v>
      </c>
      <c r="E357">
        <v>0</v>
      </c>
      <c r="F357" t="s">
        <v>67</v>
      </c>
      <c r="G357" t="s">
        <v>91</v>
      </c>
      <c r="H357" t="s">
        <v>80</v>
      </c>
      <c r="I357" t="s">
        <v>53</v>
      </c>
      <c r="J357" t="s">
        <v>54</v>
      </c>
      <c r="K357">
        <v>41</v>
      </c>
      <c r="L357" t="s">
        <v>42</v>
      </c>
      <c r="M357" t="s">
        <v>34</v>
      </c>
      <c r="N357" t="s">
        <v>93</v>
      </c>
      <c r="O357">
        <v>1217000</v>
      </c>
      <c r="P357">
        <v>101416.67</v>
      </c>
      <c r="Q357">
        <v>47</v>
      </c>
      <c r="R357" t="s">
        <v>36</v>
      </c>
      <c r="S357">
        <v>3.2</v>
      </c>
      <c r="T357">
        <v>74</v>
      </c>
      <c r="U357">
        <v>13</v>
      </c>
      <c r="V357">
        <v>0</v>
      </c>
      <c r="W357" t="s">
        <v>37</v>
      </c>
      <c r="X357">
        <v>4.3</v>
      </c>
      <c r="Y357">
        <v>5</v>
      </c>
      <c r="Z357">
        <v>11.1</v>
      </c>
    </row>
    <row r="358" spans="1:26">
      <c r="A358" t="s">
        <v>455</v>
      </c>
      <c r="B358" s="21">
        <v>44941</v>
      </c>
      <c r="C358" s="21"/>
      <c r="D358" t="s">
        <v>27</v>
      </c>
      <c r="E358">
        <v>0</v>
      </c>
      <c r="F358" t="s">
        <v>28</v>
      </c>
      <c r="G358" t="s">
        <v>91</v>
      </c>
      <c r="H358" t="s">
        <v>121</v>
      </c>
      <c r="I358" t="s">
        <v>48</v>
      </c>
      <c r="J358" t="s">
        <v>32</v>
      </c>
      <c r="K358">
        <v>39</v>
      </c>
      <c r="L358" t="s">
        <v>42</v>
      </c>
      <c r="M358" t="s">
        <v>34</v>
      </c>
      <c r="N358" t="s">
        <v>35</v>
      </c>
      <c r="O358">
        <v>1271000</v>
      </c>
      <c r="P358">
        <v>105916.67</v>
      </c>
      <c r="Q358">
        <v>35</v>
      </c>
      <c r="R358" t="s">
        <v>55</v>
      </c>
      <c r="S358">
        <v>2.2000000000000002</v>
      </c>
      <c r="T358">
        <v>54</v>
      </c>
      <c r="U358">
        <v>12</v>
      </c>
      <c r="V358">
        <v>8</v>
      </c>
      <c r="W358" t="s">
        <v>37</v>
      </c>
      <c r="X358">
        <v>3.4</v>
      </c>
      <c r="Y358">
        <v>3</v>
      </c>
      <c r="Z358">
        <v>7.5</v>
      </c>
    </row>
    <row r="359" spans="1:26">
      <c r="A359" t="s">
        <v>456</v>
      </c>
      <c r="B359" s="21">
        <v>42624</v>
      </c>
      <c r="C359" s="21"/>
      <c r="D359" t="s">
        <v>27</v>
      </c>
      <c r="E359">
        <v>0</v>
      </c>
      <c r="F359" t="s">
        <v>60</v>
      </c>
      <c r="G359" t="s">
        <v>29</v>
      </c>
      <c r="H359" t="s">
        <v>109</v>
      </c>
      <c r="I359" t="s">
        <v>31</v>
      </c>
      <c r="J359" t="s">
        <v>32</v>
      </c>
      <c r="K359">
        <v>30</v>
      </c>
      <c r="L359" t="s">
        <v>33</v>
      </c>
      <c r="M359" t="s">
        <v>58</v>
      </c>
      <c r="N359" t="s">
        <v>35</v>
      </c>
      <c r="O359">
        <v>393000</v>
      </c>
      <c r="P359">
        <v>32750</v>
      </c>
      <c r="Q359">
        <v>111</v>
      </c>
      <c r="R359" t="s">
        <v>36</v>
      </c>
      <c r="S359">
        <v>3.7</v>
      </c>
      <c r="T359">
        <v>18</v>
      </c>
      <c r="U359">
        <v>12</v>
      </c>
      <c r="V359">
        <v>6</v>
      </c>
      <c r="W359" t="s">
        <v>37</v>
      </c>
      <c r="X359">
        <v>2.6</v>
      </c>
      <c r="Y359">
        <v>2</v>
      </c>
      <c r="Z359">
        <v>5.2</v>
      </c>
    </row>
    <row r="360" spans="1:26">
      <c r="A360" t="s">
        <v>457</v>
      </c>
      <c r="B360" s="21">
        <v>44244</v>
      </c>
      <c r="C360" s="21"/>
      <c r="D360" t="s">
        <v>27</v>
      </c>
      <c r="E360">
        <v>0</v>
      </c>
      <c r="F360" t="s">
        <v>28</v>
      </c>
      <c r="G360" t="s">
        <v>51</v>
      </c>
      <c r="H360" t="s">
        <v>121</v>
      </c>
      <c r="I360" t="s">
        <v>41</v>
      </c>
      <c r="J360" t="s">
        <v>54</v>
      </c>
      <c r="K360">
        <v>47</v>
      </c>
      <c r="L360" t="s">
        <v>33</v>
      </c>
      <c r="M360" t="s">
        <v>65</v>
      </c>
      <c r="N360" t="s">
        <v>35</v>
      </c>
      <c r="O360">
        <v>754000</v>
      </c>
      <c r="P360">
        <v>62833.33</v>
      </c>
      <c r="Q360">
        <v>58</v>
      </c>
      <c r="R360" t="s">
        <v>36</v>
      </c>
      <c r="S360">
        <v>4.4000000000000004</v>
      </c>
      <c r="T360">
        <v>47</v>
      </c>
      <c r="U360">
        <v>14</v>
      </c>
      <c r="V360">
        <v>3</v>
      </c>
      <c r="W360" t="s">
        <v>44</v>
      </c>
      <c r="X360">
        <v>3.7</v>
      </c>
      <c r="Y360">
        <v>2</v>
      </c>
      <c r="Z360">
        <v>1</v>
      </c>
    </row>
    <row r="361" spans="1:26">
      <c r="A361" t="s">
        <v>458</v>
      </c>
      <c r="B361" s="21">
        <v>43574</v>
      </c>
      <c r="C361" s="21"/>
      <c r="D361" t="s">
        <v>27</v>
      </c>
      <c r="E361">
        <v>0</v>
      </c>
      <c r="F361" t="s">
        <v>73</v>
      </c>
      <c r="G361" t="s">
        <v>70</v>
      </c>
      <c r="H361" t="s">
        <v>126</v>
      </c>
      <c r="I361" t="s">
        <v>41</v>
      </c>
      <c r="J361" t="s">
        <v>32</v>
      </c>
      <c r="K361">
        <v>24</v>
      </c>
      <c r="L361" t="s">
        <v>33</v>
      </c>
      <c r="M361" t="s">
        <v>43</v>
      </c>
      <c r="N361" t="s">
        <v>35</v>
      </c>
      <c r="O361">
        <v>373000</v>
      </c>
      <c r="P361">
        <v>31083.33</v>
      </c>
      <c r="Q361">
        <v>80</v>
      </c>
      <c r="R361" t="s">
        <v>55</v>
      </c>
      <c r="S361">
        <v>3.6</v>
      </c>
      <c r="T361">
        <v>43</v>
      </c>
      <c r="U361">
        <v>18</v>
      </c>
      <c r="V361">
        <v>9</v>
      </c>
      <c r="W361" t="s">
        <v>44</v>
      </c>
      <c r="X361">
        <v>4.0999999999999996</v>
      </c>
      <c r="Y361">
        <v>5</v>
      </c>
      <c r="Z361">
        <v>6.3</v>
      </c>
    </row>
    <row r="362" spans="1:26">
      <c r="A362" t="s">
        <v>459</v>
      </c>
      <c r="B362" s="21">
        <v>45319</v>
      </c>
      <c r="C362" s="21"/>
      <c r="D362" t="s">
        <v>27</v>
      </c>
      <c r="E362">
        <v>0</v>
      </c>
      <c r="F362" t="s">
        <v>39</v>
      </c>
      <c r="G362" t="s">
        <v>51</v>
      </c>
      <c r="H362" t="s">
        <v>40</v>
      </c>
      <c r="I362" t="s">
        <v>53</v>
      </c>
      <c r="J362" t="s">
        <v>54</v>
      </c>
      <c r="K362">
        <v>41</v>
      </c>
      <c r="L362" t="s">
        <v>33</v>
      </c>
      <c r="M362" t="s">
        <v>43</v>
      </c>
      <c r="N362" t="s">
        <v>93</v>
      </c>
      <c r="O362">
        <v>878000</v>
      </c>
      <c r="P362">
        <v>73166.67</v>
      </c>
      <c r="Q362">
        <v>23</v>
      </c>
      <c r="R362" t="s">
        <v>55</v>
      </c>
      <c r="S362">
        <v>3.1</v>
      </c>
      <c r="T362">
        <v>56</v>
      </c>
      <c r="U362">
        <v>19</v>
      </c>
      <c r="V362">
        <v>9</v>
      </c>
      <c r="W362" t="s">
        <v>37</v>
      </c>
      <c r="X362">
        <v>4.4000000000000004</v>
      </c>
      <c r="Y362">
        <v>0</v>
      </c>
      <c r="Z362">
        <v>16.8</v>
      </c>
    </row>
    <row r="363" spans="1:26">
      <c r="A363" t="s">
        <v>460</v>
      </c>
      <c r="B363" s="21">
        <v>45916</v>
      </c>
      <c r="C363" s="21"/>
      <c r="D363" t="s">
        <v>27</v>
      </c>
      <c r="E363">
        <v>0</v>
      </c>
      <c r="F363" t="s">
        <v>39</v>
      </c>
      <c r="G363" t="s">
        <v>51</v>
      </c>
      <c r="H363" t="s">
        <v>204</v>
      </c>
      <c r="I363" t="s">
        <v>48</v>
      </c>
      <c r="J363" t="s">
        <v>54</v>
      </c>
      <c r="K363">
        <v>40</v>
      </c>
      <c r="L363" t="s">
        <v>33</v>
      </c>
      <c r="M363" t="s">
        <v>40</v>
      </c>
      <c r="N363" t="s">
        <v>35</v>
      </c>
      <c r="O363">
        <v>899000</v>
      </c>
      <c r="P363">
        <v>74916.67</v>
      </c>
      <c r="Q363">
        <v>3</v>
      </c>
      <c r="R363" t="s">
        <v>55</v>
      </c>
      <c r="S363">
        <v>3.7</v>
      </c>
      <c r="T363">
        <v>68</v>
      </c>
      <c r="U363">
        <v>2</v>
      </c>
      <c r="V363">
        <v>0</v>
      </c>
      <c r="W363" t="s">
        <v>37</v>
      </c>
      <c r="X363">
        <v>3.5</v>
      </c>
      <c r="Y363">
        <v>4</v>
      </c>
      <c r="Z363">
        <v>7</v>
      </c>
    </row>
    <row r="364" spans="1:26">
      <c r="A364" t="s">
        <v>461</v>
      </c>
      <c r="B364" s="21">
        <v>45592</v>
      </c>
      <c r="C364" s="21"/>
      <c r="D364" t="s">
        <v>27</v>
      </c>
      <c r="E364">
        <v>0</v>
      </c>
      <c r="F364" t="s">
        <v>67</v>
      </c>
      <c r="G364" t="s">
        <v>29</v>
      </c>
      <c r="H364" t="s">
        <v>68</v>
      </c>
      <c r="I364" t="s">
        <v>62</v>
      </c>
      <c r="J364" t="s">
        <v>54</v>
      </c>
      <c r="K364">
        <v>37</v>
      </c>
      <c r="L364" t="s">
        <v>42</v>
      </c>
      <c r="M364" t="s">
        <v>34</v>
      </c>
      <c r="N364" t="s">
        <v>35</v>
      </c>
      <c r="O364">
        <v>351000</v>
      </c>
      <c r="P364">
        <v>29250</v>
      </c>
      <c r="Q364">
        <v>14</v>
      </c>
      <c r="R364" t="s">
        <v>36</v>
      </c>
      <c r="S364">
        <v>4.9000000000000004</v>
      </c>
      <c r="T364">
        <v>14</v>
      </c>
      <c r="U364">
        <v>17</v>
      </c>
      <c r="V364">
        <v>0</v>
      </c>
      <c r="W364" t="s">
        <v>44</v>
      </c>
      <c r="X364">
        <v>3.3</v>
      </c>
      <c r="Y364">
        <v>3</v>
      </c>
      <c r="Z364">
        <v>16.2</v>
      </c>
    </row>
    <row r="365" spans="1:26">
      <c r="A365" t="s">
        <v>462</v>
      </c>
      <c r="B365" s="21">
        <v>43538</v>
      </c>
      <c r="C365" s="21"/>
      <c r="D365" t="s">
        <v>27</v>
      </c>
      <c r="E365">
        <v>0</v>
      </c>
      <c r="F365" t="s">
        <v>50</v>
      </c>
      <c r="G365" t="s">
        <v>51</v>
      </c>
      <c r="H365" t="s">
        <v>124</v>
      </c>
      <c r="I365" t="s">
        <v>75</v>
      </c>
      <c r="J365" t="s">
        <v>54</v>
      </c>
      <c r="K365">
        <v>43</v>
      </c>
      <c r="L365" t="s">
        <v>42</v>
      </c>
      <c r="M365" t="s">
        <v>34</v>
      </c>
      <c r="N365" t="s">
        <v>93</v>
      </c>
      <c r="O365">
        <v>780000</v>
      </c>
      <c r="P365">
        <v>65000</v>
      </c>
      <c r="Q365">
        <v>81</v>
      </c>
      <c r="R365" t="s">
        <v>36</v>
      </c>
      <c r="S365">
        <v>4</v>
      </c>
      <c r="T365">
        <v>15</v>
      </c>
      <c r="U365">
        <v>17</v>
      </c>
      <c r="V365">
        <v>6</v>
      </c>
      <c r="W365" t="s">
        <v>37</v>
      </c>
      <c r="X365">
        <v>3.2</v>
      </c>
      <c r="Y365">
        <v>0</v>
      </c>
      <c r="Z365">
        <v>5.5</v>
      </c>
    </row>
    <row r="366" spans="1:26">
      <c r="A366" t="s">
        <v>463</v>
      </c>
      <c r="B366" s="21">
        <v>44815</v>
      </c>
      <c r="C366" s="21">
        <v>45383</v>
      </c>
      <c r="D366" t="s">
        <v>57</v>
      </c>
      <c r="E366">
        <v>1</v>
      </c>
      <c r="F366" t="s">
        <v>67</v>
      </c>
      <c r="G366" t="s">
        <v>70</v>
      </c>
      <c r="H366" t="s">
        <v>80</v>
      </c>
      <c r="I366" t="s">
        <v>75</v>
      </c>
      <c r="J366" t="s">
        <v>32</v>
      </c>
      <c r="K366">
        <v>30</v>
      </c>
      <c r="L366" t="s">
        <v>33</v>
      </c>
      <c r="M366" t="s">
        <v>65</v>
      </c>
      <c r="N366" t="s">
        <v>35</v>
      </c>
      <c r="O366">
        <v>582000</v>
      </c>
      <c r="P366">
        <v>48500</v>
      </c>
      <c r="Q366">
        <v>19</v>
      </c>
      <c r="R366" t="s">
        <v>103</v>
      </c>
      <c r="S366">
        <v>3</v>
      </c>
      <c r="T366">
        <v>16</v>
      </c>
      <c r="U366">
        <v>12</v>
      </c>
      <c r="V366">
        <v>1</v>
      </c>
      <c r="W366" t="s">
        <v>44</v>
      </c>
      <c r="X366">
        <v>3</v>
      </c>
      <c r="Y366">
        <v>3</v>
      </c>
      <c r="Z366">
        <v>10.3</v>
      </c>
    </row>
    <row r="367" spans="1:26">
      <c r="A367" t="s">
        <v>464</v>
      </c>
      <c r="B367" s="21">
        <v>42713</v>
      </c>
      <c r="C367" s="21"/>
      <c r="D367" t="s">
        <v>27</v>
      </c>
      <c r="E367">
        <v>0</v>
      </c>
      <c r="F367" t="s">
        <v>73</v>
      </c>
      <c r="G367" t="s">
        <v>51</v>
      </c>
      <c r="H367" t="s">
        <v>102</v>
      </c>
      <c r="I367" t="s">
        <v>48</v>
      </c>
      <c r="J367" t="s">
        <v>54</v>
      </c>
      <c r="K367">
        <v>44</v>
      </c>
      <c r="L367" t="s">
        <v>82</v>
      </c>
      <c r="M367" t="s">
        <v>65</v>
      </c>
      <c r="N367" t="s">
        <v>93</v>
      </c>
      <c r="O367">
        <v>695000</v>
      </c>
      <c r="P367">
        <v>57916.67</v>
      </c>
      <c r="Q367">
        <v>108</v>
      </c>
      <c r="R367" t="s">
        <v>36</v>
      </c>
      <c r="S367">
        <v>2.7</v>
      </c>
      <c r="T367">
        <v>61</v>
      </c>
      <c r="U367">
        <v>12</v>
      </c>
      <c r="V367">
        <v>2</v>
      </c>
      <c r="W367" t="s">
        <v>37</v>
      </c>
      <c r="X367">
        <v>3.8</v>
      </c>
      <c r="Y367">
        <v>4</v>
      </c>
      <c r="Z367">
        <v>23.8</v>
      </c>
    </row>
    <row r="368" spans="1:26">
      <c r="A368" t="s">
        <v>465</v>
      </c>
      <c r="B368" s="21">
        <v>45155</v>
      </c>
      <c r="C368" s="21">
        <v>45960</v>
      </c>
      <c r="D368" t="s">
        <v>57</v>
      </c>
      <c r="E368">
        <v>1</v>
      </c>
      <c r="F368" t="s">
        <v>46</v>
      </c>
      <c r="G368" t="s">
        <v>70</v>
      </c>
      <c r="H368" t="s">
        <v>162</v>
      </c>
      <c r="I368" t="s">
        <v>31</v>
      </c>
      <c r="J368" t="s">
        <v>32</v>
      </c>
      <c r="K368">
        <v>32</v>
      </c>
      <c r="L368" t="s">
        <v>33</v>
      </c>
      <c r="M368" t="s">
        <v>34</v>
      </c>
      <c r="N368" t="s">
        <v>35</v>
      </c>
      <c r="O368">
        <v>433000</v>
      </c>
      <c r="P368">
        <v>36083.33</v>
      </c>
      <c r="Q368">
        <v>26</v>
      </c>
      <c r="R368" t="s">
        <v>103</v>
      </c>
      <c r="S368">
        <v>4</v>
      </c>
      <c r="T368">
        <v>40</v>
      </c>
      <c r="U368">
        <v>4</v>
      </c>
      <c r="V368">
        <v>1</v>
      </c>
      <c r="W368" t="s">
        <v>37</v>
      </c>
      <c r="X368">
        <v>3.6</v>
      </c>
      <c r="Y368">
        <v>2</v>
      </c>
      <c r="Z368">
        <v>1.3</v>
      </c>
    </row>
    <row r="369" spans="1:26">
      <c r="A369" t="s">
        <v>466</v>
      </c>
      <c r="B369" s="21">
        <v>44971</v>
      </c>
      <c r="C369" s="21"/>
      <c r="D369" t="s">
        <v>27</v>
      </c>
      <c r="E369">
        <v>0</v>
      </c>
      <c r="F369" t="s">
        <v>60</v>
      </c>
      <c r="G369" t="s">
        <v>91</v>
      </c>
      <c r="H369" t="s">
        <v>112</v>
      </c>
      <c r="I369" t="s">
        <v>48</v>
      </c>
      <c r="J369" t="s">
        <v>54</v>
      </c>
      <c r="K369">
        <v>45</v>
      </c>
      <c r="L369" t="s">
        <v>42</v>
      </c>
      <c r="M369" t="s">
        <v>43</v>
      </c>
      <c r="N369" t="s">
        <v>35</v>
      </c>
      <c r="O369">
        <v>1253000</v>
      </c>
      <c r="P369">
        <v>104416.67</v>
      </c>
      <c r="Q369">
        <v>34</v>
      </c>
      <c r="R369" t="s">
        <v>36</v>
      </c>
      <c r="S369">
        <v>4.8</v>
      </c>
      <c r="T369">
        <v>62</v>
      </c>
      <c r="U369">
        <v>6</v>
      </c>
      <c r="V369">
        <v>5</v>
      </c>
      <c r="W369" t="s">
        <v>37</v>
      </c>
      <c r="X369">
        <v>2.8</v>
      </c>
      <c r="Y369">
        <v>0</v>
      </c>
      <c r="Z369">
        <v>11</v>
      </c>
    </row>
    <row r="370" spans="1:26">
      <c r="A370" t="s">
        <v>467</v>
      </c>
      <c r="B370" s="21">
        <v>45594</v>
      </c>
      <c r="C370" s="21"/>
      <c r="D370" t="s">
        <v>27</v>
      </c>
      <c r="E370">
        <v>0</v>
      </c>
      <c r="F370" t="s">
        <v>39</v>
      </c>
      <c r="G370" t="s">
        <v>51</v>
      </c>
      <c r="H370" t="s">
        <v>85</v>
      </c>
      <c r="I370" t="s">
        <v>31</v>
      </c>
      <c r="J370" t="s">
        <v>134</v>
      </c>
      <c r="K370">
        <v>47</v>
      </c>
      <c r="L370" t="s">
        <v>33</v>
      </c>
      <c r="M370" t="s">
        <v>34</v>
      </c>
      <c r="N370" t="s">
        <v>35</v>
      </c>
      <c r="O370">
        <v>828000</v>
      </c>
      <c r="P370">
        <v>69000</v>
      </c>
      <c r="Q370">
        <v>14</v>
      </c>
      <c r="R370" t="s">
        <v>36</v>
      </c>
      <c r="S370">
        <v>2.7</v>
      </c>
      <c r="T370">
        <v>1</v>
      </c>
      <c r="U370">
        <v>0</v>
      </c>
      <c r="V370">
        <v>2</v>
      </c>
      <c r="W370" t="s">
        <v>37</v>
      </c>
      <c r="X370">
        <v>5</v>
      </c>
      <c r="Y370">
        <v>3</v>
      </c>
      <c r="Z370">
        <v>20.2</v>
      </c>
    </row>
    <row r="371" spans="1:26">
      <c r="A371" t="s">
        <v>468</v>
      </c>
      <c r="B371" s="21">
        <v>43521</v>
      </c>
      <c r="C371" s="21">
        <v>45629</v>
      </c>
      <c r="D371" t="s">
        <v>57</v>
      </c>
      <c r="E371">
        <v>1</v>
      </c>
      <c r="F371" t="s">
        <v>46</v>
      </c>
      <c r="G371" t="s">
        <v>29</v>
      </c>
      <c r="H371" t="s">
        <v>162</v>
      </c>
      <c r="I371" t="s">
        <v>41</v>
      </c>
      <c r="J371" t="s">
        <v>54</v>
      </c>
      <c r="K371">
        <v>29</v>
      </c>
      <c r="L371" t="s">
        <v>42</v>
      </c>
      <c r="M371" t="s">
        <v>34</v>
      </c>
      <c r="N371" t="s">
        <v>35</v>
      </c>
      <c r="O371">
        <v>427000</v>
      </c>
      <c r="P371">
        <v>35583.33</v>
      </c>
      <c r="Q371">
        <v>70</v>
      </c>
      <c r="R371" t="s">
        <v>55</v>
      </c>
      <c r="S371">
        <v>2.4</v>
      </c>
      <c r="T371">
        <v>72</v>
      </c>
      <c r="U371">
        <v>17</v>
      </c>
      <c r="V371">
        <v>11</v>
      </c>
      <c r="W371" t="s">
        <v>37</v>
      </c>
      <c r="X371">
        <v>4.0999999999999996</v>
      </c>
      <c r="Y371">
        <v>2</v>
      </c>
      <c r="Z371">
        <v>25.5</v>
      </c>
    </row>
    <row r="372" spans="1:26">
      <c r="A372" t="s">
        <v>469</v>
      </c>
      <c r="B372" s="21">
        <v>43163</v>
      </c>
      <c r="C372" s="21"/>
      <c r="D372" t="s">
        <v>27</v>
      </c>
      <c r="E372">
        <v>0</v>
      </c>
      <c r="F372" t="s">
        <v>28</v>
      </c>
      <c r="G372" t="s">
        <v>70</v>
      </c>
      <c r="H372" t="s">
        <v>64</v>
      </c>
      <c r="I372" t="s">
        <v>75</v>
      </c>
      <c r="J372" t="s">
        <v>54</v>
      </c>
      <c r="K372">
        <v>32</v>
      </c>
      <c r="L372" t="s">
        <v>42</v>
      </c>
      <c r="M372" t="s">
        <v>58</v>
      </c>
      <c r="N372" t="s">
        <v>35</v>
      </c>
      <c r="O372">
        <v>590000</v>
      </c>
      <c r="P372">
        <v>49166.67</v>
      </c>
      <c r="Q372">
        <v>93</v>
      </c>
      <c r="R372" t="s">
        <v>36</v>
      </c>
      <c r="S372">
        <v>2.6</v>
      </c>
      <c r="T372">
        <v>68</v>
      </c>
      <c r="U372">
        <v>7</v>
      </c>
      <c r="V372">
        <v>0</v>
      </c>
      <c r="W372" t="s">
        <v>44</v>
      </c>
      <c r="X372">
        <v>4.2</v>
      </c>
      <c r="Y372">
        <v>4</v>
      </c>
      <c r="Z372">
        <v>10.8</v>
      </c>
    </row>
    <row r="373" spans="1:26">
      <c r="A373" t="s">
        <v>470</v>
      </c>
      <c r="B373" s="21">
        <v>45987</v>
      </c>
      <c r="C373" s="21"/>
      <c r="D373" t="s">
        <v>27</v>
      </c>
      <c r="E373">
        <v>0</v>
      </c>
      <c r="F373" t="s">
        <v>28</v>
      </c>
      <c r="G373" t="s">
        <v>88</v>
      </c>
      <c r="H373" t="s">
        <v>121</v>
      </c>
      <c r="I373" t="s">
        <v>75</v>
      </c>
      <c r="J373" t="s">
        <v>32</v>
      </c>
      <c r="K373">
        <v>27</v>
      </c>
      <c r="L373" t="s">
        <v>130</v>
      </c>
      <c r="M373" t="s">
        <v>78</v>
      </c>
      <c r="N373" t="s">
        <v>35</v>
      </c>
      <c r="O373">
        <v>999000</v>
      </c>
      <c r="P373">
        <v>83250</v>
      </c>
      <c r="Q373">
        <v>1</v>
      </c>
      <c r="R373" t="s">
        <v>116</v>
      </c>
      <c r="S373">
        <v>4</v>
      </c>
      <c r="T373">
        <v>53</v>
      </c>
      <c r="U373">
        <v>0</v>
      </c>
      <c r="V373">
        <v>0</v>
      </c>
      <c r="W373" t="s">
        <v>44</v>
      </c>
      <c r="X373">
        <v>1.6</v>
      </c>
      <c r="Y373">
        <v>2</v>
      </c>
      <c r="Z373">
        <v>17</v>
      </c>
    </row>
    <row r="374" spans="1:26">
      <c r="A374" t="s">
        <v>471</v>
      </c>
      <c r="B374" s="21">
        <v>43975</v>
      </c>
      <c r="C374" s="21"/>
      <c r="D374" t="s">
        <v>27</v>
      </c>
      <c r="E374">
        <v>0</v>
      </c>
      <c r="F374" t="s">
        <v>28</v>
      </c>
      <c r="G374" t="s">
        <v>70</v>
      </c>
      <c r="H374" t="s">
        <v>30</v>
      </c>
      <c r="I374" t="s">
        <v>31</v>
      </c>
      <c r="J374" t="s">
        <v>32</v>
      </c>
      <c r="K374">
        <v>37</v>
      </c>
      <c r="L374" t="s">
        <v>130</v>
      </c>
      <c r="M374" t="s">
        <v>34</v>
      </c>
      <c r="N374" t="s">
        <v>35</v>
      </c>
      <c r="O374">
        <v>514000</v>
      </c>
      <c r="P374">
        <v>42833.33</v>
      </c>
      <c r="Q374">
        <v>67</v>
      </c>
      <c r="R374" t="s">
        <v>116</v>
      </c>
      <c r="S374">
        <v>3.8</v>
      </c>
      <c r="T374">
        <v>80</v>
      </c>
      <c r="U374">
        <v>10</v>
      </c>
      <c r="V374">
        <v>4</v>
      </c>
      <c r="W374" t="s">
        <v>37</v>
      </c>
      <c r="X374">
        <v>3.5</v>
      </c>
      <c r="Y374">
        <v>1</v>
      </c>
      <c r="Z374">
        <v>10.1</v>
      </c>
    </row>
    <row r="375" spans="1:26">
      <c r="A375" t="s">
        <v>472</v>
      </c>
      <c r="B375" s="21">
        <v>43382</v>
      </c>
      <c r="C375" s="21"/>
      <c r="D375" t="s">
        <v>27</v>
      </c>
      <c r="E375">
        <v>0</v>
      </c>
      <c r="F375" t="s">
        <v>50</v>
      </c>
      <c r="G375" t="s">
        <v>88</v>
      </c>
      <c r="H375" t="s">
        <v>89</v>
      </c>
      <c r="I375" t="s">
        <v>48</v>
      </c>
      <c r="J375" t="s">
        <v>54</v>
      </c>
      <c r="K375">
        <v>47</v>
      </c>
      <c r="L375" t="s">
        <v>82</v>
      </c>
      <c r="M375" t="s">
        <v>58</v>
      </c>
      <c r="N375" t="s">
        <v>35</v>
      </c>
      <c r="O375">
        <v>971000</v>
      </c>
      <c r="P375">
        <v>80916.67</v>
      </c>
      <c r="Q375">
        <v>86</v>
      </c>
      <c r="R375" t="s">
        <v>55</v>
      </c>
      <c r="S375">
        <v>3.9</v>
      </c>
      <c r="T375">
        <v>8</v>
      </c>
      <c r="U375">
        <v>10</v>
      </c>
      <c r="V375">
        <v>6</v>
      </c>
      <c r="W375" t="s">
        <v>37</v>
      </c>
      <c r="X375">
        <v>4.8</v>
      </c>
      <c r="Y375">
        <v>4</v>
      </c>
      <c r="Z375">
        <v>5.4</v>
      </c>
    </row>
    <row r="376" spans="1:26">
      <c r="A376" t="s">
        <v>473</v>
      </c>
      <c r="B376" s="21">
        <v>45656</v>
      </c>
      <c r="C376" s="21"/>
      <c r="D376" t="s">
        <v>27</v>
      </c>
      <c r="E376">
        <v>0</v>
      </c>
      <c r="F376" t="s">
        <v>39</v>
      </c>
      <c r="G376" t="s">
        <v>29</v>
      </c>
      <c r="H376" t="s">
        <v>204</v>
      </c>
      <c r="I376" t="s">
        <v>31</v>
      </c>
      <c r="J376" t="s">
        <v>32</v>
      </c>
      <c r="K376">
        <v>28</v>
      </c>
      <c r="L376" t="s">
        <v>33</v>
      </c>
      <c r="M376" t="s">
        <v>34</v>
      </c>
      <c r="N376" t="s">
        <v>35</v>
      </c>
      <c r="O376">
        <v>343000</v>
      </c>
      <c r="P376">
        <v>28583.33</v>
      </c>
      <c r="Q376">
        <v>12</v>
      </c>
      <c r="R376" t="s">
        <v>36</v>
      </c>
      <c r="S376">
        <v>3.7</v>
      </c>
      <c r="T376">
        <v>79</v>
      </c>
      <c r="U376">
        <v>9</v>
      </c>
      <c r="V376">
        <v>3</v>
      </c>
      <c r="W376" t="s">
        <v>37</v>
      </c>
      <c r="X376">
        <v>3.5</v>
      </c>
      <c r="Y376">
        <v>0</v>
      </c>
      <c r="Z376">
        <v>14.6</v>
      </c>
    </row>
    <row r="377" spans="1:26">
      <c r="A377" t="s">
        <v>474</v>
      </c>
      <c r="B377" s="21">
        <v>45137</v>
      </c>
      <c r="C377" s="21"/>
      <c r="D377" t="s">
        <v>27</v>
      </c>
      <c r="E377">
        <v>0</v>
      </c>
      <c r="F377" t="s">
        <v>28</v>
      </c>
      <c r="G377" t="s">
        <v>70</v>
      </c>
      <c r="H377" t="s">
        <v>64</v>
      </c>
      <c r="I377" t="s">
        <v>75</v>
      </c>
      <c r="J377" t="s">
        <v>54</v>
      </c>
      <c r="K377">
        <v>38</v>
      </c>
      <c r="L377" t="s">
        <v>33</v>
      </c>
      <c r="M377" t="s">
        <v>43</v>
      </c>
      <c r="N377" t="s">
        <v>35</v>
      </c>
      <c r="O377">
        <v>479000</v>
      </c>
      <c r="P377">
        <v>39916.67</v>
      </c>
      <c r="Q377">
        <v>29</v>
      </c>
      <c r="R377" t="s">
        <v>36</v>
      </c>
      <c r="S377">
        <v>2.6</v>
      </c>
      <c r="T377">
        <v>17</v>
      </c>
      <c r="U377">
        <v>9</v>
      </c>
      <c r="V377">
        <v>7</v>
      </c>
      <c r="W377" t="s">
        <v>44</v>
      </c>
      <c r="X377">
        <v>4.8</v>
      </c>
      <c r="Y377">
        <v>1</v>
      </c>
      <c r="Z377">
        <v>13.4</v>
      </c>
    </row>
    <row r="378" spans="1:26">
      <c r="A378" t="s">
        <v>475</v>
      </c>
      <c r="B378" s="21">
        <v>43646</v>
      </c>
      <c r="C378" s="21"/>
      <c r="D378" t="s">
        <v>27</v>
      </c>
      <c r="E378">
        <v>0</v>
      </c>
      <c r="F378" t="s">
        <v>60</v>
      </c>
      <c r="G378" t="s">
        <v>29</v>
      </c>
      <c r="H378" t="s">
        <v>112</v>
      </c>
      <c r="I378" t="s">
        <v>48</v>
      </c>
      <c r="J378" t="s">
        <v>32</v>
      </c>
      <c r="K378">
        <v>26</v>
      </c>
      <c r="L378" t="s">
        <v>42</v>
      </c>
      <c r="M378" t="s">
        <v>65</v>
      </c>
      <c r="N378" t="s">
        <v>35</v>
      </c>
      <c r="O378">
        <v>322000</v>
      </c>
      <c r="P378">
        <v>26833.33</v>
      </c>
      <c r="Q378">
        <v>78</v>
      </c>
      <c r="R378" t="s">
        <v>36</v>
      </c>
      <c r="S378">
        <v>3</v>
      </c>
      <c r="T378">
        <v>71</v>
      </c>
      <c r="U378">
        <v>7</v>
      </c>
      <c r="V378">
        <v>1</v>
      </c>
      <c r="W378" t="s">
        <v>37</v>
      </c>
      <c r="X378">
        <v>4.2</v>
      </c>
      <c r="Y378">
        <v>4</v>
      </c>
      <c r="Z378">
        <v>14.4</v>
      </c>
    </row>
    <row r="379" spans="1:26">
      <c r="A379" t="s">
        <v>476</v>
      </c>
      <c r="B379" s="21">
        <v>43170</v>
      </c>
      <c r="C379" s="21"/>
      <c r="D379" t="s">
        <v>27</v>
      </c>
      <c r="E379">
        <v>0</v>
      </c>
      <c r="F379" t="s">
        <v>60</v>
      </c>
      <c r="G379" t="s">
        <v>51</v>
      </c>
      <c r="H379" t="s">
        <v>109</v>
      </c>
      <c r="I379" t="s">
        <v>48</v>
      </c>
      <c r="J379" t="s">
        <v>54</v>
      </c>
      <c r="K379">
        <v>49</v>
      </c>
      <c r="L379" t="s">
        <v>33</v>
      </c>
      <c r="M379" t="s">
        <v>65</v>
      </c>
      <c r="N379" t="s">
        <v>35</v>
      </c>
      <c r="O379">
        <v>911000</v>
      </c>
      <c r="P379">
        <v>75916.67</v>
      </c>
      <c r="Q379">
        <v>93</v>
      </c>
      <c r="R379" t="s">
        <v>36</v>
      </c>
      <c r="S379">
        <v>3.3</v>
      </c>
      <c r="T379">
        <v>5</v>
      </c>
      <c r="U379">
        <v>12</v>
      </c>
      <c r="V379">
        <v>6</v>
      </c>
      <c r="W379" t="s">
        <v>44</v>
      </c>
      <c r="X379">
        <v>3.4</v>
      </c>
      <c r="Y379">
        <v>5</v>
      </c>
      <c r="Z379">
        <v>2.7</v>
      </c>
    </row>
    <row r="380" spans="1:26">
      <c r="A380" t="s">
        <v>477</v>
      </c>
      <c r="B380" s="21">
        <v>44986</v>
      </c>
      <c r="C380" s="21"/>
      <c r="D380" t="s">
        <v>27</v>
      </c>
      <c r="E380">
        <v>0</v>
      </c>
      <c r="F380" t="s">
        <v>73</v>
      </c>
      <c r="G380" t="s">
        <v>91</v>
      </c>
      <c r="H380" t="s">
        <v>118</v>
      </c>
      <c r="I380" t="s">
        <v>75</v>
      </c>
      <c r="J380" t="s">
        <v>54</v>
      </c>
      <c r="K380">
        <v>46</v>
      </c>
      <c r="L380" t="s">
        <v>33</v>
      </c>
      <c r="M380" t="s">
        <v>43</v>
      </c>
      <c r="N380" t="s">
        <v>35</v>
      </c>
      <c r="O380">
        <v>1647000</v>
      </c>
      <c r="P380">
        <v>137250</v>
      </c>
      <c r="Q380">
        <v>33</v>
      </c>
      <c r="R380" t="s">
        <v>116</v>
      </c>
      <c r="S380">
        <v>4.0999999999999996</v>
      </c>
      <c r="T380">
        <v>56</v>
      </c>
      <c r="U380">
        <v>7</v>
      </c>
      <c r="V380">
        <v>2</v>
      </c>
      <c r="W380" t="s">
        <v>37</v>
      </c>
      <c r="X380">
        <v>3.1</v>
      </c>
      <c r="Y380">
        <v>1</v>
      </c>
      <c r="Z380">
        <v>17.600000000000001</v>
      </c>
    </row>
    <row r="381" spans="1:26">
      <c r="A381" t="s">
        <v>478</v>
      </c>
      <c r="B381" s="21">
        <v>45505</v>
      </c>
      <c r="C381" s="21"/>
      <c r="D381" t="s">
        <v>27</v>
      </c>
      <c r="E381">
        <v>0</v>
      </c>
      <c r="F381" t="s">
        <v>46</v>
      </c>
      <c r="G381" t="s">
        <v>51</v>
      </c>
      <c r="H381" t="s">
        <v>92</v>
      </c>
      <c r="I381" t="s">
        <v>41</v>
      </c>
      <c r="J381" t="s">
        <v>54</v>
      </c>
      <c r="K381">
        <v>27</v>
      </c>
      <c r="L381" t="s">
        <v>42</v>
      </c>
      <c r="M381" t="s">
        <v>34</v>
      </c>
      <c r="N381" t="s">
        <v>35</v>
      </c>
      <c r="O381">
        <v>574000</v>
      </c>
      <c r="P381">
        <v>47833.33</v>
      </c>
      <c r="Q381">
        <v>16</v>
      </c>
      <c r="R381" t="s">
        <v>36</v>
      </c>
      <c r="S381">
        <v>5</v>
      </c>
      <c r="T381">
        <v>14</v>
      </c>
      <c r="U381">
        <v>14</v>
      </c>
      <c r="V381">
        <v>8</v>
      </c>
      <c r="W381" t="s">
        <v>44</v>
      </c>
      <c r="X381">
        <v>4.3</v>
      </c>
      <c r="Y381">
        <v>1</v>
      </c>
      <c r="Z381">
        <v>19.3</v>
      </c>
    </row>
    <row r="382" spans="1:26">
      <c r="A382" t="s">
        <v>479</v>
      </c>
      <c r="B382" s="21">
        <v>44238</v>
      </c>
      <c r="C382" s="21">
        <v>44595</v>
      </c>
      <c r="D382" t="s">
        <v>57</v>
      </c>
      <c r="E382">
        <v>1</v>
      </c>
      <c r="F382" t="s">
        <v>73</v>
      </c>
      <c r="G382" t="s">
        <v>70</v>
      </c>
      <c r="H382" t="s">
        <v>74</v>
      </c>
      <c r="I382" t="s">
        <v>48</v>
      </c>
      <c r="J382" t="s">
        <v>54</v>
      </c>
      <c r="K382">
        <v>37</v>
      </c>
      <c r="L382" t="s">
        <v>33</v>
      </c>
      <c r="M382" t="s">
        <v>43</v>
      </c>
      <c r="N382" t="s">
        <v>93</v>
      </c>
      <c r="O382">
        <v>610000</v>
      </c>
      <c r="P382">
        <v>50833.33</v>
      </c>
      <c r="Q382">
        <v>12</v>
      </c>
      <c r="R382" t="s">
        <v>116</v>
      </c>
      <c r="S382">
        <v>5</v>
      </c>
      <c r="T382">
        <v>31</v>
      </c>
      <c r="U382">
        <v>1</v>
      </c>
      <c r="V382">
        <v>0</v>
      </c>
      <c r="W382" t="s">
        <v>37</v>
      </c>
      <c r="X382">
        <v>4.8</v>
      </c>
      <c r="Y382">
        <v>0</v>
      </c>
      <c r="Z382">
        <v>1</v>
      </c>
    </row>
    <row r="383" spans="1:26">
      <c r="A383" t="s">
        <v>480</v>
      </c>
      <c r="B383" s="21">
        <v>44775</v>
      </c>
      <c r="C383" s="21"/>
      <c r="D383" t="s">
        <v>27</v>
      </c>
      <c r="E383">
        <v>0</v>
      </c>
      <c r="F383" t="s">
        <v>50</v>
      </c>
      <c r="G383" t="s">
        <v>88</v>
      </c>
      <c r="H383" t="s">
        <v>124</v>
      </c>
      <c r="I383" t="s">
        <v>53</v>
      </c>
      <c r="J383" t="s">
        <v>32</v>
      </c>
      <c r="K383">
        <v>46</v>
      </c>
      <c r="L383" t="s">
        <v>33</v>
      </c>
      <c r="M383" t="s">
        <v>65</v>
      </c>
      <c r="N383" t="s">
        <v>35</v>
      </c>
      <c r="O383">
        <v>1011000</v>
      </c>
      <c r="P383">
        <v>84250</v>
      </c>
      <c r="Q383">
        <v>40</v>
      </c>
      <c r="R383" t="s">
        <v>55</v>
      </c>
      <c r="S383">
        <v>4.4000000000000004</v>
      </c>
      <c r="T383">
        <v>65</v>
      </c>
      <c r="U383">
        <v>13</v>
      </c>
      <c r="V383">
        <v>1</v>
      </c>
      <c r="W383" t="s">
        <v>44</v>
      </c>
      <c r="X383">
        <v>4.7</v>
      </c>
      <c r="Y383">
        <v>4</v>
      </c>
      <c r="Z383">
        <v>1</v>
      </c>
    </row>
    <row r="384" spans="1:26">
      <c r="A384" t="s">
        <v>481</v>
      </c>
      <c r="B384" s="21">
        <v>43103</v>
      </c>
      <c r="C384" s="21"/>
      <c r="D384" t="s">
        <v>27</v>
      </c>
      <c r="E384">
        <v>0</v>
      </c>
      <c r="F384" t="s">
        <v>73</v>
      </c>
      <c r="G384" t="s">
        <v>51</v>
      </c>
      <c r="H384" t="s">
        <v>74</v>
      </c>
      <c r="I384" t="s">
        <v>53</v>
      </c>
      <c r="J384" t="s">
        <v>32</v>
      </c>
      <c r="K384">
        <v>37</v>
      </c>
      <c r="L384" t="s">
        <v>33</v>
      </c>
      <c r="M384" t="s">
        <v>34</v>
      </c>
      <c r="N384" t="s">
        <v>194</v>
      </c>
      <c r="O384">
        <v>707000</v>
      </c>
      <c r="P384">
        <v>58916.67</v>
      </c>
      <c r="Q384">
        <v>95</v>
      </c>
      <c r="R384" t="s">
        <v>36</v>
      </c>
      <c r="S384">
        <v>4.2</v>
      </c>
      <c r="T384">
        <v>73</v>
      </c>
      <c r="U384">
        <v>7</v>
      </c>
      <c r="V384">
        <v>0</v>
      </c>
      <c r="W384" t="s">
        <v>37</v>
      </c>
      <c r="X384">
        <v>2.4</v>
      </c>
      <c r="Y384">
        <v>4</v>
      </c>
      <c r="Z384">
        <v>16.899999999999999</v>
      </c>
    </row>
    <row r="385" spans="1:26">
      <c r="A385" t="s">
        <v>482</v>
      </c>
      <c r="B385" s="21">
        <v>43412</v>
      </c>
      <c r="C385" s="21"/>
      <c r="D385" t="s">
        <v>27</v>
      </c>
      <c r="E385">
        <v>0</v>
      </c>
      <c r="F385" t="s">
        <v>67</v>
      </c>
      <c r="G385" t="s">
        <v>88</v>
      </c>
      <c r="H385" t="s">
        <v>77</v>
      </c>
      <c r="I385" t="s">
        <v>53</v>
      </c>
      <c r="J385" t="s">
        <v>54</v>
      </c>
      <c r="K385">
        <v>39</v>
      </c>
      <c r="L385" t="s">
        <v>33</v>
      </c>
      <c r="M385" t="s">
        <v>65</v>
      </c>
      <c r="N385" t="s">
        <v>35</v>
      </c>
      <c r="O385">
        <v>1053000</v>
      </c>
      <c r="P385">
        <v>87750</v>
      </c>
      <c r="Q385">
        <v>85</v>
      </c>
      <c r="R385" t="s">
        <v>36</v>
      </c>
      <c r="S385">
        <v>3.4</v>
      </c>
      <c r="T385">
        <v>9</v>
      </c>
      <c r="U385">
        <v>19</v>
      </c>
      <c r="V385">
        <v>7</v>
      </c>
      <c r="W385" t="s">
        <v>37</v>
      </c>
      <c r="X385">
        <v>2.7</v>
      </c>
      <c r="Y385">
        <v>3</v>
      </c>
      <c r="Z385">
        <v>10.8</v>
      </c>
    </row>
    <row r="386" spans="1:26">
      <c r="A386" t="s">
        <v>483</v>
      </c>
      <c r="B386" s="21">
        <v>45821</v>
      </c>
      <c r="C386" s="21"/>
      <c r="D386" t="s">
        <v>27</v>
      </c>
      <c r="E386">
        <v>0</v>
      </c>
      <c r="F386" t="s">
        <v>73</v>
      </c>
      <c r="G386" t="s">
        <v>29</v>
      </c>
      <c r="H386" t="s">
        <v>126</v>
      </c>
      <c r="I386" t="s">
        <v>31</v>
      </c>
      <c r="J386" t="s">
        <v>32</v>
      </c>
      <c r="K386">
        <v>25</v>
      </c>
      <c r="L386" t="s">
        <v>42</v>
      </c>
      <c r="M386" t="s">
        <v>34</v>
      </c>
      <c r="N386" t="s">
        <v>35</v>
      </c>
      <c r="O386">
        <v>308000</v>
      </c>
      <c r="P386">
        <v>25666.67</v>
      </c>
      <c r="Q386">
        <v>6</v>
      </c>
      <c r="R386" t="s">
        <v>36</v>
      </c>
      <c r="S386">
        <v>3.5</v>
      </c>
      <c r="T386">
        <v>17</v>
      </c>
      <c r="U386">
        <v>17</v>
      </c>
      <c r="V386">
        <v>6</v>
      </c>
      <c r="W386" t="s">
        <v>37</v>
      </c>
      <c r="X386">
        <v>3.1</v>
      </c>
      <c r="Y386">
        <v>2</v>
      </c>
      <c r="Z386">
        <v>14.8</v>
      </c>
    </row>
    <row r="387" spans="1:26">
      <c r="A387" t="s">
        <v>484</v>
      </c>
      <c r="B387" s="21">
        <v>45400</v>
      </c>
      <c r="C387" s="21">
        <v>46014</v>
      </c>
      <c r="D387" t="s">
        <v>57</v>
      </c>
      <c r="E387">
        <v>1</v>
      </c>
      <c r="F387" t="s">
        <v>50</v>
      </c>
      <c r="G387" t="s">
        <v>88</v>
      </c>
      <c r="H387" t="s">
        <v>124</v>
      </c>
      <c r="I387" t="s">
        <v>53</v>
      </c>
      <c r="J387" t="s">
        <v>54</v>
      </c>
      <c r="K387">
        <v>37</v>
      </c>
      <c r="L387" t="s">
        <v>42</v>
      </c>
      <c r="M387" t="s">
        <v>65</v>
      </c>
      <c r="N387" t="s">
        <v>35</v>
      </c>
      <c r="O387">
        <v>1272000</v>
      </c>
      <c r="P387">
        <v>106000</v>
      </c>
      <c r="Q387">
        <v>20</v>
      </c>
      <c r="R387" t="s">
        <v>116</v>
      </c>
      <c r="S387">
        <v>3.3</v>
      </c>
      <c r="T387">
        <v>75</v>
      </c>
      <c r="U387">
        <v>12</v>
      </c>
      <c r="V387">
        <v>1</v>
      </c>
      <c r="W387" t="s">
        <v>37</v>
      </c>
      <c r="X387">
        <v>4.9000000000000004</v>
      </c>
      <c r="Y387">
        <v>5</v>
      </c>
      <c r="Z387">
        <v>5.3</v>
      </c>
    </row>
    <row r="388" spans="1:26">
      <c r="A388" t="s">
        <v>485</v>
      </c>
      <c r="B388" s="21">
        <v>45329</v>
      </c>
      <c r="C388" s="21">
        <v>45561</v>
      </c>
      <c r="D388" t="s">
        <v>57</v>
      </c>
      <c r="E388">
        <v>1</v>
      </c>
      <c r="F388" t="s">
        <v>39</v>
      </c>
      <c r="G388" t="s">
        <v>88</v>
      </c>
      <c r="H388" t="s">
        <v>85</v>
      </c>
      <c r="I388" t="s">
        <v>75</v>
      </c>
      <c r="J388" t="s">
        <v>32</v>
      </c>
      <c r="K388">
        <v>45</v>
      </c>
      <c r="L388" t="s">
        <v>130</v>
      </c>
      <c r="M388" t="s">
        <v>40</v>
      </c>
      <c r="N388" t="s">
        <v>35</v>
      </c>
      <c r="O388">
        <v>1159000</v>
      </c>
      <c r="P388">
        <v>96583.33</v>
      </c>
      <c r="Q388">
        <v>7</v>
      </c>
      <c r="R388" t="s">
        <v>116</v>
      </c>
      <c r="S388">
        <v>2.8</v>
      </c>
      <c r="T388">
        <v>43</v>
      </c>
      <c r="U388">
        <v>25</v>
      </c>
      <c r="V388">
        <v>8</v>
      </c>
      <c r="W388" t="s">
        <v>37</v>
      </c>
      <c r="X388">
        <v>3</v>
      </c>
      <c r="Y388">
        <v>4</v>
      </c>
      <c r="Z388">
        <v>12.2</v>
      </c>
    </row>
    <row r="389" spans="1:26">
      <c r="A389" t="s">
        <v>486</v>
      </c>
      <c r="B389" s="21">
        <v>45452</v>
      </c>
      <c r="C389" s="21"/>
      <c r="D389" t="s">
        <v>27</v>
      </c>
      <c r="E389">
        <v>0</v>
      </c>
      <c r="F389" t="s">
        <v>46</v>
      </c>
      <c r="G389" t="s">
        <v>51</v>
      </c>
      <c r="H389" t="s">
        <v>71</v>
      </c>
      <c r="I389" t="s">
        <v>53</v>
      </c>
      <c r="J389" t="s">
        <v>54</v>
      </c>
      <c r="K389">
        <v>30</v>
      </c>
      <c r="L389" t="s">
        <v>33</v>
      </c>
      <c r="M389" t="s">
        <v>43</v>
      </c>
      <c r="N389" t="s">
        <v>35</v>
      </c>
      <c r="O389">
        <v>837000</v>
      </c>
      <c r="P389">
        <v>69750</v>
      </c>
      <c r="Q389">
        <v>18</v>
      </c>
      <c r="R389" t="s">
        <v>55</v>
      </c>
      <c r="S389">
        <v>4.3</v>
      </c>
      <c r="T389">
        <v>13</v>
      </c>
      <c r="U389">
        <v>5</v>
      </c>
      <c r="V389">
        <v>4</v>
      </c>
      <c r="W389" t="s">
        <v>44</v>
      </c>
      <c r="X389">
        <v>4.0999999999999996</v>
      </c>
      <c r="Y389">
        <v>2</v>
      </c>
      <c r="Z389">
        <v>7.4</v>
      </c>
    </row>
    <row r="390" spans="1:26">
      <c r="A390" t="s">
        <v>487</v>
      </c>
      <c r="B390" s="21">
        <v>44987</v>
      </c>
      <c r="C390" s="21"/>
      <c r="D390" t="s">
        <v>27</v>
      </c>
      <c r="E390">
        <v>0</v>
      </c>
      <c r="F390" t="s">
        <v>73</v>
      </c>
      <c r="G390" t="s">
        <v>105</v>
      </c>
      <c r="H390" t="s">
        <v>74</v>
      </c>
      <c r="I390" t="s">
        <v>62</v>
      </c>
      <c r="J390" t="s">
        <v>54</v>
      </c>
      <c r="K390">
        <v>51</v>
      </c>
      <c r="L390" t="s">
        <v>33</v>
      </c>
      <c r="M390" t="s">
        <v>34</v>
      </c>
      <c r="N390" t="s">
        <v>35</v>
      </c>
      <c r="O390">
        <v>1932000</v>
      </c>
      <c r="P390">
        <v>161000</v>
      </c>
      <c r="Q390">
        <v>33</v>
      </c>
      <c r="R390" t="s">
        <v>55</v>
      </c>
      <c r="S390">
        <v>3.3</v>
      </c>
      <c r="T390">
        <v>1</v>
      </c>
      <c r="U390">
        <v>20</v>
      </c>
      <c r="V390">
        <v>8</v>
      </c>
      <c r="W390" t="s">
        <v>44</v>
      </c>
      <c r="X390">
        <v>3.3</v>
      </c>
      <c r="Y390">
        <v>0</v>
      </c>
      <c r="Z390">
        <v>9.3000000000000007</v>
      </c>
    </row>
    <row r="391" spans="1:26">
      <c r="A391" t="s">
        <v>488</v>
      </c>
      <c r="B391" s="21">
        <v>44052</v>
      </c>
      <c r="C391" s="21"/>
      <c r="D391" t="s">
        <v>27</v>
      </c>
      <c r="E391">
        <v>0</v>
      </c>
      <c r="F391" t="s">
        <v>67</v>
      </c>
      <c r="G391" t="s">
        <v>88</v>
      </c>
      <c r="H391" t="s">
        <v>68</v>
      </c>
      <c r="I391" t="s">
        <v>62</v>
      </c>
      <c r="J391" t="s">
        <v>32</v>
      </c>
      <c r="K391">
        <v>26</v>
      </c>
      <c r="L391" t="s">
        <v>96</v>
      </c>
      <c r="M391" t="s">
        <v>43</v>
      </c>
      <c r="N391" t="s">
        <v>35</v>
      </c>
      <c r="O391">
        <v>1118000</v>
      </c>
      <c r="P391">
        <v>93166.67</v>
      </c>
      <c r="Q391">
        <v>64</v>
      </c>
      <c r="R391" t="s">
        <v>36</v>
      </c>
      <c r="S391">
        <v>5</v>
      </c>
      <c r="T391">
        <v>58</v>
      </c>
      <c r="U391">
        <v>17</v>
      </c>
      <c r="V391">
        <v>8</v>
      </c>
      <c r="W391" t="s">
        <v>37</v>
      </c>
      <c r="X391">
        <v>4.0999999999999996</v>
      </c>
      <c r="Y391">
        <v>1</v>
      </c>
      <c r="Z391">
        <v>6.7</v>
      </c>
    </row>
    <row r="392" spans="1:26">
      <c r="A392" t="s">
        <v>489</v>
      </c>
      <c r="B392" s="21">
        <v>42954</v>
      </c>
      <c r="C392" s="21"/>
      <c r="D392" t="s">
        <v>27</v>
      </c>
      <c r="E392">
        <v>0</v>
      </c>
      <c r="F392" t="s">
        <v>46</v>
      </c>
      <c r="G392" t="s">
        <v>29</v>
      </c>
      <c r="H392" t="s">
        <v>71</v>
      </c>
      <c r="I392" t="s">
        <v>75</v>
      </c>
      <c r="J392" t="s">
        <v>32</v>
      </c>
      <c r="K392">
        <v>21</v>
      </c>
      <c r="L392" t="s">
        <v>42</v>
      </c>
      <c r="M392" t="s">
        <v>34</v>
      </c>
      <c r="N392" t="s">
        <v>35</v>
      </c>
      <c r="O392">
        <v>272000</v>
      </c>
      <c r="P392">
        <v>22666.67</v>
      </c>
      <c r="Q392">
        <v>100</v>
      </c>
      <c r="R392" t="s">
        <v>36</v>
      </c>
      <c r="S392">
        <v>4</v>
      </c>
      <c r="T392">
        <v>22</v>
      </c>
      <c r="U392">
        <v>7</v>
      </c>
      <c r="V392">
        <v>3</v>
      </c>
      <c r="W392" t="s">
        <v>37</v>
      </c>
      <c r="X392">
        <v>2.9</v>
      </c>
      <c r="Y392">
        <v>0</v>
      </c>
      <c r="Z392">
        <v>9.4</v>
      </c>
    </row>
    <row r="393" spans="1:26">
      <c r="A393" t="s">
        <v>490</v>
      </c>
      <c r="B393" s="21">
        <v>44900</v>
      </c>
      <c r="C393" s="21"/>
      <c r="D393" t="s">
        <v>27</v>
      </c>
      <c r="E393">
        <v>0</v>
      </c>
      <c r="F393" t="s">
        <v>73</v>
      </c>
      <c r="G393" t="s">
        <v>70</v>
      </c>
      <c r="H393" t="s">
        <v>126</v>
      </c>
      <c r="I393" t="s">
        <v>31</v>
      </c>
      <c r="J393" t="s">
        <v>32</v>
      </c>
      <c r="K393">
        <v>36</v>
      </c>
      <c r="L393" t="s">
        <v>42</v>
      </c>
      <c r="M393" t="s">
        <v>78</v>
      </c>
      <c r="N393" t="s">
        <v>35</v>
      </c>
      <c r="O393">
        <v>568000</v>
      </c>
      <c r="P393">
        <v>47333.33</v>
      </c>
      <c r="Q393">
        <v>36</v>
      </c>
      <c r="R393" t="s">
        <v>36</v>
      </c>
      <c r="S393">
        <v>2.6</v>
      </c>
      <c r="T393">
        <v>63</v>
      </c>
      <c r="U393">
        <v>16</v>
      </c>
      <c r="V393">
        <v>3</v>
      </c>
      <c r="W393" t="s">
        <v>37</v>
      </c>
      <c r="X393">
        <v>4.2</v>
      </c>
      <c r="Y393">
        <v>1</v>
      </c>
      <c r="Z393">
        <v>7.5</v>
      </c>
    </row>
    <row r="394" spans="1:26">
      <c r="A394" t="s">
        <v>491</v>
      </c>
      <c r="B394" s="21">
        <v>42866</v>
      </c>
      <c r="C394" s="21">
        <v>44847</v>
      </c>
      <c r="D394" t="s">
        <v>57</v>
      </c>
      <c r="E394">
        <v>1</v>
      </c>
      <c r="F394" t="s">
        <v>73</v>
      </c>
      <c r="G394" t="s">
        <v>88</v>
      </c>
      <c r="H394" t="s">
        <v>102</v>
      </c>
      <c r="I394" t="s">
        <v>62</v>
      </c>
      <c r="J394" t="s">
        <v>54</v>
      </c>
      <c r="K394">
        <v>45</v>
      </c>
      <c r="L394" t="s">
        <v>130</v>
      </c>
      <c r="M394" t="s">
        <v>65</v>
      </c>
      <c r="N394" t="s">
        <v>194</v>
      </c>
      <c r="O394">
        <v>1076000</v>
      </c>
      <c r="P394">
        <v>89666.67</v>
      </c>
      <c r="Q394">
        <v>65</v>
      </c>
      <c r="R394" t="s">
        <v>36</v>
      </c>
      <c r="S394">
        <v>3.5</v>
      </c>
      <c r="T394">
        <v>41</v>
      </c>
      <c r="U394">
        <v>22</v>
      </c>
      <c r="V394">
        <v>9</v>
      </c>
      <c r="W394" t="s">
        <v>37</v>
      </c>
      <c r="X394">
        <v>3.7</v>
      </c>
      <c r="Y394">
        <v>3</v>
      </c>
      <c r="Z394">
        <v>16.100000000000001</v>
      </c>
    </row>
    <row r="395" spans="1:26">
      <c r="A395" t="s">
        <v>492</v>
      </c>
      <c r="B395" s="21">
        <v>44259</v>
      </c>
      <c r="C395" s="21"/>
      <c r="D395" t="s">
        <v>27</v>
      </c>
      <c r="E395">
        <v>0</v>
      </c>
      <c r="F395" t="s">
        <v>98</v>
      </c>
      <c r="G395" t="s">
        <v>51</v>
      </c>
      <c r="H395" t="s">
        <v>99</v>
      </c>
      <c r="I395" t="s">
        <v>48</v>
      </c>
      <c r="J395" t="s">
        <v>32</v>
      </c>
      <c r="K395">
        <v>48</v>
      </c>
      <c r="L395" t="s">
        <v>33</v>
      </c>
      <c r="M395" t="s">
        <v>43</v>
      </c>
      <c r="N395" t="s">
        <v>35</v>
      </c>
      <c r="O395">
        <v>780000</v>
      </c>
      <c r="P395">
        <v>65000</v>
      </c>
      <c r="Q395">
        <v>57</v>
      </c>
      <c r="R395" t="s">
        <v>55</v>
      </c>
      <c r="S395">
        <v>3.9</v>
      </c>
      <c r="T395">
        <v>34</v>
      </c>
      <c r="U395">
        <v>12</v>
      </c>
      <c r="V395">
        <v>14</v>
      </c>
      <c r="W395" t="s">
        <v>44</v>
      </c>
      <c r="X395">
        <v>3.9</v>
      </c>
      <c r="Y395">
        <v>0</v>
      </c>
      <c r="Z395">
        <v>5.9</v>
      </c>
    </row>
    <row r="396" spans="1:26">
      <c r="A396" t="s">
        <v>493</v>
      </c>
      <c r="B396" s="21">
        <v>43257</v>
      </c>
      <c r="C396" s="21"/>
      <c r="D396" t="s">
        <v>27</v>
      </c>
      <c r="E396">
        <v>0</v>
      </c>
      <c r="F396" t="s">
        <v>67</v>
      </c>
      <c r="G396" t="s">
        <v>70</v>
      </c>
      <c r="H396" t="s">
        <v>77</v>
      </c>
      <c r="I396" t="s">
        <v>53</v>
      </c>
      <c r="J396" t="s">
        <v>54</v>
      </c>
      <c r="K396">
        <v>33</v>
      </c>
      <c r="L396" t="s">
        <v>130</v>
      </c>
      <c r="M396" t="s">
        <v>40</v>
      </c>
      <c r="N396" t="s">
        <v>35</v>
      </c>
      <c r="O396">
        <v>496000</v>
      </c>
      <c r="P396">
        <v>41333.33</v>
      </c>
      <c r="Q396">
        <v>90</v>
      </c>
      <c r="R396" t="s">
        <v>55</v>
      </c>
      <c r="S396">
        <v>1.9</v>
      </c>
      <c r="T396">
        <v>31</v>
      </c>
      <c r="U396">
        <v>3</v>
      </c>
      <c r="V396">
        <v>4</v>
      </c>
      <c r="W396" t="s">
        <v>44</v>
      </c>
      <c r="X396">
        <v>2.7</v>
      </c>
      <c r="Y396">
        <v>5</v>
      </c>
      <c r="Z396">
        <v>7.7</v>
      </c>
    </row>
    <row r="397" spans="1:26">
      <c r="A397" t="s">
        <v>494</v>
      </c>
      <c r="B397" s="21">
        <v>42744</v>
      </c>
      <c r="C397" s="21">
        <v>43518</v>
      </c>
      <c r="D397" t="s">
        <v>57</v>
      </c>
      <c r="E397">
        <v>1</v>
      </c>
      <c r="F397" t="s">
        <v>73</v>
      </c>
      <c r="G397" t="s">
        <v>70</v>
      </c>
      <c r="H397" t="s">
        <v>118</v>
      </c>
      <c r="I397" t="s">
        <v>75</v>
      </c>
      <c r="J397" t="s">
        <v>54</v>
      </c>
      <c r="K397">
        <v>38</v>
      </c>
      <c r="L397" t="s">
        <v>33</v>
      </c>
      <c r="M397" t="s">
        <v>43</v>
      </c>
      <c r="N397" t="s">
        <v>93</v>
      </c>
      <c r="O397">
        <v>462000</v>
      </c>
      <c r="P397">
        <v>38500</v>
      </c>
      <c r="Q397">
        <v>25</v>
      </c>
      <c r="R397" t="s">
        <v>103</v>
      </c>
      <c r="S397">
        <v>3.5</v>
      </c>
      <c r="T397">
        <v>50</v>
      </c>
      <c r="U397">
        <v>26</v>
      </c>
      <c r="V397">
        <v>5</v>
      </c>
      <c r="W397" t="s">
        <v>37</v>
      </c>
      <c r="X397">
        <v>4</v>
      </c>
      <c r="Y397">
        <v>5</v>
      </c>
      <c r="Z397">
        <v>8.3000000000000007</v>
      </c>
    </row>
    <row r="398" spans="1:26">
      <c r="A398" t="s">
        <v>495</v>
      </c>
      <c r="B398" s="21">
        <v>43245</v>
      </c>
      <c r="C398" s="21"/>
      <c r="D398" t="s">
        <v>27</v>
      </c>
      <c r="E398">
        <v>0</v>
      </c>
      <c r="F398" t="s">
        <v>50</v>
      </c>
      <c r="G398" t="s">
        <v>29</v>
      </c>
      <c r="H398" t="s">
        <v>124</v>
      </c>
      <c r="I398" t="s">
        <v>62</v>
      </c>
      <c r="J398" t="s">
        <v>54</v>
      </c>
      <c r="K398">
        <v>38</v>
      </c>
      <c r="L398" t="s">
        <v>42</v>
      </c>
      <c r="M398" t="s">
        <v>34</v>
      </c>
      <c r="N398" t="s">
        <v>93</v>
      </c>
      <c r="O398">
        <v>412000</v>
      </c>
      <c r="P398">
        <v>34333.33</v>
      </c>
      <c r="Q398">
        <v>91</v>
      </c>
      <c r="R398" t="s">
        <v>36</v>
      </c>
      <c r="S398">
        <v>3.9</v>
      </c>
      <c r="T398">
        <v>68</v>
      </c>
      <c r="U398">
        <v>23</v>
      </c>
      <c r="V398">
        <v>5</v>
      </c>
      <c r="W398" t="s">
        <v>44</v>
      </c>
      <c r="X398">
        <v>3.9</v>
      </c>
      <c r="Y398">
        <v>2</v>
      </c>
      <c r="Z398">
        <v>17.600000000000001</v>
      </c>
    </row>
    <row r="399" spans="1:26">
      <c r="A399" t="s">
        <v>496</v>
      </c>
      <c r="B399" s="21">
        <v>44701</v>
      </c>
      <c r="C399" s="21"/>
      <c r="D399" t="s">
        <v>27</v>
      </c>
      <c r="E399">
        <v>0</v>
      </c>
      <c r="F399" t="s">
        <v>60</v>
      </c>
      <c r="G399" t="s">
        <v>91</v>
      </c>
      <c r="H399" t="s">
        <v>61</v>
      </c>
      <c r="I399" t="s">
        <v>75</v>
      </c>
      <c r="J399" t="s">
        <v>134</v>
      </c>
      <c r="K399">
        <v>54</v>
      </c>
      <c r="L399" t="s">
        <v>42</v>
      </c>
      <c r="M399" t="s">
        <v>65</v>
      </c>
      <c r="N399" t="s">
        <v>35</v>
      </c>
      <c r="O399">
        <v>1671000</v>
      </c>
      <c r="P399">
        <v>139250</v>
      </c>
      <c r="Q399">
        <v>43</v>
      </c>
      <c r="R399" t="s">
        <v>55</v>
      </c>
      <c r="S399">
        <v>5</v>
      </c>
      <c r="T399">
        <v>74</v>
      </c>
      <c r="U399">
        <v>0</v>
      </c>
      <c r="V399">
        <v>0</v>
      </c>
      <c r="W399" t="s">
        <v>37</v>
      </c>
      <c r="X399">
        <v>4.8</v>
      </c>
      <c r="Y399">
        <v>2</v>
      </c>
      <c r="Z399">
        <v>7.4</v>
      </c>
    </row>
    <row r="400" spans="1:26">
      <c r="A400" t="s">
        <v>497</v>
      </c>
      <c r="B400" s="21">
        <v>45408</v>
      </c>
      <c r="C400" s="21"/>
      <c r="D400" t="s">
        <v>27</v>
      </c>
      <c r="E400">
        <v>0</v>
      </c>
      <c r="F400" t="s">
        <v>73</v>
      </c>
      <c r="G400" t="s">
        <v>51</v>
      </c>
      <c r="H400" t="s">
        <v>126</v>
      </c>
      <c r="I400" t="s">
        <v>53</v>
      </c>
      <c r="J400" t="s">
        <v>54</v>
      </c>
      <c r="K400">
        <v>41</v>
      </c>
      <c r="L400" t="s">
        <v>33</v>
      </c>
      <c r="M400" t="s">
        <v>65</v>
      </c>
      <c r="N400" t="s">
        <v>35</v>
      </c>
      <c r="O400">
        <v>691000</v>
      </c>
      <c r="P400">
        <v>57583.33</v>
      </c>
      <c r="Q400">
        <v>20</v>
      </c>
      <c r="R400" t="s">
        <v>55</v>
      </c>
      <c r="S400">
        <v>4.5999999999999996</v>
      </c>
      <c r="T400">
        <v>76</v>
      </c>
      <c r="U400">
        <v>17</v>
      </c>
      <c r="V400">
        <v>4</v>
      </c>
      <c r="W400" t="s">
        <v>37</v>
      </c>
      <c r="X400">
        <v>3.3</v>
      </c>
      <c r="Y400">
        <v>1</v>
      </c>
      <c r="Z400">
        <v>18.2</v>
      </c>
    </row>
    <row r="401" spans="1:26">
      <c r="A401" t="s">
        <v>498</v>
      </c>
      <c r="B401" s="21">
        <v>45963</v>
      </c>
      <c r="C401" s="21"/>
      <c r="D401" t="s">
        <v>27</v>
      </c>
      <c r="E401">
        <v>0</v>
      </c>
      <c r="F401" t="s">
        <v>50</v>
      </c>
      <c r="G401" t="s">
        <v>51</v>
      </c>
      <c r="H401" t="s">
        <v>89</v>
      </c>
      <c r="I401" t="s">
        <v>62</v>
      </c>
      <c r="J401" t="s">
        <v>54</v>
      </c>
      <c r="K401">
        <v>37</v>
      </c>
      <c r="L401" t="s">
        <v>130</v>
      </c>
      <c r="M401" t="s">
        <v>58</v>
      </c>
      <c r="N401" t="s">
        <v>93</v>
      </c>
      <c r="O401">
        <v>869000</v>
      </c>
      <c r="P401">
        <v>72416.67</v>
      </c>
      <c r="Q401">
        <v>1</v>
      </c>
      <c r="R401" t="s">
        <v>116</v>
      </c>
      <c r="S401">
        <v>4.0999999999999996</v>
      </c>
      <c r="T401">
        <v>28</v>
      </c>
      <c r="U401">
        <v>3</v>
      </c>
      <c r="V401">
        <v>0</v>
      </c>
      <c r="W401" t="s">
        <v>37</v>
      </c>
      <c r="X401">
        <v>3.4</v>
      </c>
      <c r="Y401">
        <v>0</v>
      </c>
      <c r="Z401">
        <v>5</v>
      </c>
    </row>
    <row r="402" spans="1:26">
      <c r="A402" t="s">
        <v>499</v>
      </c>
      <c r="B402" s="21">
        <v>43687</v>
      </c>
      <c r="C402" s="21"/>
      <c r="D402" t="s">
        <v>27</v>
      </c>
      <c r="E402">
        <v>0</v>
      </c>
      <c r="F402" t="s">
        <v>28</v>
      </c>
      <c r="G402" t="s">
        <v>51</v>
      </c>
      <c r="H402" t="s">
        <v>30</v>
      </c>
      <c r="I402" t="s">
        <v>62</v>
      </c>
      <c r="J402" t="s">
        <v>32</v>
      </c>
      <c r="K402">
        <v>44</v>
      </c>
      <c r="L402" t="s">
        <v>33</v>
      </c>
      <c r="M402" t="s">
        <v>34</v>
      </c>
      <c r="N402" t="s">
        <v>35</v>
      </c>
      <c r="O402">
        <v>878000</v>
      </c>
      <c r="P402">
        <v>73166.67</v>
      </c>
      <c r="Q402">
        <v>76</v>
      </c>
      <c r="R402" t="s">
        <v>103</v>
      </c>
      <c r="S402">
        <v>4.5</v>
      </c>
      <c r="T402">
        <v>25</v>
      </c>
      <c r="U402">
        <v>20</v>
      </c>
      <c r="V402">
        <v>6</v>
      </c>
      <c r="W402" t="s">
        <v>37</v>
      </c>
      <c r="X402">
        <v>5</v>
      </c>
      <c r="Y402">
        <v>1</v>
      </c>
      <c r="Z402">
        <v>8.3000000000000007</v>
      </c>
    </row>
    <row r="403" spans="1:26">
      <c r="A403" t="s">
        <v>500</v>
      </c>
      <c r="B403" s="21">
        <v>43389</v>
      </c>
      <c r="C403" s="21"/>
      <c r="D403" t="s">
        <v>27</v>
      </c>
      <c r="E403">
        <v>0</v>
      </c>
      <c r="F403" t="s">
        <v>46</v>
      </c>
      <c r="G403" t="s">
        <v>70</v>
      </c>
      <c r="H403" t="s">
        <v>71</v>
      </c>
      <c r="I403" t="s">
        <v>62</v>
      </c>
      <c r="J403" t="s">
        <v>32</v>
      </c>
      <c r="K403">
        <v>33</v>
      </c>
      <c r="L403" t="s">
        <v>42</v>
      </c>
      <c r="M403" t="s">
        <v>65</v>
      </c>
      <c r="N403" t="s">
        <v>35</v>
      </c>
      <c r="O403">
        <v>507000</v>
      </c>
      <c r="P403">
        <v>42250</v>
      </c>
      <c r="Q403">
        <v>86</v>
      </c>
      <c r="R403" t="s">
        <v>36</v>
      </c>
      <c r="S403">
        <v>4.5</v>
      </c>
      <c r="T403">
        <v>10</v>
      </c>
      <c r="U403">
        <v>17</v>
      </c>
      <c r="V403">
        <v>4</v>
      </c>
      <c r="W403" t="s">
        <v>37</v>
      </c>
      <c r="X403">
        <v>4.3</v>
      </c>
      <c r="Y403">
        <v>3</v>
      </c>
      <c r="Z403">
        <v>7.3</v>
      </c>
    </row>
    <row r="404" spans="1:26">
      <c r="A404" t="s">
        <v>501</v>
      </c>
      <c r="B404" s="21">
        <v>44807</v>
      </c>
      <c r="C404" s="21"/>
      <c r="D404" t="s">
        <v>27</v>
      </c>
      <c r="E404">
        <v>0</v>
      </c>
      <c r="F404" t="s">
        <v>39</v>
      </c>
      <c r="G404" t="s">
        <v>91</v>
      </c>
      <c r="H404" t="s">
        <v>85</v>
      </c>
      <c r="I404" t="s">
        <v>62</v>
      </c>
      <c r="J404" t="s">
        <v>54</v>
      </c>
      <c r="K404">
        <v>37</v>
      </c>
      <c r="L404" t="s">
        <v>42</v>
      </c>
      <c r="M404" t="s">
        <v>78</v>
      </c>
      <c r="N404" t="s">
        <v>35</v>
      </c>
      <c r="O404">
        <v>1380000</v>
      </c>
      <c r="P404">
        <v>115000</v>
      </c>
      <c r="Q404">
        <v>39</v>
      </c>
      <c r="R404" t="s">
        <v>36</v>
      </c>
      <c r="S404">
        <v>3.3</v>
      </c>
      <c r="T404">
        <v>51</v>
      </c>
      <c r="U404">
        <v>15</v>
      </c>
      <c r="V404">
        <v>8</v>
      </c>
      <c r="W404" t="s">
        <v>37</v>
      </c>
      <c r="X404">
        <v>3</v>
      </c>
      <c r="Y404">
        <v>2</v>
      </c>
      <c r="Z404">
        <v>6.4</v>
      </c>
    </row>
    <row r="405" spans="1:26">
      <c r="A405" t="s">
        <v>502</v>
      </c>
      <c r="B405" s="21">
        <v>45410</v>
      </c>
      <c r="C405" s="21"/>
      <c r="D405" t="s">
        <v>27</v>
      </c>
      <c r="E405">
        <v>0</v>
      </c>
      <c r="F405" t="s">
        <v>50</v>
      </c>
      <c r="G405" t="s">
        <v>91</v>
      </c>
      <c r="H405" t="s">
        <v>89</v>
      </c>
      <c r="I405" t="s">
        <v>31</v>
      </c>
      <c r="J405" t="s">
        <v>54</v>
      </c>
      <c r="K405">
        <v>40</v>
      </c>
      <c r="L405" t="s">
        <v>42</v>
      </c>
      <c r="M405" t="s">
        <v>43</v>
      </c>
      <c r="N405" t="s">
        <v>35</v>
      </c>
      <c r="O405">
        <v>1567000</v>
      </c>
      <c r="P405">
        <v>130583.33</v>
      </c>
      <c r="Q405">
        <v>20</v>
      </c>
      <c r="R405" t="s">
        <v>103</v>
      </c>
      <c r="S405">
        <v>4.2</v>
      </c>
      <c r="T405">
        <v>7</v>
      </c>
      <c r="U405">
        <v>5</v>
      </c>
      <c r="V405">
        <v>0</v>
      </c>
      <c r="W405" t="s">
        <v>37</v>
      </c>
      <c r="X405">
        <v>4.3</v>
      </c>
      <c r="Y405">
        <v>4</v>
      </c>
      <c r="Z405">
        <v>6.2</v>
      </c>
    </row>
    <row r="406" spans="1:26">
      <c r="A406" t="s">
        <v>503</v>
      </c>
      <c r="B406" s="21">
        <v>45383</v>
      </c>
      <c r="C406" s="21"/>
      <c r="D406" t="s">
        <v>27</v>
      </c>
      <c r="E406">
        <v>0</v>
      </c>
      <c r="F406" t="s">
        <v>98</v>
      </c>
      <c r="G406" t="s">
        <v>91</v>
      </c>
      <c r="H406" t="s">
        <v>106</v>
      </c>
      <c r="I406" t="s">
        <v>62</v>
      </c>
      <c r="J406" t="s">
        <v>32</v>
      </c>
      <c r="K406">
        <v>46</v>
      </c>
      <c r="L406" t="s">
        <v>96</v>
      </c>
      <c r="M406" t="s">
        <v>40</v>
      </c>
      <c r="N406" t="s">
        <v>35</v>
      </c>
      <c r="O406">
        <v>1566000</v>
      </c>
      <c r="P406">
        <v>130500</v>
      </c>
      <c r="Q406">
        <v>20</v>
      </c>
      <c r="R406" t="s">
        <v>103</v>
      </c>
      <c r="S406">
        <v>4.4000000000000004</v>
      </c>
      <c r="T406">
        <v>11</v>
      </c>
      <c r="U406">
        <v>18</v>
      </c>
      <c r="V406">
        <v>3</v>
      </c>
      <c r="W406" t="s">
        <v>37</v>
      </c>
      <c r="X406">
        <v>3.5</v>
      </c>
      <c r="Y406">
        <v>4</v>
      </c>
      <c r="Z406">
        <v>6.1</v>
      </c>
    </row>
    <row r="407" spans="1:26">
      <c r="A407" t="s">
        <v>504</v>
      </c>
      <c r="B407" s="21">
        <v>43998</v>
      </c>
      <c r="C407" s="21"/>
      <c r="D407" t="s">
        <v>27</v>
      </c>
      <c r="E407">
        <v>0</v>
      </c>
      <c r="F407" t="s">
        <v>28</v>
      </c>
      <c r="G407" t="s">
        <v>91</v>
      </c>
      <c r="H407" t="s">
        <v>121</v>
      </c>
      <c r="I407" t="s">
        <v>48</v>
      </c>
      <c r="J407" t="s">
        <v>54</v>
      </c>
      <c r="K407">
        <v>40</v>
      </c>
      <c r="L407" t="s">
        <v>33</v>
      </c>
      <c r="M407" t="s">
        <v>40</v>
      </c>
      <c r="N407" t="s">
        <v>35</v>
      </c>
      <c r="O407">
        <v>1509000</v>
      </c>
      <c r="P407">
        <v>125750</v>
      </c>
      <c r="Q407">
        <v>66</v>
      </c>
      <c r="R407" t="s">
        <v>36</v>
      </c>
      <c r="S407">
        <v>1.4</v>
      </c>
      <c r="T407">
        <v>11</v>
      </c>
      <c r="U407">
        <v>27</v>
      </c>
      <c r="V407">
        <v>9</v>
      </c>
      <c r="W407" t="s">
        <v>37</v>
      </c>
      <c r="X407">
        <v>2.7</v>
      </c>
      <c r="Y407">
        <v>4</v>
      </c>
      <c r="Z407">
        <v>13.1</v>
      </c>
    </row>
    <row r="408" spans="1:26">
      <c r="A408" t="s">
        <v>505</v>
      </c>
      <c r="B408" s="21">
        <v>45636</v>
      </c>
      <c r="C408" s="21"/>
      <c r="D408" t="s">
        <v>27</v>
      </c>
      <c r="E408">
        <v>0</v>
      </c>
      <c r="F408" t="s">
        <v>67</v>
      </c>
      <c r="G408" t="s">
        <v>51</v>
      </c>
      <c r="H408" t="s">
        <v>68</v>
      </c>
      <c r="I408" t="s">
        <v>48</v>
      </c>
      <c r="J408" t="s">
        <v>54</v>
      </c>
      <c r="K408">
        <v>37</v>
      </c>
      <c r="L408" t="s">
        <v>33</v>
      </c>
      <c r="M408" t="s">
        <v>34</v>
      </c>
      <c r="N408" t="s">
        <v>35</v>
      </c>
      <c r="O408">
        <v>882000</v>
      </c>
      <c r="P408">
        <v>73500</v>
      </c>
      <c r="Q408">
        <v>12</v>
      </c>
      <c r="R408" t="s">
        <v>36</v>
      </c>
      <c r="S408">
        <v>3.9</v>
      </c>
      <c r="T408">
        <v>23</v>
      </c>
      <c r="U408">
        <v>11</v>
      </c>
      <c r="V408">
        <v>0</v>
      </c>
      <c r="W408" t="s">
        <v>37</v>
      </c>
      <c r="X408">
        <v>5</v>
      </c>
      <c r="Y408">
        <v>0</v>
      </c>
      <c r="Z408">
        <v>8.1</v>
      </c>
    </row>
    <row r="409" spans="1:26">
      <c r="A409" t="s">
        <v>506</v>
      </c>
      <c r="B409" s="21">
        <v>43115</v>
      </c>
      <c r="C409" s="21"/>
      <c r="D409" t="s">
        <v>27</v>
      </c>
      <c r="E409">
        <v>0</v>
      </c>
      <c r="F409" t="s">
        <v>98</v>
      </c>
      <c r="G409" t="s">
        <v>70</v>
      </c>
      <c r="H409" t="s">
        <v>99</v>
      </c>
      <c r="I409" t="s">
        <v>31</v>
      </c>
      <c r="J409" t="s">
        <v>54</v>
      </c>
      <c r="K409">
        <v>33</v>
      </c>
      <c r="L409" t="s">
        <v>33</v>
      </c>
      <c r="M409" t="s">
        <v>34</v>
      </c>
      <c r="N409" t="s">
        <v>35</v>
      </c>
      <c r="O409">
        <v>604000</v>
      </c>
      <c r="P409">
        <v>50333.33</v>
      </c>
      <c r="Q409">
        <v>95</v>
      </c>
      <c r="R409" t="s">
        <v>55</v>
      </c>
      <c r="S409">
        <v>3.5</v>
      </c>
      <c r="T409">
        <v>43</v>
      </c>
      <c r="U409">
        <v>6</v>
      </c>
      <c r="V409">
        <v>3</v>
      </c>
      <c r="W409" t="s">
        <v>44</v>
      </c>
      <c r="X409">
        <v>3.9</v>
      </c>
      <c r="Y409">
        <v>3</v>
      </c>
      <c r="Z409">
        <v>5.4</v>
      </c>
    </row>
    <row r="410" spans="1:26">
      <c r="A410" t="s">
        <v>507</v>
      </c>
      <c r="B410" s="21">
        <v>44357</v>
      </c>
      <c r="C410" s="21"/>
      <c r="D410" t="s">
        <v>27</v>
      </c>
      <c r="E410">
        <v>0</v>
      </c>
      <c r="F410" t="s">
        <v>67</v>
      </c>
      <c r="G410" t="s">
        <v>70</v>
      </c>
      <c r="H410" t="s">
        <v>77</v>
      </c>
      <c r="I410" t="s">
        <v>53</v>
      </c>
      <c r="J410" t="s">
        <v>54</v>
      </c>
      <c r="K410">
        <v>35</v>
      </c>
      <c r="L410" t="s">
        <v>33</v>
      </c>
      <c r="M410" t="s">
        <v>34</v>
      </c>
      <c r="N410" t="s">
        <v>35</v>
      </c>
      <c r="O410">
        <v>508000</v>
      </c>
      <c r="P410">
        <v>42333.33</v>
      </c>
      <c r="Q410">
        <v>54</v>
      </c>
      <c r="R410" t="s">
        <v>36</v>
      </c>
      <c r="S410">
        <v>3.2</v>
      </c>
      <c r="T410">
        <v>43</v>
      </c>
      <c r="U410">
        <v>24</v>
      </c>
      <c r="V410">
        <v>7</v>
      </c>
      <c r="W410" t="s">
        <v>44</v>
      </c>
      <c r="X410">
        <v>4</v>
      </c>
      <c r="Y410">
        <v>4</v>
      </c>
      <c r="Z410">
        <v>8.8000000000000007</v>
      </c>
    </row>
    <row r="411" spans="1:26">
      <c r="A411" t="s">
        <v>508</v>
      </c>
      <c r="B411" s="21">
        <v>43849</v>
      </c>
      <c r="C411" s="21"/>
      <c r="D411" t="s">
        <v>27</v>
      </c>
      <c r="E411">
        <v>0</v>
      </c>
      <c r="F411" t="s">
        <v>50</v>
      </c>
      <c r="G411" t="s">
        <v>88</v>
      </c>
      <c r="H411" t="s">
        <v>124</v>
      </c>
      <c r="I411" t="s">
        <v>48</v>
      </c>
      <c r="J411" t="s">
        <v>54</v>
      </c>
      <c r="K411">
        <v>39</v>
      </c>
      <c r="L411" t="s">
        <v>33</v>
      </c>
      <c r="M411" t="s">
        <v>58</v>
      </c>
      <c r="N411" t="s">
        <v>35</v>
      </c>
      <c r="O411">
        <v>1260000</v>
      </c>
      <c r="P411">
        <v>105000</v>
      </c>
      <c r="Q411">
        <v>71</v>
      </c>
      <c r="R411" t="s">
        <v>36</v>
      </c>
      <c r="S411">
        <v>2.8</v>
      </c>
      <c r="T411">
        <v>31</v>
      </c>
      <c r="U411">
        <v>19</v>
      </c>
      <c r="V411">
        <v>6</v>
      </c>
      <c r="W411" t="s">
        <v>37</v>
      </c>
      <c r="X411">
        <v>2.7</v>
      </c>
      <c r="Y411">
        <v>5</v>
      </c>
      <c r="Z411">
        <v>11.5</v>
      </c>
    </row>
    <row r="412" spans="1:26">
      <c r="A412" t="s">
        <v>509</v>
      </c>
      <c r="B412" s="21">
        <v>45068</v>
      </c>
      <c r="C412" s="21"/>
      <c r="D412" t="s">
        <v>27</v>
      </c>
      <c r="E412">
        <v>0</v>
      </c>
      <c r="F412" t="s">
        <v>73</v>
      </c>
      <c r="G412" t="s">
        <v>51</v>
      </c>
      <c r="H412" t="s">
        <v>102</v>
      </c>
      <c r="I412" t="s">
        <v>62</v>
      </c>
      <c r="J412" t="s">
        <v>32</v>
      </c>
      <c r="K412">
        <v>45</v>
      </c>
      <c r="L412" t="s">
        <v>33</v>
      </c>
      <c r="M412" t="s">
        <v>43</v>
      </c>
      <c r="N412" t="s">
        <v>35</v>
      </c>
      <c r="O412">
        <v>930000</v>
      </c>
      <c r="P412">
        <v>77500</v>
      </c>
      <c r="Q412">
        <v>31</v>
      </c>
      <c r="R412" t="s">
        <v>116</v>
      </c>
      <c r="S412">
        <v>2.8</v>
      </c>
      <c r="T412">
        <v>54</v>
      </c>
      <c r="U412">
        <v>11</v>
      </c>
      <c r="V412">
        <v>4</v>
      </c>
      <c r="W412" t="s">
        <v>37</v>
      </c>
      <c r="X412">
        <v>3.3</v>
      </c>
      <c r="Y412">
        <v>0</v>
      </c>
      <c r="Z412">
        <v>16.600000000000001</v>
      </c>
    </row>
    <row r="413" spans="1:26">
      <c r="A413" t="s">
        <v>510</v>
      </c>
      <c r="B413" s="21">
        <v>44320</v>
      </c>
      <c r="C413" s="21"/>
      <c r="D413" t="s">
        <v>27</v>
      </c>
      <c r="E413">
        <v>0</v>
      </c>
      <c r="F413" t="s">
        <v>50</v>
      </c>
      <c r="G413" t="s">
        <v>91</v>
      </c>
      <c r="H413" t="s">
        <v>124</v>
      </c>
      <c r="I413" t="s">
        <v>62</v>
      </c>
      <c r="J413" t="s">
        <v>32</v>
      </c>
      <c r="K413">
        <v>59</v>
      </c>
      <c r="L413" t="s">
        <v>33</v>
      </c>
      <c r="M413" t="s">
        <v>40</v>
      </c>
      <c r="N413" t="s">
        <v>93</v>
      </c>
      <c r="O413">
        <v>1684000</v>
      </c>
      <c r="P413">
        <v>140333.32999999999</v>
      </c>
      <c r="Q413">
        <v>55</v>
      </c>
      <c r="R413" t="s">
        <v>36</v>
      </c>
      <c r="S413">
        <v>3.4</v>
      </c>
      <c r="T413">
        <v>59</v>
      </c>
      <c r="U413">
        <v>22</v>
      </c>
      <c r="V413">
        <v>1</v>
      </c>
      <c r="W413" t="s">
        <v>37</v>
      </c>
      <c r="X413">
        <v>4.2</v>
      </c>
      <c r="Y413">
        <v>4</v>
      </c>
      <c r="Z413">
        <v>14.7</v>
      </c>
    </row>
    <row r="414" spans="1:26">
      <c r="A414" t="s">
        <v>511</v>
      </c>
      <c r="B414" s="21">
        <v>42843</v>
      </c>
      <c r="C414" s="21"/>
      <c r="D414" t="s">
        <v>27</v>
      </c>
      <c r="E414">
        <v>0</v>
      </c>
      <c r="F414" t="s">
        <v>67</v>
      </c>
      <c r="G414" t="s">
        <v>51</v>
      </c>
      <c r="H414" t="s">
        <v>68</v>
      </c>
      <c r="I414" t="s">
        <v>75</v>
      </c>
      <c r="J414" t="s">
        <v>54</v>
      </c>
      <c r="K414">
        <v>31</v>
      </c>
      <c r="L414" t="s">
        <v>33</v>
      </c>
      <c r="M414" t="s">
        <v>34</v>
      </c>
      <c r="N414" t="s">
        <v>194</v>
      </c>
      <c r="O414">
        <v>885000</v>
      </c>
      <c r="P414">
        <v>73750</v>
      </c>
      <c r="Q414">
        <v>104</v>
      </c>
      <c r="R414" t="s">
        <v>55</v>
      </c>
      <c r="S414">
        <v>3.6</v>
      </c>
      <c r="T414">
        <v>15</v>
      </c>
      <c r="U414">
        <v>12</v>
      </c>
      <c r="V414">
        <v>7</v>
      </c>
      <c r="W414" t="s">
        <v>37</v>
      </c>
      <c r="X414">
        <v>5</v>
      </c>
      <c r="Y414">
        <v>0</v>
      </c>
      <c r="Z414">
        <v>20.7</v>
      </c>
    </row>
    <row r="415" spans="1:26">
      <c r="A415" t="s">
        <v>512</v>
      </c>
      <c r="B415" s="21">
        <v>44965</v>
      </c>
      <c r="C415" s="21"/>
      <c r="D415" t="s">
        <v>27</v>
      </c>
      <c r="E415">
        <v>0</v>
      </c>
      <c r="F415" t="s">
        <v>98</v>
      </c>
      <c r="G415" t="s">
        <v>91</v>
      </c>
      <c r="H415" t="s">
        <v>352</v>
      </c>
      <c r="I415" t="s">
        <v>31</v>
      </c>
      <c r="J415" t="s">
        <v>32</v>
      </c>
      <c r="K415">
        <v>45</v>
      </c>
      <c r="L415" t="s">
        <v>33</v>
      </c>
      <c r="M415" t="s">
        <v>40</v>
      </c>
      <c r="N415" t="s">
        <v>35</v>
      </c>
      <c r="O415">
        <v>1593000</v>
      </c>
      <c r="P415">
        <v>132750</v>
      </c>
      <c r="Q415">
        <v>34</v>
      </c>
      <c r="R415" t="s">
        <v>55</v>
      </c>
      <c r="S415">
        <v>3.2</v>
      </c>
      <c r="T415">
        <v>28</v>
      </c>
      <c r="U415">
        <v>6</v>
      </c>
      <c r="V415">
        <v>0</v>
      </c>
      <c r="W415" t="s">
        <v>37</v>
      </c>
      <c r="X415">
        <v>2.9</v>
      </c>
      <c r="Y415">
        <v>3</v>
      </c>
      <c r="Z415">
        <v>3.9</v>
      </c>
    </row>
    <row r="416" spans="1:26">
      <c r="A416" t="s">
        <v>513</v>
      </c>
      <c r="B416" s="21">
        <v>42826</v>
      </c>
      <c r="C416" s="21"/>
      <c r="D416" t="s">
        <v>27</v>
      </c>
      <c r="E416">
        <v>0</v>
      </c>
      <c r="F416" t="s">
        <v>46</v>
      </c>
      <c r="G416" t="s">
        <v>70</v>
      </c>
      <c r="H416" t="s">
        <v>162</v>
      </c>
      <c r="I416" t="s">
        <v>53</v>
      </c>
      <c r="J416" t="s">
        <v>134</v>
      </c>
      <c r="K416">
        <v>46</v>
      </c>
      <c r="L416" t="s">
        <v>33</v>
      </c>
      <c r="M416" t="s">
        <v>34</v>
      </c>
      <c r="N416" t="s">
        <v>35</v>
      </c>
      <c r="O416">
        <v>577000</v>
      </c>
      <c r="P416">
        <v>48083.33</v>
      </c>
      <c r="Q416">
        <v>104</v>
      </c>
      <c r="R416" t="s">
        <v>36</v>
      </c>
      <c r="S416">
        <v>4.2</v>
      </c>
      <c r="T416">
        <v>16</v>
      </c>
      <c r="U416">
        <v>24</v>
      </c>
      <c r="V416">
        <v>2</v>
      </c>
      <c r="W416" t="s">
        <v>44</v>
      </c>
      <c r="X416">
        <v>4.8</v>
      </c>
      <c r="Y416">
        <v>4</v>
      </c>
      <c r="Z416">
        <v>1</v>
      </c>
    </row>
    <row r="417" spans="1:26">
      <c r="A417" t="s">
        <v>514</v>
      </c>
      <c r="B417" s="21">
        <v>43279</v>
      </c>
      <c r="C417" s="21"/>
      <c r="D417" t="s">
        <v>27</v>
      </c>
      <c r="E417">
        <v>0</v>
      </c>
      <c r="F417" t="s">
        <v>28</v>
      </c>
      <c r="G417" t="s">
        <v>51</v>
      </c>
      <c r="H417" t="s">
        <v>64</v>
      </c>
      <c r="I417" t="s">
        <v>31</v>
      </c>
      <c r="J417" t="s">
        <v>54</v>
      </c>
      <c r="K417">
        <v>40</v>
      </c>
      <c r="L417" t="s">
        <v>33</v>
      </c>
      <c r="M417" t="s">
        <v>43</v>
      </c>
      <c r="N417" t="s">
        <v>35</v>
      </c>
      <c r="O417">
        <v>710000</v>
      </c>
      <c r="P417">
        <v>59166.67</v>
      </c>
      <c r="Q417">
        <v>90</v>
      </c>
      <c r="R417" t="s">
        <v>36</v>
      </c>
      <c r="S417">
        <v>3.6</v>
      </c>
      <c r="T417">
        <v>35</v>
      </c>
      <c r="U417">
        <v>16</v>
      </c>
      <c r="V417">
        <v>2</v>
      </c>
      <c r="W417" t="s">
        <v>37</v>
      </c>
      <c r="X417">
        <v>3.9</v>
      </c>
      <c r="Y417">
        <v>1</v>
      </c>
      <c r="Z417">
        <v>17.899999999999999</v>
      </c>
    </row>
    <row r="418" spans="1:26">
      <c r="A418" t="s">
        <v>515</v>
      </c>
      <c r="B418" s="21">
        <v>44329</v>
      </c>
      <c r="C418" s="21"/>
      <c r="D418" t="s">
        <v>27</v>
      </c>
      <c r="E418">
        <v>0</v>
      </c>
      <c r="F418" t="s">
        <v>50</v>
      </c>
      <c r="G418" t="s">
        <v>88</v>
      </c>
      <c r="H418" t="s">
        <v>52</v>
      </c>
      <c r="I418" t="s">
        <v>41</v>
      </c>
      <c r="J418" t="s">
        <v>32</v>
      </c>
      <c r="K418">
        <v>39</v>
      </c>
      <c r="L418" t="s">
        <v>42</v>
      </c>
      <c r="M418" t="s">
        <v>40</v>
      </c>
      <c r="N418" t="s">
        <v>35</v>
      </c>
      <c r="O418">
        <v>965000</v>
      </c>
      <c r="P418">
        <v>80416.67</v>
      </c>
      <c r="Q418">
        <v>55</v>
      </c>
      <c r="R418" t="s">
        <v>55</v>
      </c>
      <c r="S418">
        <v>3.1</v>
      </c>
      <c r="T418">
        <v>38</v>
      </c>
      <c r="U418">
        <v>6</v>
      </c>
      <c r="V418">
        <v>15</v>
      </c>
      <c r="W418" t="s">
        <v>44</v>
      </c>
      <c r="X418">
        <v>4.3</v>
      </c>
      <c r="Y418">
        <v>5</v>
      </c>
      <c r="Z418">
        <v>16.8</v>
      </c>
    </row>
    <row r="419" spans="1:26">
      <c r="A419" t="s">
        <v>516</v>
      </c>
      <c r="B419" s="21">
        <v>45845</v>
      </c>
      <c r="C419" s="21"/>
      <c r="D419" t="s">
        <v>27</v>
      </c>
      <c r="E419">
        <v>0</v>
      </c>
      <c r="F419" t="s">
        <v>50</v>
      </c>
      <c r="G419" t="s">
        <v>51</v>
      </c>
      <c r="H419" t="s">
        <v>124</v>
      </c>
      <c r="I419" t="s">
        <v>31</v>
      </c>
      <c r="J419" t="s">
        <v>32</v>
      </c>
      <c r="K419">
        <v>40</v>
      </c>
      <c r="L419" t="s">
        <v>33</v>
      </c>
      <c r="M419" t="s">
        <v>65</v>
      </c>
      <c r="N419" t="s">
        <v>35</v>
      </c>
      <c r="O419">
        <v>880000</v>
      </c>
      <c r="P419">
        <v>73333.33</v>
      </c>
      <c r="Q419">
        <v>5</v>
      </c>
      <c r="R419" t="s">
        <v>36</v>
      </c>
      <c r="S419">
        <v>3.6</v>
      </c>
      <c r="T419">
        <v>74</v>
      </c>
      <c r="U419">
        <v>5</v>
      </c>
      <c r="V419">
        <v>7</v>
      </c>
      <c r="W419" t="s">
        <v>37</v>
      </c>
      <c r="X419">
        <v>3.5</v>
      </c>
      <c r="Y419">
        <v>5</v>
      </c>
      <c r="Z419">
        <v>10.5</v>
      </c>
    </row>
    <row r="420" spans="1:26">
      <c r="A420" t="s">
        <v>517</v>
      </c>
      <c r="B420" s="21">
        <v>45276</v>
      </c>
      <c r="C420" s="21"/>
      <c r="D420" t="s">
        <v>27</v>
      </c>
      <c r="E420">
        <v>0</v>
      </c>
      <c r="F420" t="s">
        <v>60</v>
      </c>
      <c r="G420" t="s">
        <v>29</v>
      </c>
      <c r="H420" t="s">
        <v>61</v>
      </c>
      <c r="I420" t="s">
        <v>48</v>
      </c>
      <c r="J420" t="s">
        <v>54</v>
      </c>
      <c r="K420">
        <v>30</v>
      </c>
      <c r="L420" t="s">
        <v>42</v>
      </c>
      <c r="M420" t="s">
        <v>40</v>
      </c>
      <c r="N420" t="s">
        <v>35</v>
      </c>
      <c r="O420">
        <v>296000</v>
      </c>
      <c r="P420">
        <v>24666.67</v>
      </c>
      <c r="Q420">
        <v>24</v>
      </c>
      <c r="R420" t="s">
        <v>55</v>
      </c>
      <c r="S420">
        <v>4.5999999999999996</v>
      </c>
      <c r="T420">
        <v>54</v>
      </c>
      <c r="U420">
        <v>4</v>
      </c>
      <c r="V420">
        <v>2</v>
      </c>
      <c r="W420" t="s">
        <v>37</v>
      </c>
      <c r="X420">
        <v>4</v>
      </c>
      <c r="Y420">
        <v>1</v>
      </c>
      <c r="Z420">
        <v>19.5</v>
      </c>
    </row>
    <row r="421" spans="1:26">
      <c r="A421" t="s">
        <v>518</v>
      </c>
      <c r="B421" s="21">
        <v>42600</v>
      </c>
      <c r="C421" s="21"/>
      <c r="D421" t="s">
        <v>27</v>
      </c>
      <c r="E421">
        <v>0</v>
      </c>
      <c r="F421" t="s">
        <v>98</v>
      </c>
      <c r="G421" t="s">
        <v>70</v>
      </c>
      <c r="H421" t="s">
        <v>99</v>
      </c>
      <c r="I421" t="s">
        <v>62</v>
      </c>
      <c r="J421" t="s">
        <v>54</v>
      </c>
      <c r="K421">
        <v>52</v>
      </c>
      <c r="L421" t="s">
        <v>33</v>
      </c>
      <c r="M421" t="s">
        <v>43</v>
      </c>
      <c r="N421" t="s">
        <v>35</v>
      </c>
      <c r="O421">
        <v>609000</v>
      </c>
      <c r="P421">
        <v>50750</v>
      </c>
      <c r="Q421">
        <v>112</v>
      </c>
      <c r="R421" t="s">
        <v>55</v>
      </c>
      <c r="S421">
        <v>4.7</v>
      </c>
      <c r="T421">
        <v>48</v>
      </c>
      <c r="U421">
        <v>13</v>
      </c>
      <c r="V421">
        <v>6</v>
      </c>
      <c r="W421" t="s">
        <v>37</v>
      </c>
      <c r="X421">
        <v>2.2000000000000002</v>
      </c>
      <c r="Y421">
        <v>5</v>
      </c>
      <c r="Z421">
        <v>1</v>
      </c>
    </row>
    <row r="422" spans="1:26">
      <c r="A422" t="s">
        <v>519</v>
      </c>
      <c r="B422" s="21">
        <v>45117</v>
      </c>
      <c r="C422" s="21">
        <v>45863</v>
      </c>
      <c r="D422" t="s">
        <v>57</v>
      </c>
      <c r="E422">
        <v>1</v>
      </c>
      <c r="F422" t="s">
        <v>39</v>
      </c>
      <c r="G422" t="s">
        <v>105</v>
      </c>
      <c r="H422" t="s">
        <v>204</v>
      </c>
      <c r="I422" t="s">
        <v>62</v>
      </c>
      <c r="J422" t="s">
        <v>54</v>
      </c>
      <c r="K422">
        <v>42</v>
      </c>
      <c r="L422" t="s">
        <v>33</v>
      </c>
      <c r="M422" t="s">
        <v>43</v>
      </c>
      <c r="N422" t="s">
        <v>35</v>
      </c>
      <c r="O422">
        <v>2083000</v>
      </c>
      <c r="P422">
        <v>173583.33</v>
      </c>
      <c r="Q422">
        <v>24</v>
      </c>
      <c r="R422" t="s">
        <v>55</v>
      </c>
      <c r="S422">
        <v>2.2999999999999998</v>
      </c>
      <c r="T422">
        <v>12</v>
      </c>
      <c r="U422">
        <v>19</v>
      </c>
      <c r="V422">
        <v>0</v>
      </c>
      <c r="W422" t="s">
        <v>44</v>
      </c>
      <c r="X422">
        <v>3.5</v>
      </c>
      <c r="Y422">
        <v>0</v>
      </c>
      <c r="Z422">
        <v>11.2</v>
      </c>
    </row>
    <row r="423" spans="1:26">
      <c r="A423" t="s">
        <v>520</v>
      </c>
      <c r="B423" s="21">
        <v>44353</v>
      </c>
      <c r="C423" s="21"/>
      <c r="D423" t="s">
        <v>27</v>
      </c>
      <c r="E423">
        <v>0</v>
      </c>
      <c r="F423" t="s">
        <v>60</v>
      </c>
      <c r="G423" t="s">
        <v>70</v>
      </c>
      <c r="H423" t="s">
        <v>61</v>
      </c>
      <c r="I423" t="s">
        <v>48</v>
      </c>
      <c r="J423" t="s">
        <v>32</v>
      </c>
      <c r="K423">
        <v>47</v>
      </c>
      <c r="L423" t="s">
        <v>33</v>
      </c>
      <c r="M423" t="s">
        <v>65</v>
      </c>
      <c r="N423" t="s">
        <v>35</v>
      </c>
      <c r="O423">
        <v>525000</v>
      </c>
      <c r="P423">
        <v>43750</v>
      </c>
      <c r="Q423">
        <v>54</v>
      </c>
      <c r="R423" t="s">
        <v>55</v>
      </c>
      <c r="S423">
        <v>3.5</v>
      </c>
      <c r="T423">
        <v>68</v>
      </c>
      <c r="U423">
        <v>10</v>
      </c>
      <c r="V423">
        <v>6</v>
      </c>
      <c r="W423" t="s">
        <v>37</v>
      </c>
      <c r="X423">
        <v>4.3</v>
      </c>
      <c r="Y423">
        <v>3</v>
      </c>
      <c r="Z423">
        <v>3.3</v>
      </c>
    </row>
    <row r="424" spans="1:26">
      <c r="A424" t="s">
        <v>521</v>
      </c>
      <c r="B424" s="21">
        <v>42878</v>
      </c>
      <c r="C424" s="21"/>
      <c r="D424" t="s">
        <v>27</v>
      </c>
      <c r="E424">
        <v>0</v>
      </c>
      <c r="F424" t="s">
        <v>98</v>
      </c>
      <c r="G424" t="s">
        <v>88</v>
      </c>
      <c r="H424" t="s">
        <v>212</v>
      </c>
      <c r="I424" t="s">
        <v>31</v>
      </c>
      <c r="J424" t="s">
        <v>54</v>
      </c>
      <c r="K424">
        <v>43</v>
      </c>
      <c r="L424" t="s">
        <v>33</v>
      </c>
      <c r="M424" t="s">
        <v>40</v>
      </c>
      <c r="N424" t="s">
        <v>35</v>
      </c>
      <c r="O424">
        <v>955000</v>
      </c>
      <c r="P424">
        <v>79583.33</v>
      </c>
      <c r="Q424">
        <v>103</v>
      </c>
      <c r="R424" t="s">
        <v>55</v>
      </c>
      <c r="S424">
        <v>3</v>
      </c>
      <c r="T424">
        <v>15</v>
      </c>
      <c r="U424">
        <v>9</v>
      </c>
      <c r="V424">
        <v>3</v>
      </c>
      <c r="W424" t="s">
        <v>37</v>
      </c>
      <c r="X424">
        <v>4.5</v>
      </c>
      <c r="Y424">
        <v>2</v>
      </c>
      <c r="Z424">
        <v>9.1999999999999993</v>
      </c>
    </row>
    <row r="425" spans="1:26">
      <c r="A425" t="s">
        <v>522</v>
      </c>
      <c r="B425" s="21">
        <v>44599</v>
      </c>
      <c r="C425" s="21"/>
      <c r="D425" t="s">
        <v>27</v>
      </c>
      <c r="E425">
        <v>0</v>
      </c>
      <c r="F425" t="s">
        <v>28</v>
      </c>
      <c r="G425" t="s">
        <v>70</v>
      </c>
      <c r="H425" t="s">
        <v>64</v>
      </c>
      <c r="I425" t="s">
        <v>75</v>
      </c>
      <c r="J425" t="s">
        <v>32</v>
      </c>
      <c r="K425">
        <v>46</v>
      </c>
      <c r="L425" t="s">
        <v>82</v>
      </c>
      <c r="M425" t="s">
        <v>34</v>
      </c>
      <c r="N425" t="s">
        <v>35</v>
      </c>
      <c r="O425">
        <v>632000</v>
      </c>
      <c r="P425">
        <v>52666.67</v>
      </c>
      <c r="Q425">
        <v>46</v>
      </c>
      <c r="R425" t="s">
        <v>116</v>
      </c>
      <c r="S425">
        <v>5</v>
      </c>
      <c r="T425">
        <v>26</v>
      </c>
      <c r="U425">
        <v>8</v>
      </c>
      <c r="V425">
        <v>2</v>
      </c>
      <c r="W425" t="s">
        <v>44</v>
      </c>
      <c r="X425">
        <v>4.2</v>
      </c>
      <c r="Y425">
        <v>4</v>
      </c>
      <c r="Z425">
        <v>6.2</v>
      </c>
    </row>
    <row r="426" spans="1:26">
      <c r="A426" t="s">
        <v>523</v>
      </c>
      <c r="B426" s="21">
        <v>42553</v>
      </c>
      <c r="C426" s="21"/>
      <c r="D426" t="s">
        <v>27</v>
      </c>
      <c r="E426">
        <v>0</v>
      </c>
      <c r="F426" t="s">
        <v>98</v>
      </c>
      <c r="G426" t="s">
        <v>88</v>
      </c>
      <c r="H426" t="s">
        <v>106</v>
      </c>
      <c r="I426" t="s">
        <v>75</v>
      </c>
      <c r="J426" t="s">
        <v>54</v>
      </c>
      <c r="K426">
        <v>43</v>
      </c>
      <c r="L426" t="s">
        <v>42</v>
      </c>
      <c r="M426" t="s">
        <v>34</v>
      </c>
      <c r="N426" t="s">
        <v>35</v>
      </c>
      <c r="O426">
        <v>1078000</v>
      </c>
      <c r="P426">
        <v>89833.33</v>
      </c>
      <c r="Q426">
        <v>113</v>
      </c>
      <c r="R426" t="s">
        <v>36</v>
      </c>
      <c r="S426">
        <v>4</v>
      </c>
      <c r="T426">
        <v>32</v>
      </c>
      <c r="U426">
        <v>7</v>
      </c>
      <c r="V426">
        <v>12</v>
      </c>
      <c r="W426" t="s">
        <v>37</v>
      </c>
      <c r="X426">
        <v>3.8</v>
      </c>
      <c r="Y426">
        <v>1</v>
      </c>
      <c r="Z426">
        <v>14.5</v>
      </c>
    </row>
    <row r="427" spans="1:26">
      <c r="A427" t="s">
        <v>524</v>
      </c>
      <c r="B427" s="21">
        <v>42956</v>
      </c>
      <c r="C427" s="21"/>
      <c r="D427" t="s">
        <v>27</v>
      </c>
      <c r="E427">
        <v>0</v>
      </c>
      <c r="F427" t="s">
        <v>98</v>
      </c>
      <c r="G427" t="s">
        <v>91</v>
      </c>
      <c r="H427" t="s">
        <v>212</v>
      </c>
      <c r="I427" t="s">
        <v>75</v>
      </c>
      <c r="J427" t="s">
        <v>134</v>
      </c>
      <c r="K427">
        <v>43</v>
      </c>
      <c r="L427" t="s">
        <v>33</v>
      </c>
      <c r="M427" t="s">
        <v>65</v>
      </c>
      <c r="N427" t="s">
        <v>35</v>
      </c>
      <c r="O427">
        <v>1398000</v>
      </c>
      <c r="P427">
        <v>116500</v>
      </c>
      <c r="Q427">
        <v>100</v>
      </c>
      <c r="R427" t="s">
        <v>36</v>
      </c>
      <c r="S427">
        <v>3.4</v>
      </c>
      <c r="T427">
        <v>9</v>
      </c>
      <c r="U427">
        <v>9</v>
      </c>
      <c r="V427">
        <v>0</v>
      </c>
      <c r="W427" t="s">
        <v>37</v>
      </c>
      <c r="X427">
        <v>3</v>
      </c>
      <c r="Y427">
        <v>4</v>
      </c>
      <c r="Z427">
        <v>15.3</v>
      </c>
    </row>
    <row r="428" spans="1:26">
      <c r="A428" t="s">
        <v>525</v>
      </c>
      <c r="B428" s="21">
        <v>45171</v>
      </c>
      <c r="C428" s="21"/>
      <c r="D428" t="s">
        <v>27</v>
      </c>
      <c r="E428">
        <v>0</v>
      </c>
      <c r="F428" t="s">
        <v>46</v>
      </c>
      <c r="G428" t="s">
        <v>51</v>
      </c>
      <c r="H428" t="s">
        <v>162</v>
      </c>
      <c r="I428" t="s">
        <v>53</v>
      </c>
      <c r="J428" t="s">
        <v>149</v>
      </c>
      <c r="K428">
        <v>37</v>
      </c>
      <c r="L428" t="s">
        <v>42</v>
      </c>
      <c r="M428" t="s">
        <v>65</v>
      </c>
      <c r="N428" t="s">
        <v>35</v>
      </c>
      <c r="O428">
        <v>946000</v>
      </c>
      <c r="P428">
        <v>78833.33</v>
      </c>
      <c r="Q428">
        <v>27</v>
      </c>
      <c r="R428" t="s">
        <v>36</v>
      </c>
      <c r="S428">
        <v>3.4</v>
      </c>
      <c r="T428">
        <v>39</v>
      </c>
      <c r="U428">
        <v>7</v>
      </c>
      <c r="V428">
        <v>2</v>
      </c>
      <c r="W428" t="s">
        <v>37</v>
      </c>
      <c r="X428">
        <v>4</v>
      </c>
      <c r="Y428">
        <v>0</v>
      </c>
      <c r="Z428">
        <v>5.9</v>
      </c>
    </row>
    <row r="429" spans="1:26">
      <c r="A429" t="s">
        <v>526</v>
      </c>
      <c r="B429" s="21">
        <v>42761</v>
      </c>
      <c r="C429" s="21"/>
      <c r="D429" t="s">
        <v>27</v>
      </c>
      <c r="E429">
        <v>0</v>
      </c>
      <c r="F429" t="s">
        <v>28</v>
      </c>
      <c r="G429" t="s">
        <v>88</v>
      </c>
      <c r="H429" t="s">
        <v>64</v>
      </c>
      <c r="I429" t="s">
        <v>48</v>
      </c>
      <c r="J429" t="s">
        <v>32</v>
      </c>
      <c r="K429">
        <v>32</v>
      </c>
      <c r="L429" t="s">
        <v>42</v>
      </c>
      <c r="M429" t="s">
        <v>34</v>
      </c>
      <c r="N429" t="s">
        <v>35</v>
      </c>
      <c r="O429">
        <v>1158000</v>
      </c>
      <c r="P429">
        <v>96500</v>
      </c>
      <c r="Q429">
        <v>107</v>
      </c>
      <c r="R429" t="s">
        <v>55</v>
      </c>
      <c r="S429">
        <v>3.3</v>
      </c>
      <c r="T429">
        <v>33</v>
      </c>
      <c r="U429">
        <v>18</v>
      </c>
      <c r="V429">
        <v>1</v>
      </c>
      <c r="W429" t="s">
        <v>37</v>
      </c>
      <c r="X429">
        <v>4.5</v>
      </c>
      <c r="Y429">
        <v>3</v>
      </c>
      <c r="Z429">
        <v>21.8</v>
      </c>
    </row>
    <row r="430" spans="1:26">
      <c r="A430" t="s">
        <v>527</v>
      </c>
      <c r="B430" s="21">
        <v>43006</v>
      </c>
      <c r="C430" s="21"/>
      <c r="D430" t="s">
        <v>27</v>
      </c>
      <c r="E430">
        <v>0</v>
      </c>
      <c r="F430" t="s">
        <v>67</v>
      </c>
      <c r="G430" t="s">
        <v>51</v>
      </c>
      <c r="H430" t="s">
        <v>95</v>
      </c>
      <c r="I430" t="s">
        <v>53</v>
      </c>
      <c r="J430" t="s">
        <v>134</v>
      </c>
      <c r="K430">
        <v>37</v>
      </c>
      <c r="L430" t="s">
        <v>42</v>
      </c>
      <c r="M430" t="s">
        <v>43</v>
      </c>
      <c r="N430" t="s">
        <v>35</v>
      </c>
      <c r="O430">
        <v>861000</v>
      </c>
      <c r="P430">
        <v>71750</v>
      </c>
      <c r="Q430">
        <v>99</v>
      </c>
      <c r="R430" t="s">
        <v>55</v>
      </c>
      <c r="S430">
        <v>3.1</v>
      </c>
      <c r="T430">
        <v>54</v>
      </c>
      <c r="U430">
        <v>6</v>
      </c>
      <c r="V430">
        <v>3</v>
      </c>
      <c r="W430" t="s">
        <v>37</v>
      </c>
      <c r="X430">
        <v>2.9</v>
      </c>
      <c r="Y430">
        <v>5</v>
      </c>
      <c r="Z430">
        <v>16.600000000000001</v>
      </c>
    </row>
    <row r="431" spans="1:26">
      <c r="A431" t="s">
        <v>528</v>
      </c>
      <c r="B431" s="21">
        <v>45704</v>
      </c>
      <c r="C431" s="21"/>
      <c r="D431" t="s">
        <v>27</v>
      </c>
      <c r="E431">
        <v>0</v>
      </c>
      <c r="F431" t="s">
        <v>28</v>
      </c>
      <c r="G431" t="s">
        <v>88</v>
      </c>
      <c r="H431" t="s">
        <v>30</v>
      </c>
      <c r="I431" t="s">
        <v>41</v>
      </c>
      <c r="J431" t="s">
        <v>32</v>
      </c>
      <c r="K431">
        <v>44</v>
      </c>
      <c r="L431" t="s">
        <v>33</v>
      </c>
      <c r="M431" t="s">
        <v>34</v>
      </c>
      <c r="N431" t="s">
        <v>35</v>
      </c>
      <c r="O431">
        <v>978000</v>
      </c>
      <c r="P431">
        <v>81500</v>
      </c>
      <c r="Q431">
        <v>10</v>
      </c>
      <c r="R431" t="s">
        <v>55</v>
      </c>
      <c r="S431">
        <v>4.5999999999999996</v>
      </c>
      <c r="T431">
        <v>54</v>
      </c>
      <c r="U431">
        <v>17</v>
      </c>
      <c r="V431">
        <v>6</v>
      </c>
      <c r="W431" t="s">
        <v>37</v>
      </c>
      <c r="X431">
        <v>3.5</v>
      </c>
      <c r="Y431">
        <v>1</v>
      </c>
      <c r="Z431">
        <v>7.2</v>
      </c>
    </row>
    <row r="432" spans="1:26">
      <c r="A432" t="s">
        <v>529</v>
      </c>
      <c r="B432" s="21">
        <v>42928</v>
      </c>
      <c r="C432" s="21">
        <v>44758</v>
      </c>
      <c r="D432" t="s">
        <v>57</v>
      </c>
      <c r="E432">
        <v>1</v>
      </c>
      <c r="F432" t="s">
        <v>98</v>
      </c>
      <c r="G432" t="s">
        <v>91</v>
      </c>
      <c r="H432" t="s">
        <v>106</v>
      </c>
      <c r="I432" t="s">
        <v>62</v>
      </c>
      <c r="J432" t="s">
        <v>134</v>
      </c>
      <c r="K432">
        <v>37</v>
      </c>
      <c r="L432" t="s">
        <v>42</v>
      </c>
      <c r="M432" t="s">
        <v>58</v>
      </c>
      <c r="N432" t="s">
        <v>93</v>
      </c>
      <c r="O432">
        <v>1511000</v>
      </c>
      <c r="P432">
        <v>125916.67</v>
      </c>
      <c r="Q432">
        <v>60</v>
      </c>
      <c r="R432" t="s">
        <v>36</v>
      </c>
      <c r="S432">
        <v>3.6</v>
      </c>
      <c r="T432">
        <v>67</v>
      </c>
      <c r="U432">
        <v>28</v>
      </c>
      <c r="V432">
        <v>4</v>
      </c>
      <c r="W432" t="s">
        <v>37</v>
      </c>
      <c r="X432">
        <v>2.6</v>
      </c>
      <c r="Y432">
        <v>5</v>
      </c>
      <c r="Z432">
        <v>1</v>
      </c>
    </row>
    <row r="433" spans="1:26">
      <c r="A433" t="s">
        <v>530</v>
      </c>
      <c r="B433" s="21">
        <v>44207</v>
      </c>
      <c r="C433" s="21"/>
      <c r="D433" t="s">
        <v>27</v>
      </c>
      <c r="E433">
        <v>0</v>
      </c>
      <c r="F433" t="s">
        <v>98</v>
      </c>
      <c r="G433" t="s">
        <v>29</v>
      </c>
      <c r="H433" t="s">
        <v>106</v>
      </c>
      <c r="I433" t="s">
        <v>41</v>
      </c>
      <c r="J433" t="s">
        <v>54</v>
      </c>
      <c r="K433">
        <v>44</v>
      </c>
      <c r="L433" t="s">
        <v>42</v>
      </c>
      <c r="M433" t="s">
        <v>40</v>
      </c>
      <c r="N433" t="s">
        <v>35</v>
      </c>
      <c r="O433">
        <v>458000</v>
      </c>
      <c r="P433">
        <v>38166.67</v>
      </c>
      <c r="Q433">
        <v>59</v>
      </c>
      <c r="R433" t="s">
        <v>103</v>
      </c>
      <c r="S433">
        <v>3.2</v>
      </c>
      <c r="T433">
        <v>15</v>
      </c>
      <c r="U433">
        <v>19</v>
      </c>
      <c r="V433">
        <v>1</v>
      </c>
      <c r="W433" t="s">
        <v>37</v>
      </c>
      <c r="X433">
        <v>4.0999999999999996</v>
      </c>
      <c r="Y433">
        <v>0</v>
      </c>
      <c r="Z433">
        <v>2.9</v>
      </c>
    </row>
    <row r="434" spans="1:26">
      <c r="A434" t="s">
        <v>531</v>
      </c>
      <c r="B434" s="21">
        <v>43454</v>
      </c>
      <c r="C434" s="21"/>
      <c r="D434" t="s">
        <v>27</v>
      </c>
      <c r="E434">
        <v>0</v>
      </c>
      <c r="F434" t="s">
        <v>73</v>
      </c>
      <c r="G434" t="s">
        <v>51</v>
      </c>
      <c r="H434" t="s">
        <v>102</v>
      </c>
      <c r="I434" t="s">
        <v>41</v>
      </c>
      <c r="J434" t="s">
        <v>54</v>
      </c>
      <c r="K434">
        <v>42</v>
      </c>
      <c r="L434" t="s">
        <v>33</v>
      </c>
      <c r="M434" t="s">
        <v>34</v>
      </c>
      <c r="N434" t="s">
        <v>35</v>
      </c>
      <c r="O434">
        <v>956000</v>
      </c>
      <c r="P434">
        <v>79666.67</v>
      </c>
      <c r="Q434">
        <v>84</v>
      </c>
      <c r="R434" t="s">
        <v>116</v>
      </c>
      <c r="S434">
        <v>4.8</v>
      </c>
      <c r="T434">
        <v>0</v>
      </c>
      <c r="U434">
        <v>6</v>
      </c>
      <c r="V434">
        <v>3</v>
      </c>
      <c r="W434" t="s">
        <v>37</v>
      </c>
      <c r="X434">
        <v>2.9</v>
      </c>
      <c r="Y434">
        <v>0</v>
      </c>
      <c r="Z434">
        <v>1</v>
      </c>
    </row>
    <row r="435" spans="1:26">
      <c r="A435" t="s">
        <v>532</v>
      </c>
      <c r="B435" s="21">
        <v>44016</v>
      </c>
      <c r="C435" s="21"/>
      <c r="D435" t="s">
        <v>27</v>
      </c>
      <c r="E435">
        <v>0</v>
      </c>
      <c r="F435" t="s">
        <v>73</v>
      </c>
      <c r="G435" t="s">
        <v>88</v>
      </c>
      <c r="H435" t="s">
        <v>102</v>
      </c>
      <c r="I435" t="s">
        <v>53</v>
      </c>
      <c r="J435" t="s">
        <v>54</v>
      </c>
      <c r="K435">
        <v>41</v>
      </c>
      <c r="L435" t="s">
        <v>33</v>
      </c>
      <c r="M435" t="s">
        <v>40</v>
      </c>
      <c r="N435" t="s">
        <v>35</v>
      </c>
      <c r="O435">
        <v>991000</v>
      </c>
      <c r="P435">
        <v>82583.33</v>
      </c>
      <c r="Q435">
        <v>65</v>
      </c>
      <c r="R435" t="s">
        <v>36</v>
      </c>
      <c r="S435">
        <v>3.8</v>
      </c>
      <c r="T435">
        <v>34</v>
      </c>
      <c r="U435">
        <v>8</v>
      </c>
      <c r="V435">
        <v>5</v>
      </c>
      <c r="W435" t="s">
        <v>37</v>
      </c>
      <c r="X435">
        <v>4.3</v>
      </c>
      <c r="Y435">
        <v>1</v>
      </c>
      <c r="Z435">
        <v>13.9</v>
      </c>
    </row>
    <row r="436" spans="1:26">
      <c r="A436" t="s">
        <v>533</v>
      </c>
      <c r="B436" s="21">
        <v>45808</v>
      </c>
      <c r="C436" s="21"/>
      <c r="D436" t="s">
        <v>27</v>
      </c>
      <c r="E436">
        <v>0</v>
      </c>
      <c r="F436" t="s">
        <v>67</v>
      </c>
      <c r="G436" t="s">
        <v>51</v>
      </c>
      <c r="H436" t="s">
        <v>80</v>
      </c>
      <c r="I436" t="s">
        <v>62</v>
      </c>
      <c r="J436" t="s">
        <v>32</v>
      </c>
      <c r="K436">
        <v>36</v>
      </c>
      <c r="L436" t="s">
        <v>96</v>
      </c>
      <c r="M436" t="s">
        <v>58</v>
      </c>
      <c r="N436" t="s">
        <v>93</v>
      </c>
      <c r="O436">
        <v>865000</v>
      </c>
      <c r="P436">
        <v>72083.33</v>
      </c>
      <c r="Q436">
        <v>7</v>
      </c>
      <c r="R436" t="s">
        <v>55</v>
      </c>
      <c r="S436">
        <v>3.7</v>
      </c>
      <c r="T436">
        <v>15</v>
      </c>
      <c r="U436">
        <v>11</v>
      </c>
      <c r="V436">
        <v>4</v>
      </c>
      <c r="W436" t="s">
        <v>37</v>
      </c>
      <c r="X436">
        <v>4.0999999999999996</v>
      </c>
      <c r="Y436">
        <v>1</v>
      </c>
      <c r="Z436">
        <v>12.1</v>
      </c>
    </row>
    <row r="437" spans="1:26">
      <c r="A437" t="s">
        <v>534</v>
      </c>
      <c r="B437" s="21">
        <v>45646</v>
      </c>
      <c r="C437" s="21"/>
      <c r="D437" t="s">
        <v>27</v>
      </c>
      <c r="E437">
        <v>0</v>
      </c>
      <c r="F437" t="s">
        <v>73</v>
      </c>
      <c r="G437" t="s">
        <v>51</v>
      </c>
      <c r="H437" t="s">
        <v>118</v>
      </c>
      <c r="I437" t="s">
        <v>62</v>
      </c>
      <c r="J437" t="s">
        <v>54</v>
      </c>
      <c r="K437">
        <v>38</v>
      </c>
      <c r="L437" t="s">
        <v>33</v>
      </c>
      <c r="M437" t="s">
        <v>40</v>
      </c>
      <c r="N437" t="s">
        <v>35</v>
      </c>
      <c r="O437">
        <v>683000</v>
      </c>
      <c r="P437">
        <v>56916.67</v>
      </c>
      <c r="Q437">
        <v>12</v>
      </c>
      <c r="R437" t="s">
        <v>55</v>
      </c>
      <c r="S437">
        <v>3.1</v>
      </c>
      <c r="T437">
        <v>43</v>
      </c>
      <c r="U437">
        <v>12</v>
      </c>
      <c r="V437">
        <v>0</v>
      </c>
      <c r="W437" t="s">
        <v>37</v>
      </c>
      <c r="X437">
        <v>3.6</v>
      </c>
      <c r="Y437">
        <v>1</v>
      </c>
      <c r="Z437">
        <v>1</v>
      </c>
    </row>
    <row r="438" spans="1:26">
      <c r="A438" t="s">
        <v>535</v>
      </c>
      <c r="B438" s="21">
        <v>42402</v>
      </c>
      <c r="C438" s="21"/>
      <c r="D438" t="s">
        <v>27</v>
      </c>
      <c r="E438">
        <v>0</v>
      </c>
      <c r="F438" t="s">
        <v>73</v>
      </c>
      <c r="G438" t="s">
        <v>51</v>
      </c>
      <c r="H438" t="s">
        <v>74</v>
      </c>
      <c r="I438" t="s">
        <v>31</v>
      </c>
      <c r="J438" t="s">
        <v>32</v>
      </c>
      <c r="K438">
        <v>34</v>
      </c>
      <c r="L438" t="s">
        <v>33</v>
      </c>
      <c r="M438" t="s">
        <v>78</v>
      </c>
      <c r="N438" t="s">
        <v>35</v>
      </c>
      <c r="O438">
        <v>928000</v>
      </c>
      <c r="P438">
        <v>77333.33</v>
      </c>
      <c r="Q438">
        <v>118</v>
      </c>
      <c r="R438" t="s">
        <v>36</v>
      </c>
      <c r="S438">
        <v>3.8</v>
      </c>
      <c r="T438">
        <v>64</v>
      </c>
      <c r="U438">
        <v>0</v>
      </c>
      <c r="V438">
        <v>5</v>
      </c>
      <c r="W438" t="s">
        <v>37</v>
      </c>
      <c r="X438">
        <v>3.2</v>
      </c>
      <c r="Y438">
        <v>0</v>
      </c>
      <c r="Z438">
        <v>8.6999999999999993</v>
      </c>
    </row>
    <row r="439" spans="1:26">
      <c r="A439" t="s">
        <v>536</v>
      </c>
      <c r="B439" s="21">
        <v>45871</v>
      </c>
      <c r="C439" s="21"/>
      <c r="D439" t="s">
        <v>27</v>
      </c>
      <c r="E439">
        <v>0</v>
      </c>
      <c r="F439" t="s">
        <v>28</v>
      </c>
      <c r="G439" t="s">
        <v>70</v>
      </c>
      <c r="H439" t="s">
        <v>121</v>
      </c>
      <c r="I439" t="s">
        <v>53</v>
      </c>
      <c r="J439" t="s">
        <v>32</v>
      </c>
      <c r="K439">
        <v>28</v>
      </c>
      <c r="L439" t="s">
        <v>42</v>
      </c>
      <c r="M439" t="s">
        <v>58</v>
      </c>
      <c r="N439" t="s">
        <v>35</v>
      </c>
      <c r="O439">
        <v>557000</v>
      </c>
      <c r="P439">
        <v>46416.67</v>
      </c>
      <c r="Q439">
        <v>4</v>
      </c>
      <c r="R439" t="s">
        <v>116</v>
      </c>
      <c r="S439">
        <v>2.9</v>
      </c>
      <c r="T439">
        <v>54</v>
      </c>
      <c r="U439">
        <v>12</v>
      </c>
      <c r="V439">
        <v>7</v>
      </c>
      <c r="W439" t="s">
        <v>44</v>
      </c>
      <c r="X439">
        <v>4.4000000000000004</v>
      </c>
      <c r="Y439">
        <v>4</v>
      </c>
      <c r="Z439">
        <v>6.3</v>
      </c>
    </row>
    <row r="440" spans="1:26">
      <c r="A440" t="s">
        <v>537</v>
      </c>
      <c r="B440" s="21">
        <v>45007</v>
      </c>
      <c r="C440" s="21">
        <v>45859</v>
      </c>
      <c r="D440" t="s">
        <v>57</v>
      </c>
      <c r="E440">
        <v>1</v>
      </c>
      <c r="F440" t="s">
        <v>73</v>
      </c>
      <c r="G440" t="s">
        <v>51</v>
      </c>
      <c r="H440" t="s">
        <v>126</v>
      </c>
      <c r="I440" t="s">
        <v>53</v>
      </c>
      <c r="J440" t="s">
        <v>54</v>
      </c>
      <c r="K440">
        <v>43</v>
      </c>
      <c r="L440" t="s">
        <v>33</v>
      </c>
      <c r="M440" t="s">
        <v>34</v>
      </c>
      <c r="N440" t="s">
        <v>35</v>
      </c>
      <c r="O440">
        <v>787000</v>
      </c>
      <c r="P440">
        <v>65583.33</v>
      </c>
      <c r="Q440">
        <v>28</v>
      </c>
      <c r="R440" t="s">
        <v>36</v>
      </c>
      <c r="S440">
        <v>3.6</v>
      </c>
      <c r="T440">
        <v>62</v>
      </c>
      <c r="U440">
        <v>0</v>
      </c>
      <c r="V440">
        <v>12</v>
      </c>
      <c r="W440" t="s">
        <v>37</v>
      </c>
      <c r="X440">
        <v>4.0999999999999996</v>
      </c>
      <c r="Y440">
        <v>0</v>
      </c>
      <c r="Z440">
        <v>6.7</v>
      </c>
    </row>
    <row r="441" spans="1:26">
      <c r="A441" t="s">
        <v>538</v>
      </c>
      <c r="B441" s="21">
        <v>42766</v>
      </c>
      <c r="C441" s="21"/>
      <c r="D441" t="s">
        <v>27</v>
      </c>
      <c r="E441">
        <v>0</v>
      </c>
      <c r="F441" t="s">
        <v>73</v>
      </c>
      <c r="G441" t="s">
        <v>70</v>
      </c>
      <c r="H441" t="s">
        <v>74</v>
      </c>
      <c r="I441" t="s">
        <v>48</v>
      </c>
      <c r="J441" t="s">
        <v>54</v>
      </c>
      <c r="K441">
        <v>31</v>
      </c>
      <c r="L441" t="s">
        <v>42</v>
      </c>
      <c r="M441" t="s">
        <v>65</v>
      </c>
      <c r="N441" t="s">
        <v>35</v>
      </c>
      <c r="O441">
        <v>535000</v>
      </c>
      <c r="P441">
        <v>44583.33</v>
      </c>
      <c r="Q441">
        <v>107</v>
      </c>
      <c r="R441" t="s">
        <v>55</v>
      </c>
      <c r="S441">
        <v>2.4</v>
      </c>
      <c r="T441">
        <v>15</v>
      </c>
      <c r="U441">
        <v>12</v>
      </c>
      <c r="V441">
        <v>2</v>
      </c>
      <c r="W441" t="s">
        <v>37</v>
      </c>
      <c r="X441">
        <v>3.7</v>
      </c>
      <c r="Y441">
        <v>4</v>
      </c>
      <c r="Z441">
        <v>1</v>
      </c>
    </row>
    <row r="442" spans="1:26">
      <c r="A442" t="s">
        <v>539</v>
      </c>
      <c r="B442" s="21">
        <v>45991</v>
      </c>
      <c r="C442" s="21"/>
      <c r="D442" t="s">
        <v>27</v>
      </c>
      <c r="E442">
        <v>0</v>
      </c>
      <c r="F442" t="s">
        <v>67</v>
      </c>
      <c r="G442" t="s">
        <v>105</v>
      </c>
      <c r="H442" t="s">
        <v>95</v>
      </c>
      <c r="I442" t="s">
        <v>62</v>
      </c>
      <c r="J442" t="s">
        <v>54</v>
      </c>
      <c r="K442">
        <v>46</v>
      </c>
      <c r="L442" t="s">
        <v>42</v>
      </c>
      <c r="M442" t="s">
        <v>40</v>
      </c>
      <c r="N442" t="s">
        <v>35</v>
      </c>
      <c r="O442">
        <v>1714000</v>
      </c>
      <c r="P442">
        <v>142833.32999999999</v>
      </c>
      <c r="Q442">
        <v>1</v>
      </c>
      <c r="R442" t="s">
        <v>36</v>
      </c>
      <c r="S442">
        <v>3.1</v>
      </c>
      <c r="T442">
        <v>71</v>
      </c>
      <c r="U442">
        <v>6</v>
      </c>
      <c r="V442">
        <v>0</v>
      </c>
      <c r="W442" t="s">
        <v>44</v>
      </c>
      <c r="X442">
        <v>3.1</v>
      </c>
      <c r="Y442">
        <v>1</v>
      </c>
      <c r="Z442">
        <v>17</v>
      </c>
    </row>
    <row r="443" spans="1:26">
      <c r="A443" t="s">
        <v>540</v>
      </c>
      <c r="B443" s="21">
        <v>44206</v>
      </c>
      <c r="C443" s="21"/>
      <c r="D443" t="s">
        <v>27</v>
      </c>
      <c r="E443">
        <v>0</v>
      </c>
      <c r="F443" t="s">
        <v>50</v>
      </c>
      <c r="G443" t="s">
        <v>91</v>
      </c>
      <c r="H443" t="s">
        <v>124</v>
      </c>
      <c r="I443" t="s">
        <v>48</v>
      </c>
      <c r="J443" t="s">
        <v>54</v>
      </c>
      <c r="K443">
        <v>43</v>
      </c>
      <c r="L443" t="s">
        <v>82</v>
      </c>
      <c r="M443" t="s">
        <v>65</v>
      </c>
      <c r="N443" t="s">
        <v>35</v>
      </c>
      <c r="O443">
        <v>1235000</v>
      </c>
      <c r="P443">
        <v>102916.67</v>
      </c>
      <c r="Q443">
        <v>59</v>
      </c>
      <c r="R443" t="s">
        <v>116</v>
      </c>
      <c r="S443">
        <v>3.2</v>
      </c>
      <c r="T443">
        <v>63</v>
      </c>
      <c r="U443">
        <v>3</v>
      </c>
      <c r="V443">
        <v>6</v>
      </c>
      <c r="W443" t="s">
        <v>37</v>
      </c>
      <c r="X443">
        <v>3.8</v>
      </c>
      <c r="Y443">
        <v>2</v>
      </c>
      <c r="Z443">
        <v>5.5</v>
      </c>
    </row>
    <row r="444" spans="1:26">
      <c r="A444" t="s">
        <v>541</v>
      </c>
      <c r="B444" s="21">
        <v>42677</v>
      </c>
      <c r="C444" s="21"/>
      <c r="D444" t="s">
        <v>27</v>
      </c>
      <c r="E444">
        <v>0</v>
      </c>
      <c r="F444" t="s">
        <v>98</v>
      </c>
      <c r="G444" t="s">
        <v>91</v>
      </c>
      <c r="H444" t="s">
        <v>352</v>
      </c>
      <c r="I444" t="s">
        <v>48</v>
      </c>
      <c r="J444" t="s">
        <v>32</v>
      </c>
      <c r="K444">
        <v>51</v>
      </c>
      <c r="L444" t="s">
        <v>33</v>
      </c>
      <c r="M444" t="s">
        <v>34</v>
      </c>
      <c r="N444" t="s">
        <v>35</v>
      </c>
      <c r="O444">
        <v>1228000</v>
      </c>
      <c r="P444">
        <v>102333.33</v>
      </c>
      <c r="Q444">
        <v>109</v>
      </c>
      <c r="R444" t="s">
        <v>36</v>
      </c>
      <c r="S444">
        <v>4.5999999999999996</v>
      </c>
      <c r="T444">
        <v>34</v>
      </c>
      <c r="U444">
        <v>1</v>
      </c>
      <c r="V444">
        <v>9</v>
      </c>
      <c r="W444" t="s">
        <v>37</v>
      </c>
      <c r="X444">
        <v>3.9</v>
      </c>
      <c r="Y444">
        <v>1</v>
      </c>
      <c r="Z444">
        <v>12.2</v>
      </c>
    </row>
    <row r="445" spans="1:26">
      <c r="A445" t="s">
        <v>542</v>
      </c>
      <c r="B445" s="21">
        <v>42556</v>
      </c>
      <c r="C445" s="21"/>
      <c r="D445" t="s">
        <v>27</v>
      </c>
      <c r="E445">
        <v>0</v>
      </c>
      <c r="F445" t="s">
        <v>28</v>
      </c>
      <c r="G445" t="s">
        <v>70</v>
      </c>
      <c r="H445" t="s">
        <v>30</v>
      </c>
      <c r="I445" t="s">
        <v>41</v>
      </c>
      <c r="J445" t="s">
        <v>32</v>
      </c>
      <c r="K445">
        <v>31</v>
      </c>
      <c r="L445" t="s">
        <v>33</v>
      </c>
      <c r="M445" t="s">
        <v>58</v>
      </c>
      <c r="N445" t="s">
        <v>35</v>
      </c>
      <c r="O445">
        <v>444000</v>
      </c>
      <c r="P445">
        <v>37000</v>
      </c>
      <c r="Q445">
        <v>113</v>
      </c>
      <c r="R445" t="s">
        <v>36</v>
      </c>
      <c r="S445">
        <v>3.4</v>
      </c>
      <c r="T445">
        <v>70</v>
      </c>
      <c r="U445">
        <v>0</v>
      </c>
      <c r="V445">
        <v>0</v>
      </c>
      <c r="W445" t="s">
        <v>37</v>
      </c>
      <c r="X445">
        <v>3.9</v>
      </c>
      <c r="Y445">
        <v>1</v>
      </c>
      <c r="Z445">
        <v>7.6</v>
      </c>
    </row>
    <row r="446" spans="1:26">
      <c r="A446" t="s">
        <v>543</v>
      </c>
      <c r="B446" s="21">
        <v>44874</v>
      </c>
      <c r="C446" s="21"/>
      <c r="D446" t="s">
        <v>27</v>
      </c>
      <c r="E446">
        <v>0</v>
      </c>
      <c r="F446" t="s">
        <v>46</v>
      </c>
      <c r="G446" t="s">
        <v>29</v>
      </c>
      <c r="H446" t="s">
        <v>47</v>
      </c>
      <c r="I446" t="s">
        <v>31</v>
      </c>
      <c r="J446" t="s">
        <v>32</v>
      </c>
      <c r="K446">
        <v>28</v>
      </c>
      <c r="L446" t="s">
        <v>33</v>
      </c>
      <c r="M446" t="s">
        <v>43</v>
      </c>
      <c r="N446" t="s">
        <v>35</v>
      </c>
      <c r="O446">
        <v>431000</v>
      </c>
      <c r="P446">
        <v>35916.67</v>
      </c>
      <c r="Q446">
        <v>37</v>
      </c>
      <c r="R446" t="s">
        <v>55</v>
      </c>
      <c r="S446">
        <v>5</v>
      </c>
      <c r="T446">
        <v>77</v>
      </c>
      <c r="U446">
        <v>11</v>
      </c>
      <c r="V446">
        <v>4</v>
      </c>
      <c r="W446" t="s">
        <v>37</v>
      </c>
      <c r="X446">
        <v>3.6</v>
      </c>
      <c r="Y446">
        <v>0</v>
      </c>
      <c r="Z446">
        <v>13.5</v>
      </c>
    </row>
    <row r="447" spans="1:26">
      <c r="A447" t="s">
        <v>544</v>
      </c>
      <c r="B447" s="21">
        <v>43273</v>
      </c>
      <c r="C447" s="21"/>
      <c r="D447" t="s">
        <v>27</v>
      </c>
      <c r="E447">
        <v>0</v>
      </c>
      <c r="F447" t="s">
        <v>28</v>
      </c>
      <c r="G447" t="s">
        <v>88</v>
      </c>
      <c r="H447" t="s">
        <v>30</v>
      </c>
      <c r="I447" t="s">
        <v>53</v>
      </c>
      <c r="J447" t="s">
        <v>54</v>
      </c>
      <c r="K447">
        <v>40</v>
      </c>
      <c r="L447" t="s">
        <v>42</v>
      </c>
      <c r="M447" t="s">
        <v>65</v>
      </c>
      <c r="N447" t="s">
        <v>35</v>
      </c>
      <c r="O447">
        <v>918000</v>
      </c>
      <c r="P447">
        <v>76500</v>
      </c>
      <c r="Q447">
        <v>90</v>
      </c>
      <c r="R447" t="s">
        <v>36</v>
      </c>
      <c r="S447">
        <v>4</v>
      </c>
      <c r="T447">
        <v>23</v>
      </c>
      <c r="U447">
        <v>1</v>
      </c>
      <c r="V447">
        <v>0</v>
      </c>
      <c r="W447" t="s">
        <v>37</v>
      </c>
      <c r="X447">
        <v>3.6</v>
      </c>
      <c r="Y447">
        <v>1</v>
      </c>
      <c r="Z447">
        <v>2.7</v>
      </c>
    </row>
    <row r="448" spans="1:26">
      <c r="A448" t="s">
        <v>545</v>
      </c>
      <c r="B448" s="21">
        <v>43037</v>
      </c>
      <c r="C448" s="21">
        <v>43689</v>
      </c>
      <c r="D448" t="s">
        <v>57</v>
      </c>
      <c r="E448">
        <v>1</v>
      </c>
      <c r="F448" t="s">
        <v>28</v>
      </c>
      <c r="G448" t="s">
        <v>29</v>
      </c>
      <c r="H448" t="s">
        <v>30</v>
      </c>
      <c r="I448" t="s">
        <v>48</v>
      </c>
      <c r="J448" t="s">
        <v>54</v>
      </c>
      <c r="K448">
        <v>43</v>
      </c>
      <c r="L448" t="s">
        <v>33</v>
      </c>
      <c r="M448" t="s">
        <v>65</v>
      </c>
      <c r="N448" t="s">
        <v>35</v>
      </c>
      <c r="O448">
        <v>505000</v>
      </c>
      <c r="P448">
        <v>42083.33</v>
      </c>
      <c r="Q448">
        <v>22</v>
      </c>
      <c r="R448" t="s">
        <v>36</v>
      </c>
      <c r="S448">
        <v>2.5</v>
      </c>
      <c r="T448">
        <v>5</v>
      </c>
      <c r="U448">
        <v>10</v>
      </c>
      <c r="V448">
        <v>2</v>
      </c>
      <c r="W448" t="s">
        <v>44</v>
      </c>
      <c r="X448">
        <v>2.7</v>
      </c>
      <c r="Y448">
        <v>3</v>
      </c>
      <c r="Z448">
        <v>11.4</v>
      </c>
    </row>
    <row r="449" spans="1:26">
      <c r="A449" t="s">
        <v>546</v>
      </c>
      <c r="B449" s="21">
        <v>43466</v>
      </c>
      <c r="C449" s="21">
        <v>44126</v>
      </c>
      <c r="D449" t="s">
        <v>57</v>
      </c>
      <c r="E449">
        <v>1</v>
      </c>
      <c r="F449" t="s">
        <v>67</v>
      </c>
      <c r="G449" t="s">
        <v>88</v>
      </c>
      <c r="H449" t="s">
        <v>68</v>
      </c>
      <c r="I449" t="s">
        <v>62</v>
      </c>
      <c r="J449" t="s">
        <v>54</v>
      </c>
      <c r="K449">
        <v>49</v>
      </c>
      <c r="L449" t="s">
        <v>33</v>
      </c>
      <c r="M449" t="s">
        <v>34</v>
      </c>
      <c r="N449" t="s">
        <v>35</v>
      </c>
      <c r="O449">
        <v>1148000</v>
      </c>
      <c r="P449">
        <v>95666.67</v>
      </c>
      <c r="Q449">
        <v>21</v>
      </c>
      <c r="R449" t="s">
        <v>36</v>
      </c>
      <c r="S449">
        <v>4.4000000000000004</v>
      </c>
      <c r="T449">
        <v>34</v>
      </c>
      <c r="U449">
        <v>32</v>
      </c>
      <c r="V449">
        <v>5</v>
      </c>
      <c r="W449" t="s">
        <v>37</v>
      </c>
      <c r="X449">
        <v>3.6</v>
      </c>
      <c r="Y449">
        <v>5</v>
      </c>
      <c r="Z449">
        <v>3.6</v>
      </c>
    </row>
    <row r="450" spans="1:26">
      <c r="A450" t="s">
        <v>547</v>
      </c>
      <c r="B450" s="21">
        <v>45748</v>
      </c>
      <c r="C450" s="21">
        <v>46005</v>
      </c>
      <c r="D450" t="s">
        <v>57</v>
      </c>
      <c r="E450">
        <v>1</v>
      </c>
      <c r="F450" t="s">
        <v>28</v>
      </c>
      <c r="G450" t="s">
        <v>29</v>
      </c>
      <c r="H450" t="s">
        <v>64</v>
      </c>
      <c r="I450" t="s">
        <v>53</v>
      </c>
      <c r="J450" t="s">
        <v>32</v>
      </c>
      <c r="K450">
        <v>42</v>
      </c>
      <c r="L450" t="s">
        <v>42</v>
      </c>
      <c r="M450" t="s">
        <v>40</v>
      </c>
      <c r="N450" t="s">
        <v>35</v>
      </c>
      <c r="O450">
        <v>429000</v>
      </c>
      <c r="P450">
        <v>35750</v>
      </c>
      <c r="Q450">
        <v>8</v>
      </c>
      <c r="R450" t="s">
        <v>103</v>
      </c>
      <c r="S450">
        <v>3.8</v>
      </c>
      <c r="T450">
        <v>14</v>
      </c>
      <c r="U450">
        <v>25</v>
      </c>
      <c r="V450">
        <v>10</v>
      </c>
      <c r="W450" t="s">
        <v>37</v>
      </c>
      <c r="X450">
        <v>3.8</v>
      </c>
      <c r="Y450">
        <v>3</v>
      </c>
      <c r="Z450">
        <v>13.2</v>
      </c>
    </row>
    <row r="451" spans="1:26">
      <c r="A451" t="s">
        <v>548</v>
      </c>
      <c r="B451" s="21">
        <v>43524</v>
      </c>
      <c r="C451" s="21"/>
      <c r="D451" t="s">
        <v>27</v>
      </c>
      <c r="E451">
        <v>0</v>
      </c>
      <c r="F451" t="s">
        <v>46</v>
      </c>
      <c r="G451" t="s">
        <v>91</v>
      </c>
      <c r="H451" t="s">
        <v>71</v>
      </c>
      <c r="I451" t="s">
        <v>62</v>
      </c>
      <c r="J451" t="s">
        <v>32</v>
      </c>
      <c r="K451">
        <v>39</v>
      </c>
      <c r="L451" t="s">
        <v>42</v>
      </c>
      <c r="M451" t="s">
        <v>43</v>
      </c>
      <c r="N451" t="s">
        <v>35</v>
      </c>
      <c r="O451">
        <v>1234000</v>
      </c>
      <c r="P451">
        <v>102833.33</v>
      </c>
      <c r="Q451">
        <v>82</v>
      </c>
      <c r="R451" t="s">
        <v>55</v>
      </c>
      <c r="S451">
        <v>4.4000000000000004</v>
      </c>
      <c r="T451">
        <v>13</v>
      </c>
      <c r="U451">
        <v>25</v>
      </c>
      <c r="V451">
        <v>11</v>
      </c>
      <c r="W451" t="s">
        <v>37</v>
      </c>
      <c r="X451">
        <v>3.4</v>
      </c>
      <c r="Y451">
        <v>4</v>
      </c>
      <c r="Z451">
        <v>6.7</v>
      </c>
    </row>
    <row r="452" spans="1:26">
      <c r="A452" t="s">
        <v>549</v>
      </c>
      <c r="B452" s="21">
        <v>43881</v>
      </c>
      <c r="C452" s="21"/>
      <c r="D452" t="s">
        <v>27</v>
      </c>
      <c r="E452">
        <v>0</v>
      </c>
      <c r="F452" t="s">
        <v>46</v>
      </c>
      <c r="G452" t="s">
        <v>51</v>
      </c>
      <c r="H452" t="s">
        <v>71</v>
      </c>
      <c r="I452" t="s">
        <v>41</v>
      </c>
      <c r="J452" t="s">
        <v>54</v>
      </c>
      <c r="K452">
        <v>51</v>
      </c>
      <c r="L452" t="s">
        <v>33</v>
      </c>
      <c r="M452" t="s">
        <v>78</v>
      </c>
      <c r="N452" t="s">
        <v>35</v>
      </c>
      <c r="O452">
        <v>886000</v>
      </c>
      <c r="P452">
        <v>73833.33</v>
      </c>
      <c r="Q452">
        <v>70</v>
      </c>
      <c r="R452" t="s">
        <v>116</v>
      </c>
      <c r="S452">
        <v>2.9</v>
      </c>
      <c r="T452">
        <v>41</v>
      </c>
      <c r="U452">
        <v>11</v>
      </c>
      <c r="V452">
        <v>3</v>
      </c>
      <c r="W452" t="s">
        <v>44</v>
      </c>
      <c r="X452">
        <v>4.3</v>
      </c>
      <c r="Y452">
        <v>2</v>
      </c>
      <c r="Z452">
        <v>16</v>
      </c>
    </row>
    <row r="453" spans="1:26">
      <c r="A453" t="s">
        <v>550</v>
      </c>
      <c r="B453" s="21">
        <v>43947</v>
      </c>
      <c r="C453" s="21"/>
      <c r="D453" t="s">
        <v>27</v>
      </c>
      <c r="E453">
        <v>0</v>
      </c>
      <c r="F453" t="s">
        <v>50</v>
      </c>
      <c r="G453" t="s">
        <v>70</v>
      </c>
      <c r="H453" t="s">
        <v>52</v>
      </c>
      <c r="I453" t="s">
        <v>48</v>
      </c>
      <c r="J453" t="s">
        <v>32</v>
      </c>
      <c r="K453">
        <v>32</v>
      </c>
      <c r="L453" t="s">
        <v>33</v>
      </c>
      <c r="M453" t="s">
        <v>34</v>
      </c>
      <c r="N453" t="s">
        <v>35</v>
      </c>
      <c r="O453">
        <v>521000</v>
      </c>
      <c r="P453">
        <v>43416.67</v>
      </c>
      <c r="Q453">
        <v>68</v>
      </c>
      <c r="R453" t="s">
        <v>55</v>
      </c>
      <c r="S453">
        <v>4.2</v>
      </c>
      <c r="T453">
        <v>53</v>
      </c>
      <c r="U453">
        <v>0</v>
      </c>
      <c r="V453">
        <v>6</v>
      </c>
      <c r="W453" t="s">
        <v>37</v>
      </c>
      <c r="X453">
        <v>4.8</v>
      </c>
      <c r="Y453">
        <v>1</v>
      </c>
      <c r="Z453">
        <v>20</v>
      </c>
    </row>
    <row r="454" spans="1:26">
      <c r="A454" t="s">
        <v>551</v>
      </c>
      <c r="B454" s="21">
        <v>45693</v>
      </c>
      <c r="C454" s="21">
        <v>45872</v>
      </c>
      <c r="D454" t="s">
        <v>57</v>
      </c>
      <c r="E454">
        <v>1</v>
      </c>
      <c r="F454" t="s">
        <v>28</v>
      </c>
      <c r="G454" t="s">
        <v>88</v>
      </c>
      <c r="H454" t="s">
        <v>30</v>
      </c>
      <c r="I454" t="s">
        <v>75</v>
      </c>
      <c r="J454" t="s">
        <v>54</v>
      </c>
      <c r="K454">
        <v>42</v>
      </c>
      <c r="L454" t="s">
        <v>42</v>
      </c>
      <c r="M454" t="s">
        <v>43</v>
      </c>
      <c r="N454" t="s">
        <v>93</v>
      </c>
      <c r="O454">
        <v>1045000</v>
      </c>
      <c r="P454">
        <v>87083.33</v>
      </c>
      <c r="Q454">
        <v>6</v>
      </c>
      <c r="R454" t="s">
        <v>103</v>
      </c>
      <c r="S454">
        <v>2.2999999999999998</v>
      </c>
      <c r="T454">
        <v>53</v>
      </c>
      <c r="U454">
        <v>12</v>
      </c>
      <c r="V454">
        <v>5</v>
      </c>
      <c r="W454" t="s">
        <v>37</v>
      </c>
      <c r="X454">
        <v>2.1</v>
      </c>
      <c r="Y454">
        <v>0</v>
      </c>
      <c r="Z454">
        <v>3.6</v>
      </c>
    </row>
    <row r="455" spans="1:26">
      <c r="A455" t="s">
        <v>552</v>
      </c>
      <c r="B455" s="21">
        <v>42598</v>
      </c>
      <c r="C455" s="21"/>
      <c r="D455" t="s">
        <v>27</v>
      </c>
      <c r="E455">
        <v>0</v>
      </c>
      <c r="F455" t="s">
        <v>46</v>
      </c>
      <c r="G455" t="s">
        <v>88</v>
      </c>
      <c r="H455" t="s">
        <v>162</v>
      </c>
      <c r="I455" t="s">
        <v>41</v>
      </c>
      <c r="J455" t="s">
        <v>54</v>
      </c>
      <c r="K455">
        <v>42</v>
      </c>
      <c r="L455" t="s">
        <v>33</v>
      </c>
      <c r="M455" t="s">
        <v>34</v>
      </c>
      <c r="N455" t="s">
        <v>35</v>
      </c>
      <c r="O455">
        <v>924000</v>
      </c>
      <c r="P455">
        <v>77000</v>
      </c>
      <c r="Q455">
        <v>112</v>
      </c>
      <c r="R455" t="s">
        <v>55</v>
      </c>
      <c r="S455">
        <v>3.1</v>
      </c>
      <c r="T455">
        <v>53</v>
      </c>
      <c r="U455">
        <v>10</v>
      </c>
      <c r="V455">
        <v>2</v>
      </c>
      <c r="W455" t="s">
        <v>37</v>
      </c>
      <c r="X455">
        <v>3.5</v>
      </c>
      <c r="Y455">
        <v>0</v>
      </c>
      <c r="Z455">
        <v>9.9</v>
      </c>
    </row>
    <row r="456" spans="1:26">
      <c r="A456" t="s">
        <v>553</v>
      </c>
      <c r="B456" s="21">
        <v>45415</v>
      </c>
      <c r="C456" s="21"/>
      <c r="D456" t="s">
        <v>27</v>
      </c>
      <c r="E456">
        <v>0</v>
      </c>
      <c r="F456" t="s">
        <v>67</v>
      </c>
      <c r="G456" t="s">
        <v>70</v>
      </c>
      <c r="H456" t="s">
        <v>80</v>
      </c>
      <c r="I456" t="s">
        <v>48</v>
      </c>
      <c r="J456" t="s">
        <v>32</v>
      </c>
      <c r="K456">
        <v>42</v>
      </c>
      <c r="L456" t="s">
        <v>33</v>
      </c>
      <c r="M456" t="s">
        <v>65</v>
      </c>
      <c r="N456" t="s">
        <v>35</v>
      </c>
      <c r="O456">
        <v>665000</v>
      </c>
      <c r="P456">
        <v>55416.67</v>
      </c>
      <c r="Q456">
        <v>19</v>
      </c>
      <c r="R456" t="s">
        <v>36</v>
      </c>
      <c r="S456">
        <v>4.3</v>
      </c>
      <c r="T456">
        <v>58</v>
      </c>
      <c r="U456">
        <v>20</v>
      </c>
      <c r="V456">
        <v>3</v>
      </c>
      <c r="W456" t="s">
        <v>37</v>
      </c>
      <c r="X456">
        <v>3.6</v>
      </c>
      <c r="Y456">
        <v>0</v>
      </c>
      <c r="Z456">
        <v>8.1999999999999993</v>
      </c>
    </row>
    <row r="457" spans="1:26">
      <c r="A457" t="s">
        <v>554</v>
      </c>
      <c r="B457" s="21">
        <v>44713</v>
      </c>
      <c r="C457" s="21"/>
      <c r="D457" t="s">
        <v>27</v>
      </c>
      <c r="E457">
        <v>0</v>
      </c>
      <c r="F457" t="s">
        <v>28</v>
      </c>
      <c r="G457" t="s">
        <v>88</v>
      </c>
      <c r="H457" t="s">
        <v>121</v>
      </c>
      <c r="I457" t="s">
        <v>62</v>
      </c>
      <c r="J457" t="s">
        <v>32</v>
      </c>
      <c r="K457">
        <v>31</v>
      </c>
      <c r="L457" t="s">
        <v>82</v>
      </c>
      <c r="M457" t="s">
        <v>43</v>
      </c>
      <c r="N457" t="s">
        <v>35</v>
      </c>
      <c r="O457">
        <v>834000</v>
      </c>
      <c r="P457">
        <v>69500</v>
      </c>
      <c r="Q457">
        <v>42</v>
      </c>
      <c r="R457" t="s">
        <v>36</v>
      </c>
      <c r="S457">
        <v>3.5</v>
      </c>
      <c r="T457">
        <v>59</v>
      </c>
      <c r="U457">
        <v>7</v>
      </c>
      <c r="V457">
        <v>6</v>
      </c>
      <c r="W457" t="s">
        <v>37</v>
      </c>
      <c r="X457">
        <v>4.0999999999999996</v>
      </c>
      <c r="Y457">
        <v>1</v>
      </c>
      <c r="Z457">
        <v>8.6</v>
      </c>
    </row>
    <row r="458" spans="1:26">
      <c r="A458" t="s">
        <v>555</v>
      </c>
      <c r="B458" s="21">
        <v>44029</v>
      </c>
      <c r="C458" s="21">
        <v>44696</v>
      </c>
      <c r="D458" t="s">
        <v>57</v>
      </c>
      <c r="E458">
        <v>1</v>
      </c>
      <c r="F458" t="s">
        <v>73</v>
      </c>
      <c r="G458" t="s">
        <v>51</v>
      </c>
      <c r="H458" t="s">
        <v>118</v>
      </c>
      <c r="I458" t="s">
        <v>41</v>
      </c>
      <c r="J458" t="s">
        <v>54</v>
      </c>
      <c r="K458">
        <v>41</v>
      </c>
      <c r="L458" t="s">
        <v>130</v>
      </c>
      <c r="M458" t="s">
        <v>40</v>
      </c>
      <c r="N458" t="s">
        <v>35</v>
      </c>
      <c r="O458">
        <v>723000</v>
      </c>
      <c r="P458">
        <v>60250</v>
      </c>
      <c r="Q458">
        <v>22</v>
      </c>
      <c r="R458" t="s">
        <v>36</v>
      </c>
      <c r="S458">
        <v>3.1</v>
      </c>
      <c r="T458">
        <v>25</v>
      </c>
      <c r="U458">
        <v>15</v>
      </c>
      <c r="V458">
        <v>0</v>
      </c>
      <c r="W458" t="s">
        <v>44</v>
      </c>
      <c r="X458">
        <v>4.5</v>
      </c>
      <c r="Y458">
        <v>2</v>
      </c>
      <c r="Z458">
        <v>12.8</v>
      </c>
    </row>
    <row r="459" spans="1:26">
      <c r="A459" t="s">
        <v>556</v>
      </c>
      <c r="B459" s="21">
        <v>43472</v>
      </c>
      <c r="C459" s="21"/>
      <c r="D459" t="s">
        <v>27</v>
      </c>
      <c r="E459">
        <v>0</v>
      </c>
      <c r="F459" t="s">
        <v>28</v>
      </c>
      <c r="G459" t="s">
        <v>29</v>
      </c>
      <c r="H459" t="s">
        <v>64</v>
      </c>
      <c r="I459" t="s">
        <v>62</v>
      </c>
      <c r="J459" t="s">
        <v>54</v>
      </c>
      <c r="K459">
        <v>41</v>
      </c>
      <c r="L459" t="s">
        <v>33</v>
      </c>
      <c r="M459" t="s">
        <v>34</v>
      </c>
      <c r="N459" t="s">
        <v>35</v>
      </c>
      <c r="O459">
        <v>526000</v>
      </c>
      <c r="P459">
        <v>43833.33</v>
      </c>
      <c r="Q459">
        <v>83</v>
      </c>
      <c r="R459" t="s">
        <v>103</v>
      </c>
      <c r="S459">
        <v>4</v>
      </c>
      <c r="T459">
        <v>12</v>
      </c>
      <c r="U459">
        <v>34</v>
      </c>
      <c r="V459">
        <v>8</v>
      </c>
      <c r="W459" t="s">
        <v>37</v>
      </c>
      <c r="X459">
        <v>4.2</v>
      </c>
      <c r="Y459">
        <v>2</v>
      </c>
      <c r="Z459">
        <v>11.8</v>
      </c>
    </row>
    <row r="460" spans="1:26">
      <c r="A460" t="s">
        <v>557</v>
      </c>
      <c r="B460" s="21">
        <v>44432</v>
      </c>
      <c r="C460" s="21"/>
      <c r="D460" t="s">
        <v>27</v>
      </c>
      <c r="E460">
        <v>0</v>
      </c>
      <c r="F460" t="s">
        <v>73</v>
      </c>
      <c r="G460" t="s">
        <v>91</v>
      </c>
      <c r="H460" t="s">
        <v>118</v>
      </c>
      <c r="I460" t="s">
        <v>31</v>
      </c>
      <c r="J460" t="s">
        <v>54</v>
      </c>
      <c r="K460">
        <v>56</v>
      </c>
      <c r="L460" t="s">
        <v>33</v>
      </c>
      <c r="M460" t="s">
        <v>43</v>
      </c>
      <c r="N460" t="s">
        <v>35</v>
      </c>
      <c r="O460">
        <v>1305000</v>
      </c>
      <c r="P460">
        <v>108750</v>
      </c>
      <c r="Q460">
        <v>52</v>
      </c>
      <c r="R460" t="s">
        <v>36</v>
      </c>
      <c r="S460">
        <v>4.4000000000000004</v>
      </c>
      <c r="T460">
        <v>20</v>
      </c>
      <c r="U460">
        <v>18</v>
      </c>
      <c r="V460">
        <v>9</v>
      </c>
      <c r="W460" t="s">
        <v>37</v>
      </c>
      <c r="X460">
        <v>4</v>
      </c>
      <c r="Y460">
        <v>1</v>
      </c>
      <c r="Z460">
        <v>5</v>
      </c>
    </row>
    <row r="461" spans="1:26">
      <c r="A461" t="s">
        <v>558</v>
      </c>
      <c r="B461" s="21">
        <v>45354</v>
      </c>
      <c r="C461" s="21"/>
      <c r="D461" t="s">
        <v>27</v>
      </c>
      <c r="E461">
        <v>0</v>
      </c>
      <c r="F461" t="s">
        <v>50</v>
      </c>
      <c r="G461" t="s">
        <v>51</v>
      </c>
      <c r="H461" t="s">
        <v>89</v>
      </c>
      <c r="I461" t="s">
        <v>62</v>
      </c>
      <c r="J461" t="s">
        <v>54</v>
      </c>
      <c r="K461">
        <v>33</v>
      </c>
      <c r="L461" t="s">
        <v>33</v>
      </c>
      <c r="M461" t="s">
        <v>65</v>
      </c>
      <c r="N461" t="s">
        <v>35</v>
      </c>
      <c r="O461">
        <v>852000</v>
      </c>
      <c r="P461">
        <v>71000</v>
      </c>
      <c r="Q461">
        <v>21</v>
      </c>
      <c r="R461" t="s">
        <v>36</v>
      </c>
      <c r="S461">
        <v>2.9</v>
      </c>
      <c r="T461">
        <v>80</v>
      </c>
      <c r="U461">
        <v>13</v>
      </c>
      <c r="V461">
        <v>0</v>
      </c>
      <c r="W461" t="s">
        <v>44</v>
      </c>
      <c r="X461">
        <v>2.5</v>
      </c>
      <c r="Y461">
        <v>0</v>
      </c>
      <c r="Z461">
        <v>1</v>
      </c>
    </row>
    <row r="462" spans="1:26">
      <c r="A462" t="s">
        <v>559</v>
      </c>
      <c r="B462" s="21">
        <v>42431</v>
      </c>
      <c r="C462" s="21"/>
      <c r="D462" t="s">
        <v>27</v>
      </c>
      <c r="E462">
        <v>0</v>
      </c>
      <c r="F462" t="s">
        <v>50</v>
      </c>
      <c r="G462" t="s">
        <v>29</v>
      </c>
      <c r="H462" t="s">
        <v>89</v>
      </c>
      <c r="I462" t="s">
        <v>75</v>
      </c>
      <c r="J462" t="s">
        <v>54</v>
      </c>
      <c r="K462">
        <v>42</v>
      </c>
      <c r="L462" t="s">
        <v>33</v>
      </c>
      <c r="M462" t="s">
        <v>40</v>
      </c>
      <c r="N462" t="s">
        <v>35</v>
      </c>
      <c r="O462">
        <v>428000</v>
      </c>
      <c r="P462">
        <v>35666.67</v>
      </c>
      <c r="Q462">
        <v>117</v>
      </c>
      <c r="R462" t="s">
        <v>36</v>
      </c>
      <c r="S462">
        <v>4.8</v>
      </c>
      <c r="T462">
        <v>60</v>
      </c>
      <c r="U462">
        <v>0</v>
      </c>
      <c r="V462">
        <v>1</v>
      </c>
      <c r="W462" t="s">
        <v>37</v>
      </c>
      <c r="X462">
        <v>4.2</v>
      </c>
      <c r="Y462">
        <v>2</v>
      </c>
      <c r="Z462">
        <v>11.9</v>
      </c>
    </row>
    <row r="463" spans="1:26">
      <c r="A463" t="s">
        <v>560</v>
      </c>
      <c r="B463" s="21">
        <v>44180</v>
      </c>
      <c r="C463" s="21"/>
      <c r="D463" t="s">
        <v>27</v>
      </c>
      <c r="E463">
        <v>0</v>
      </c>
      <c r="F463" t="s">
        <v>50</v>
      </c>
      <c r="G463" t="s">
        <v>88</v>
      </c>
      <c r="H463" t="s">
        <v>52</v>
      </c>
      <c r="I463" t="s">
        <v>75</v>
      </c>
      <c r="J463" t="s">
        <v>54</v>
      </c>
      <c r="K463">
        <v>40</v>
      </c>
      <c r="L463" t="s">
        <v>42</v>
      </c>
      <c r="M463" t="s">
        <v>43</v>
      </c>
      <c r="N463" t="s">
        <v>35</v>
      </c>
      <c r="O463">
        <v>1033000</v>
      </c>
      <c r="P463">
        <v>86083.33</v>
      </c>
      <c r="Q463">
        <v>60</v>
      </c>
      <c r="R463" t="s">
        <v>55</v>
      </c>
      <c r="S463">
        <v>3.1</v>
      </c>
      <c r="T463">
        <v>5</v>
      </c>
      <c r="U463">
        <v>19</v>
      </c>
      <c r="V463">
        <v>8</v>
      </c>
      <c r="W463" t="s">
        <v>44</v>
      </c>
      <c r="X463">
        <v>2.6</v>
      </c>
      <c r="Y463">
        <v>5</v>
      </c>
      <c r="Z463">
        <v>15.9</v>
      </c>
    </row>
    <row r="464" spans="1:26">
      <c r="A464" t="s">
        <v>561</v>
      </c>
      <c r="B464" s="21">
        <v>45405</v>
      </c>
      <c r="C464" s="21"/>
      <c r="D464" t="s">
        <v>27</v>
      </c>
      <c r="E464">
        <v>0</v>
      </c>
      <c r="F464" t="s">
        <v>28</v>
      </c>
      <c r="G464" t="s">
        <v>51</v>
      </c>
      <c r="H464" t="s">
        <v>30</v>
      </c>
      <c r="I464" t="s">
        <v>75</v>
      </c>
      <c r="J464" t="s">
        <v>54</v>
      </c>
      <c r="K464">
        <v>42</v>
      </c>
      <c r="L464" t="s">
        <v>33</v>
      </c>
      <c r="M464" t="s">
        <v>40</v>
      </c>
      <c r="N464" t="s">
        <v>35</v>
      </c>
      <c r="O464">
        <v>823000</v>
      </c>
      <c r="P464">
        <v>68583.33</v>
      </c>
      <c r="Q464">
        <v>20</v>
      </c>
      <c r="R464" t="s">
        <v>36</v>
      </c>
      <c r="S464">
        <v>2.2999999999999998</v>
      </c>
      <c r="T464">
        <v>10</v>
      </c>
      <c r="U464">
        <v>7</v>
      </c>
      <c r="V464">
        <v>4</v>
      </c>
      <c r="W464" t="s">
        <v>44</v>
      </c>
      <c r="X464">
        <v>2.5</v>
      </c>
      <c r="Y464">
        <v>1</v>
      </c>
      <c r="Z464">
        <v>4</v>
      </c>
    </row>
    <row r="465" spans="1:26">
      <c r="A465" t="s">
        <v>562</v>
      </c>
      <c r="B465" s="21">
        <v>43995</v>
      </c>
      <c r="C465" s="21"/>
      <c r="D465" t="s">
        <v>27</v>
      </c>
      <c r="E465">
        <v>0</v>
      </c>
      <c r="F465" t="s">
        <v>46</v>
      </c>
      <c r="G465" t="s">
        <v>29</v>
      </c>
      <c r="H465" t="s">
        <v>71</v>
      </c>
      <c r="I465" t="s">
        <v>62</v>
      </c>
      <c r="J465" t="s">
        <v>32</v>
      </c>
      <c r="K465">
        <v>34</v>
      </c>
      <c r="L465" t="s">
        <v>33</v>
      </c>
      <c r="M465" t="s">
        <v>65</v>
      </c>
      <c r="N465" t="s">
        <v>35</v>
      </c>
      <c r="O465">
        <v>409000</v>
      </c>
      <c r="P465">
        <v>34083.33</v>
      </c>
      <c r="Q465">
        <v>66</v>
      </c>
      <c r="R465" t="s">
        <v>36</v>
      </c>
      <c r="S465">
        <v>3</v>
      </c>
      <c r="T465">
        <v>48</v>
      </c>
      <c r="U465">
        <v>8</v>
      </c>
      <c r="V465">
        <v>8</v>
      </c>
      <c r="W465" t="s">
        <v>37</v>
      </c>
      <c r="X465">
        <v>3.5</v>
      </c>
      <c r="Y465">
        <v>2</v>
      </c>
      <c r="Z465">
        <v>2.5</v>
      </c>
    </row>
    <row r="466" spans="1:26">
      <c r="A466" t="s">
        <v>563</v>
      </c>
      <c r="B466" s="21">
        <v>45604</v>
      </c>
      <c r="C466" s="21">
        <v>45834</v>
      </c>
      <c r="D466" t="s">
        <v>57</v>
      </c>
      <c r="E466">
        <v>1</v>
      </c>
      <c r="F466" t="s">
        <v>67</v>
      </c>
      <c r="G466" t="s">
        <v>88</v>
      </c>
      <c r="H466" t="s">
        <v>77</v>
      </c>
      <c r="I466" t="s">
        <v>31</v>
      </c>
      <c r="J466" t="s">
        <v>54</v>
      </c>
      <c r="K466">
        <v>35</v>
      </c>
      <c r="L466" t="s">
        <v>33</v>
      </c>
      <c r="M466" t="s">
        <v>65</v>
      </c>
      <c r="N466" t="s">
        <v>194</v>
      </c>
      <c r="O466">
        <v>1011000</v>
      </c>
      <c r="P466">
        <v>84250</v>
      </c>
      <c r="Q466">
        <v>7</v>
      </c>
      <c r="R466" t="s">
        <v>55</v>
      </c>
      <c r="S466">
        <v>3.9</v>
      </c>
      <c r="T466">
        <v>23</v>
      </c>
      <c r="U466">
        <v>27</v>
      </c>
      <c r="V466">
        <v>7</v>
      </c>
      <c r="W466" t="s">
        <v>37</v>
      </c>
      <c r="X466">
        <v>3.6</v>
      </c>
      <c r="Y466">
        <v>0</v>
      </c>
      <c r="Z466">
        <v>17.5</v>
      </c>
    </row>
    <row r="467" spans="1:26">
      <c r="A467" t="s">
        <v>564</v>
      </c>
      <c r="B467" s="21">
        <v>44125</v>
      </c>
      <c r="C467" s="21"/>
      <c r="D467" t="s">
        <v>27</v>
      </c>
      <c r="E467">
        <v>0</v>
      </c>
      <c r="F467" t="s">
        <v>60</v>
      </c>
      <c r="G467" t="s">
        <v>29</v>
      </c>
      <c r="H467" t="s">
        <v>61</v>
      </c>
      <c r="I467" t="s">
        <v>53</v>
      </c>
      <c r="J467" t="s">
        <v>32</v>
      </c>
      <c r="K467">
        <v>27</v>
      </c>
      <c r="L467" t="s">
        <v>33</v>
      </c>
      <c r="M467" t="s">
        <v>40</v>
      </c>
      <c r="N467" t="s">
        <v>35</v>
      </c>
      <c r="O467">
        <v>413000</v>
      </c>
      <c r="P467">
        <v>34416.67</v>
      </c>
      <c r="Q467">
        <v>62</v>
      </c>
      <c r="R467" t="s">
        <v>36</v>
      </c>
      <c r="S467">
        <v>4.5999999999999996</v>
      </c>
      <c r="T467">
        <v>74</v>
      </c>
      <c r="U467">
        <v>15</v>
      </c>
      <c r="V467">
        <v>8</v>
      </c>
      <c r="W467" t="s">
        <v>37</v>
      </c>
      <c r="X467">
        <v>3.5</v>
      </c>
      <c r="Y467">
        <v>5</v>
      </c>
      <c r="Z467">
        <v>5.7</v>
      </c>
    </row>
    <row r="468" spans="1:26">
      <c r="A468" t="s">
        <v>565</v>
      </c>
      <c r="B468" s="21">
        <v>45743</v>
      </c>
      <c r="C468" s="21"/>
      <c r="D468" t="s">
        <v>27</v>
      </c>
      <c r="E468">
        <v>0</v>
      </c>
      <c r="F468" t="s">
        <v>28</v>
      </c>
      <c r="G468" t="s">
        <v>70</v>
      </c>
      <c r="H468" t="s">
        <v>121</v>
      </c>
      <c r="I468" t="s">
        <v>48</v>
      </c>
      <c r="J468" t="s">
        <v>32</v>
      </c>
      <c r="K468">
        <v>47</v>
      </c>
      <c r="L468" t="s">
        <v>82</v>
      </c>
      <c r="M468" t="s">
        <v>58</v>
      </c>
      <c r="N468" t="s">
        <v>35</v>
      </c>
      <c r="O468">
        <v>660000</v>
      </c>
      <c r="P468">
        <v>55000</v>
      </c>
      <c r="Q468">
        <v>9</v>
      </c>
      <c r="R468" t="s">
        <v>36</v>
      </c>
      <c r="S468">
        <v>3</v>
      </c>
      <c r="T468">
        <v>57</v>
      </c>
      <c r="U468">
        <v>11</v>
      </c>
      <c r="V468">
        <v>1</v>
      </c>
      <c r="W468" t="s">
        <v>44</v>
      </c>
      <c r="X468">
        <v>4.5</v>
      </c>
      <c r="Y468">
        <v>0</v>
      </c>
      <c r="Z468">
        <v>18.600000000000001</v>
      </c>
    </row>
    <row r="469" spans="1:26">
      <c r="A469" t="s">
        <v>566</v>
      </c>
      <c r="B469" s="21">
        <v>42519</v>
      </c>
      <c r="C469" s="21"/>
      <c r="D469" t="s">
        <v>27</v>
      </c>
      <c r="E469">
        <v>0</v>
      </c>
      <c r="F469" t="s">
        <v>28</v>
      </c>
      <c r="G469" t="s">
        <v>51</v>
      </c>
      <c r="H469" t="s">
        <v>121</v>
      </c>
      <c r="I469" t="s">
        <v>41</v>
      </c>
      <c r="J469" t="s">
        <v>54</v>
      </c>
      <c r="K469">
        <v>43</v>
      </c>
      <c r="L469" t="s">
        <v>33</v>
      </c>
      <c r="M469" t="s">
        <v>40</v>
      </c>
      <c r="N469" t="s">
        <v>35</v>
      </c>
      <c r="O469">
        <v>692000</v>
      </c>
      <c r="P469">
        <v>57666.67</v>
      </c>
      <c r="Q469">
        <v>115</v>
      </c>
      <c r="R469" t="s">
        <v>36</v>
      </c>
      <c r="S469">
        <v>5</v>
      </c>
      <c r="T469">
        <v>63</v>
      </c>
      <c r="U469">
        <v>3</v>
      </c>
      <c r="V469">
        <v>7</v>
      </c>
      <c r="W469" t="s">
        <v>44</v>
      </c>
      <c r="X469">
        <v>2.7</v>
      </c>
      <c r="Y469">
        <v>5</v>
      </c>
      <c r="Z469">
        <v>21.1</v>
      </c>
    </row>
    <row r="470" spans="1:26">
      <c r="A470" t="s">
        <v>567</v>
      </c>
      <c r="B470" s="21">
        <v>44050</v>
      </c>
      <c r="C470" s="21"/>
      <c r="D470" t="s">
        <v>27</v>
      </c>
      <c r="E470">
        <v>0</v>
      </c>
      <c r="F470" t="s">
        <v>28</v>
      </c>
      <c r="G470" t="s">
        <v>51</v>
      </c>
      <c r="H470" t="s">
        <v>121</v>
      </c>
      <c r="I470" t="s">
        <v>75</v>
      </c>
      <c r="J470" t="s">
        <v>32</v>
      </c>
      <c r="K470">
        <v>32</v>
      </c>
      <c r="L470" t="s">
        <v>42</v>
      </c>
      <c r="M470" t="s">
        <v>34</v>
      </c>
      <c r="N470" t="s">
        <v>35</v>
      </c>
      <c r="O470">
        <v>773000</v>
      </c>
      <c r="P470">
        <v>64416.67</v>
      </c>
      <c r="Q470">
        <v>64</v>
      </c>
      <c r="R470" t="s">
        <v>116</v>
      </c>
      <c r="S470">
        <v>4.7</v>
      </c>
      <c r="T470">
        <v>79</v>
      </c>
      <c r="U470">
        <v>0</v>
      </c>
      <c r="V470">
        <v>9</v>
      </c>
      <c r="W470" t="s">
        <v>37</v>
      </c>
      <c r="X470">
        <v>3</v>
      </c>
      <c r="Y470">
        <v>4</v>
      </c>
      <c r="Z470">
        <v>10.5</v>
      </c>
    </row>
    <row r="471" spans="1:26">
      <c r="A471" t="s">
        <v>568</v>
      </c>
      <c r="B471" s="21">
        <v>42776</v>
      </c>
      <c r="C471" s="21">
        <v>44685</v>
      </c>
      <c r="D471" t="s">
        <v>57</v>
      </c>
      <c r="E471">
        <v>1</v>
      </c>
      <c r="F471" t="s">
        <v>50</v>
      </c>
      <c r="G471" t="s">
        <v>91</v>
      </c>
      <c r="H471" t="s">
        <v>124</v>
      </c>
      <c r="I471" t="s">
        <v>31</v>
      </c>
      <c r="J471" t="s">
        <v>54</v>
      </c>
      <c r="K471">
        <v>58</v>
      </c>
      <c r="L471" t="s">
        <v>33</v>
      </c>
      <c r="M471" t="s">
        <v>34</v>
      </c>
      <c r="N471" t="s">
        <v>35</v>
      </c>
      <c r="O471">
        <v>1557000</v>
      </c>
      <c r="P471">
        <v>129750</v>
      </c>
      <c r="Q471">
        <v>63</v>
      </c>
      <c r="R471" t="s">
        <v>36</v>
      </c>
      <c r="S471">
        <v>3.5</v>
      </c>
      <c r="T471">
        <v>48</v>
      </c>
      <c r="U471">
        <v>21</v>
      </c>
      <c r="V471">
        <v>8</v>
      </c>
      <c r="W471" t="s">
        <v>37</v>
      </c>
      <c r="X471">
        <v>2.5</v>
      </c>
      <c r="Y471">
        <v>4</v>
      </c>
      <c r="Z471">
        <v>9.1999999999999993</v>
      </c>
    </row>
    <row r="472" spans="1:26">
      <c r="A472" t="s">
        <v>569</v>
      </c>
      <c r="B472" s="21">
        <v>42879</v>
      </c>
      <c r="C472" s="21"/>
      <c r="D472" t="s">
        <v>27</v>
      </c>
      <c r="E472">
        <v>0</v>
      </c>
      <c r="F472" t="s">
        <v>67</v>
      </c>
      <c r="G472" t="s">
        <v>88</v>
      </c>
      <c r="H472" t="s">
        <v>77</v>
      </c>
      <c r="I472" t="s">
        <v>75</v>
      </c>
      <c r="J472" t="s">
        <v>32</v>
      </c>
      <c r="K472">
        <v>35</v>
      </c>
      <c r="L472" t="s">
        <v>42</v>
      </c>
      <c r="M472" t="s">
        <v>34</v>
      </c>
      <c r="N472" t="s">
        <v>35</v>
      </c>
      <c r="O472">
        <v>953000</v>
      </c>
      <c r="P472">
        <v>79416.67</v>
      </c>
      <c r="Q472">
        <v>103</v>
      </c>
      <c r="R472" t="s">
        <v>55</v>
      </c>
      <c r="S472">
        <v>4.5999999999999996</v>
      </c>
      <c r="T472">
        <v>53</v>
      </c>
      <c r="U472">
        <v>0</v>
      </c>
      <c r="V472">
        <v>6</v>
      </c>
      <c r="W472" t="s">
        <v>37</v>
      </c>
      <c r="X472">
        <v>2.4</v>
      </c>
      <c r="Y472">
        <v>1</v>
      </c>
      <c r="Z472">
        <v>17.7</v>
      </c>
    </row>
    <row r="473" spans="1:26">
      <c r="A473" t="s">
        <v>570</v>
      </c>
      <c r="B473" s="21">
        <v>45607</v>
      </c>
      <c r="C473" s="21"/>
      <c r="D473" t="s">
        <v>27</v>
      </c>
      <c r="E473">
        <v>0</v>
      </c>
      <c r="F473" t="s">
        <v>67</v>
      </c>
      <c r="G473" t="s">
        <v>29</v>
      </c>
      <c r="H473" t="s">
        <v>80</v>
      </c>
      <c r="I473" t="s">
        <v>48</v>
      </c>
      <c r="J473" t="s">
        <v>54</v>
      </c>
      <c r="K473">
        <v>24</v>
      </c>
      <c r="L473" t="s">
        <v>96</v>
      </c>
      <c r="M473" t="s">
        <v>34</v>
      </c>
      <c r="N473" t="s">
        <v>35</v>
      </c>
      <c r="O473">
        <v>349000</v>
      </c>
      <c r="P473">
        <v>29083.33</v>
      </c>
      <c r="Q473">
        <v>13</v>
      </c>
      <c r="R473" t="s">
        <v>116</v>
      </c>
      <c r="S473">
        <v>4.5</v>
      </c>
      <c r="T473">
        <v>51</v>
      </c>
      <c r="U473">
        <v>16</v>
      </c>
      <c r="V473">
        <v>0</v>
      </c>
      <c r="W473" t="s">
        <v>37</v>
      </c>
      <c r="X473">
        <v>4.2</v>
      </c>
      <c r="Y473">
        <v>3</v>
      </c>
      <c r="Z473">
        <v>8.8000000000000007</v>
      </c>
    </row>
    <row r="474" spans="1:26">
      <c r="A474" t="s">
        <v>571</v>
      </c>
      <c r="B474" s="21">
        <v>44161</v>
      </c>
      <c r="C474" s="21"/>
      <c r="D474" t="s">
        <v>27</v>
      </c>
      <c r="E474">
        <v>0</v>
      </c>
      <c r="F474" t="s">
        <v>50</v>
      </c>
      <c r="G474" t="s">
        <v>51</v>
      </c>
      <c r="H474" t="s">
        <v>124</v>
      </c>
      <c r="I474" t="s">
        <v>41</v>
      </c>
      <c r="J474" t="s">
        <v>54</v>
      </c>
      <c r="K474">
        <v>41</v>
      </c>
      <c r="L474" t="s">
        <v>130</v>
      </c>
      <c r="M474" t="s">
        <v>40</v>
      </c>
      <c r="N474" t="s">
        <v>35</v>
      </c>
      <c r="O474">
        <v>772000</v>
      </c>
      <c r="P474">
        <v>64333.33</v>
      </c>
      <c r="Q474">
        <v>61</v>
      </c>
      <c r="R474" t="s">
        <v>36</v>
      </c>
      <c r="S474">
        <v>4.7</v>
      </c>
      <c r="T474">
        <v>79</v>
      </c>
      <c r="U474">
        <v>14</v>
      </c>
      <c r="V474">
        <v>6</v>
      </c>
      <c r="W474" t="s">
        <v>37</v>
      </c>
      <c r="X474">
        <v>3.8</v>
      </c>
      <c r="Y474">
        <v>4</v>
      </c>
      <c r="Z474">
        <v>1</v>
      </c>
    </row>
    <row r="475" spans="1:26">
      <c r="A475" t="s">
        <v>572</v>
      </c>
      <c r="B475" s="21">
        <v>42692</v>
      </c>
      <c r="C475" s="21"/>
      <c r="D475" t="s">
        <v>27</v>
      </c>
      <c r="E475">
        <v>0</v>
      </c>
      <c r="F475" t="s">
        <v>98</v>
      </c>
      <c r="G475" t="s">
        <v>91</v>
      </c>
      <c r="H475" t="s">
        <v>212</v>
      </c>
      <c r="I475" t="s">
        <v>31</v>
      </c>
      <c r="J475" t="s">
        <v>32</v>
      </c>
      <c r="K475">
        <v>44</v>
      </c>
      <c r="L475" t="s">
        <v>42</v>
      </c>
      <c r="M475" t="s">
        <v>40</v>
      </c>
      <c r="N475" t="s">
        <v>35</v>
      </c>
      <c r="O475">
        <v>1470000</v>
      </c>
      <c r="P475">
        <v>122500</v>
      </c>
      <c r="Q475">
        <v>109</v>
      </c>
      <c r="R475" t="s">
        <v>55</v>
      </c>
      <c r="S475">
        <v>3.4</v>
      </c>
      <c r="T475">
        <v>35</v>
      </c>
      <c r="U475">
        <v>9</v>
      </c>
      <c r="V475">
        <v>0</v>
      </c>
      <c r="W475" t="s">
        <v>37</v>
      </c>
      <c r="X475">
        <v>4.0999999999999996</v>
      </c>
      <c r="Y475">
        <v>1</v>
      </c>
      <c r="Z475">
        <v>17</v>
      </c>
    </row>
    <row r="476" spans="1:26">
      <c r="A476" t="s">
        <v>573</v>
      </c>
      <c r="B476" s="21">
        <v>42464</v>
      </c>
      <c r="C476" s="21">
        <v>44034</v>
      </c>
      <c r="D476" t="s">
        <v>57</v>
      </c>
      <c r="E476">
        <v>1</v>
      </c>
      <c r="F476" t="s">
        <v>67</v>
      </c>
      <c r="G476" t="s">
        <v>29</v>
      </c>
      <c r="H476" t="s">
        <v>95</v>
      </c>
      <c r="I476" t="s">
        <v>53</v>
      </c>
      <c r="J476" t="s">
        <v>54</v>
      </c>
      <c r="K476">
        <v>28</v>
      </c>
      <c r="L476" t="s">
        <v>42</v>
      </c>
      <c r="M476" t="s">
        <v>34</v>
      </c>
      <c r="N476" t="s">
        <v>35</v>
      </c>
      <c r="O476">
        <v>421000</v>
      </c>
      <c r="P476">
        <v>35083.33</v>
      </c>
      <c r="Q476">
        <v>51</v>
      </c>
      <c r="R476" t="s">
        <v>36</v>
      </c>
      <c r="S476">
        <v>2.7</v>
      </c>
      <c r="T476">
        <v>80</v>
      </c>
      <c r="U476">
        <v>19</v>
      </c>
      <c r="V476">
        <v>7</v>
      </c>
      <c r="W476" t="s">
        <v>37</v>
      </c>
      <c r="X476">
        <v>3.4</v>
      </c>
      <c r="Y476">
        <v>0</v>
      </c>
      <c r="Z476">
        <v>21.5</v>
      </c>
    </row>
    <row r="477" spans="1:26">
      <c r="A477" t="s">
        <v>574</v>
      </c>
      <c r="B477" s="21">
        <v>43907</v>
      </c>
      <c r="C477" s="21"/>
      <c r="D477" t="s">
        <v>27</v>
      </c>
      <c r="E477">
        <v>0</v>
      </c>
      <c r="F477" t="s">
        <v>67</v>
      </c>
      <c r="G477" t="s">
        <v>88</v>
      </c>
      <c r="H477" t="s">
        <v>77</v>
      </c>
      <c r="I477" t="s">
        <v>53</v>
      </c>
      <c r="J477" t="s">
        <v>134</v>
      </c>
      <c r="K477">
        <v>50</v>
      </c>
      <c r="L477" t="s">
        <v>33</v>
      </c>
      <c r="M477" t="s">
        <v>65</v>
      </c>
      <c r="N477" t="s">
        <v>35</v>
      </c>
      <c r="O477">
        <v>1098000</v>
      </c>
      <c r="P477">
        <v>91500</v>
      </c>
      <c r="Q477">
        <v>69</v>
      </c>
      <c r="R477" t="s">
        <v>55</v>
      </c>
      <c r="S477">
        <v>2.8</v>
      </c>
      <c r="T477">
        <v>32</v>
      </c>
      <c r="U477">
        <v>7</v>
      </c>
      <c r="V477">
        <v>5</v>
      </c>
      <c r="W477" t="s">
        <v>37</v>
      </c>
      <c r="X477">
        <v>3.2</v>
      </c>
      <c r="Y477">
        <v>0</v>
      </c>
      <c r="Z477">
        <v>1.9</v>
      </c>
    </row>
    <row r="478" spans="1:26">
      <c r="A478" t="s">
        <v>575</v>
      </c>
      <c r="B478" s="21">
        <v>42491</v>
      </c>
      <c r="C478" s="21"/>
      <c r="D478" t="s">
        <v>27</v>
      </c>
      <c r="E478">
        <v>0</v>
      </c>
      <c r="F478" t="s">
        <v>50</v>
      </c>
      <c r="G478" t="s">
        <v>70</v>
      </c>
      <c r="H478" t="s">
        <v>89</v>
      </c>
      <c r="I478" t="s">
        <v>75</v>
      </c>
      <c r="J478" t="s">
        <v>32</v>
      </c>
      <c r="K478">
        <v>28</v>
      </c>
      <c r="L478" t="s">
        <v>96</v>
      </c>
      <c r="M478" t="s">
        <v>34</v>
      </c>
      <c r="N478" t="s">
        <v>35</v>
      </c>
      <c r="O478">
        <v>572000</v>
      </c>
      <c r="P478">
        <v>47666.67</v>
      </c>
      <c r="Q478">
        <v>115</v>
      </c>
      <c r="R478" t="s">
        <v>55</v>
      </c>
      <c r="S478">
        <v>3.3</v>
      </c>
      <c r="T478">
        <v>37</v>
      </c>
      <c r="U478">
        <v>12</v>
      </c>
      <c r="V478">
        <v>2</v>
      </c>
      <c r="W478" t="s">
        <v>37</v>
      </c>
      <c r="X478">
        <v>4.0999999999999996</v>
      </c>
      <c r="Y478">
        <v>0</v>
      </c>
      <c r="Z478">
        <v>9.6</v>
      </c>
    </row>
    <row r="479" spans="1:26">
      <c r="A479" t="s">
        <v>576</v>
      </c>
      <c r="B479" s="21">
        <v>44156</v>
      </c>
      <c r="C479" s="21"/>
      <c r="D479" t="s">
        <v>27</v>
      </c>
      <c r="E479">
        <v>0</v>
      </c>
      <c r="F479" t="s">
        <v>73</v>
      </c>
      <c r="G479" t="s">
        <v>88</v>
      </c>
      <c r="H479" t="s">
        <v>74</v>
      </c>
      <c r="I479" t="s">
        <v>62</v>
      </c>
      <c r="J479" t="s">
        <v>149</v>
      </c>
      <c r="K479">
        <v>35</v>
      </c>
      <c r="L479" t="s">
        <v>33</v>
      </c>
      <c r="M479" t="s">
        <v>40</v>
      </c>
      <c r="N479" t="s">
        <v>35</v>
      </c>
      <c r="O479">
        <v>1088000</v>
      </c>
      <c r="P479">
        <v>90666.67</v>
      </c>
      <c r="Q479">
        <v>61</v>
      </c>
      <c r="R479" t="s">
        <v>55</v>
      </c>
      <c r="S479">
        <v>3.4</v>
      </c>
      <c r="T479">
        <v>34</v>
      </c>
      <c r="U479">
        <v>13</v>
      </c>
      <c r="V479">
        <v>7</v>
      </c>
      <c r="W479" t="s">
        <v>37</v>
      </c>
      <c r="X479">
        <v>3.6</v>
      </c>
      <c r="Y479">
        <v>4</v>
      </c>
      <c r="Z479">
        <v>14.9</v>
      </c>
    </row>
    <row r="480" spans="1:26">
      <c r="A480" t="s">
        <v>577</v>
      </c>
      <c r="B480" s="21">
        <v>44857</v>
      </c>
      <c r="C480" s="21"/>
      <c r="D480" t="s">
        <v>27</v>
      </c>
      <c r="E480">
        <v>0</v>
      </c>
      <c r="F480" t="s">
        <v>60</v>
      </c>
      <c r="G480" t="s">
        <v>51</v>
      </c>
      <c r="H480" t="s">
        <v>61</v>
      </c>
      <c r="I480" t="s">
        <v>48</v>
      </c>
      <c r="J480" t="s">
        <v>54</v>
      </c>
      <c r="K480">
        <v>36</v>
      </c>
      <c r="L480" t="s">
        <v>130</v>
      </c>
      <c r="M480" t="s">
        <v>65</v>
      </c>
      <c r="N480" t="s">
        <v>35</v>
      </c>
      <c r="O480">
        <v>726000</v>
      </c>
      <c r="P480">
        <v>60500</v>
      </c>
      <c r="Q480">
        <v>38</v>
      </c>
      <c r="R480" t="s">
        <v>36</v>
      </c>
      <c r="S480">
        <v>3.9</v>
      </c>
      <c r="T480">
        <v>23</v>
      </c>
      <c r="U480">
        <v>1</v>
      </c>
      <c r="V480">
        <v>11</v>
      </c>
      <c r="W480" t="s">
        <v>37</v>
      </c>
      <c r="X480">
        <v>5</v>
      </c>
      <c r="Y480">
        <v>2</v>
      </c>
      <c r="Z480">
        <v>1</v>
      </c>
    </row>
    <row r="481" spans="1:26">
      <c r="A481" t="s">
        <v>578</v>
      </c>
      <c r="B481" s="21">
        <v>45060</v>
      </c>
      <c r="C481" s="21"/>
      <c r="D481" t="s">
        <v>27</v>
      </c>
      <c r="E481">
        <v>0</v>
      </c>
      <c r="F481" t="s">
        <v>73</v>
      </c>
      <c r="G481" t="s">
        <v>29</v>
      </c>
      <c r="H481" t="s">
        <v>102</v>
      </c>
      <c r="I481" t="s">
        <v>75</v>
      </c>
      <c r="J481" t="s">
        <v>32</v>
      </c>
      <c r="K481">
        <v>31</v>
      </c>
      <c r="L481" t="s">
        <v>33</v>
      </c>
      <c r="M481" t="s">
        <v>65</v>
      </c>
      <c r="N481" t="s">
        <v>35</v>
      </c>
      <c r="O481">
        <v>389000</v>
      </c>
      <c r="P481">
        <v>32416.67</v>
      </c>
      <c r="Q481">
        <v>31</v>
      </c>
      <c r="R481" t="s">
        <v>55</v>
      </c>
      <c r="S481">
        <v>3.8</v>
      </c>
      <c r="T481">
        <v>77</v>
      </c>
      <c r="U481">
        <v>11</v>
      </c>
      <c r="V481">
        <v>5</v>
      </c>
      <c r="W481" t="s">
        <v>37</v>
      </c>
      <c r="X481">
        <v>3.9</v>
      </c>
      <c r="Y481">
        <v>2</v>
      </c>
      <c r="Z481">
        <v>16.600000000000001</v>
      </c>
    </row>
    <row r="482" spans="1:26">
      <c r="A482" t="s">
        <v>579</v>
      </c>
      <c r="B482" s="21">
        <v>45119</v>
      </c>
      <c r="C482" s="21">
        <v>45490</v>
      </c>
      <c r="D482" t="s">
        <v>57</v>
      </c>
      <c r="E482">
        <v>1</v>
      </c>
      <c r="F482" t="s">
        <v>50</v>
      </c>
      <c r="G482" t="s">
        <v>88</v>
      </c>
      <c r="H482" t="s">
        <v>124</v>
      </c>
      <c r="I482" t="s">
        <v>53</v>
      </c>
      <c r="J482" t="s">
        <v>54</v>
      </c>
      <c r="K482">
        <v>56</v>
      </c>
      <c r="L482" t="s">
        <v>33</v>
      </c>
      <c r="M482" t="s">
        <v>34</v>
      </c>
      <c r="N482" t="s">
        <v>35</v>
      </c>
      <c r="O482">
        <v>1176000</v>
      </c>
      <c r="P482">
        <v>98000</v>
      </c>
      <c r="Q482">
        <v>12</v>
      </c>
      <c r="R482" t="s">
        <v>36</v>
      </c>
      <c r="S482">
        <v>4.3</v>
      </c>
      <c r="T482">
        <v>36</v>
      </c>
      <c r="U482">
        <v>0</v>
      </c>
      <c r="V482">
        <v>8</v>
      </c>
      <c r="W482" t="s">
        <v>37</v>
      </c>
      <c r="X482">
        <v>4.0999999999999996</v>
      </c>
      <c r="Y482">
        <v>3</v>
      </c>
      <c r="Z482">
        <v>19.2</v>
      </c>
    </row>
    <row r="483" spans="1:26">
      <c r="A483" t="s">
        <v>580</v>
      </c>
      <c r="B483" s="21">
        <v>44728</v>
      </c>
      <c r="C483" s="21">
        <v>45780</v>
      </c>
      <c r="D483" t="s">
        <v>57</v>
      </c>
      <c r="E483">
        <v>1</v>
      </c>
      <c r="F483" t="s">
        <v>67</v>
      </c>
      <c r="G483" t="s">
        <v>88</v>
      </c>
      <c r="H483" t="s">
        <v>68</v>
      </c>
      <c r="I483" t="s">
        <v>31</v>
      </c>
      <c r="J483" t="s">
        <v>54</v>
      </c>
      <c r="K483">
        <v>58</v>
      </c>
      <c r="L483" t="s">
        <v>33</v>
      </c>
      <c r="M483" t="s">
        <v>34</v>
      </c>
      <c r="N483" t="s">
        <v>35</v>
      </c>
      <c r="O483">
        <v>1053000</v>
      </c>
      <c r="P483">
        <v>87750</v>
      </c>
      <c r="Q483">
        <v>35</v>
      </c>
      <c r="R483" t="s">
        <v>55</v>
      </c>
      <c r="S483">
        <v>3.4</v>
      </c>
      <c r="T483">
        <v>40</v>
      </c>
      <c r="U483">
        <v>8</v>
      </c>
      <c r="V483">
        <v>12</v>
      </c>
      <c r="W483" t="s">
        <v>37</v>
      </c>
      <c r="X483">
        <v>3.9</v>
      </c>
      <c r="Y483">
        <v>5</v>
      </c>
      <c r="Z483">
        <v>8.1999999999999993</v>
      </c>
    </row>
    <row r="484" spans="1:26">
      <c r="A484" t="s">
        <v>581</v>
      </c>
      <c r="B484" s="21">
        <v>43592</v>
      </c>
      <c r="C484" s="21"/>
      <c r="D484" t="s">
        <v>27</v>
      </c>
      <c r="E484">
        <v>0</v>
      </c>
      <c r="F484" t="s">
        <v>73</v>
      </c>
      <c r="G484" t="s">
        <v>29</v>
      </c>
      <c r="H484" t="s">
        <v>126</v>
      </c>
      <c r="I484" t="s">
        <v>31</v>
      </c>
      <c r="J484" t="s">
        <v>32</v>
      </c>
      <c r="K484">
        <v>31</v>
      </c>
      <c r="L484" t="s">
        <v>33</v>
      </c>
      <c r="M484" t="s">
        <v>65</v>
      </c>
      <c r="N484" t="s">
        <v>35</v>
      </c>
      <c r="O484">
        <v>324000</v>
      </c>
      <c r="P484">
        <v>27000</v>
      </c>
      <c r="Q484">
        <v>79</v>
      </c>
      <c r="R484" t="s">
        <v>36</v>
      </c>
      <c r="S484">
        <v>2.7</v>
      </c>
      <c r="T484">
        <v>47</v>
      </c>
      <c r="U484">
        <v>24</v>
      </c>
      <c r="V484">
        <v>0</v>
      </c>
      <c r="W484" t="s">
        <v>44</v>
      </c>
      <c r="X484">
        <v>3.6</v>
      </c>
      <c r="Y484">
        <v>0</v>
      </c>
      <c r="Z484">
        <v>8</v>
      </c>
    </row>
    <row r="485" spans="1:26">
      <c r="A485" t="s">
        <v>582</v>
      </c>
      <c r="B485" s="21">
        <v>42390</v>
      </c>
      <c r="C485" s="21"/>
      <c r="D485" t="s">
        <v>27</v>
      </c>
      <c r="E485">
        <v>0</v>
      </c>
      <c r="F485" t="s">
        <v>60</v>
      </c>
      <c r="G485" t="s">
        <v>51</v>
      </c>
      <c r="H485" t="s">
        <v>61</v>
      </c>
      <c r="I485" t="s">
        <v>62</v>
      </c>
      <c r="J485" t="s">
        <v>32</v>
      </c>
      <c r="K485">
        <v>52</v>
      </c>
      <c r="L485" t="s">
        <v>33</v>
      </c>
      <c r="M485" t="s">
        <v>65</v>
      </c>
      <c r="N485" t="s">
        <v>35</v>
      </c>
      <c r="O485">
        <v>872000</v>
      </c>
      <c r="P485">
        <v>72666.67</v>
      </c>
      <c r="Q485">
        <v>119</v>
      </c>
      <c r="R485" t="s">
        <v>116</v>
      </c>
      <c r="S485">
        <v>2.9</v>
      </c>
      <c r="T485">
        <v>18</v>
      </c>
      <c r="U485">
        <v>11</v>
      </c>
      <c r="V485">
        <v>11</v>
      </c>
      <c r="W485" t="s">
        <v>44</v>
      </c>
      <c r="X485">
        <v>4.3</v>
      </c>
      <c r="Y485">
        <v>4</v>
      </c>
      <c r="Z485">
        <v>11.4</v>
      </c>
    </row>
    <row r="486" spans="1:26">
      <c r="A486" t="s">
        <v>583</v>
      </c>
      <c r="B486" s="21">
        <v>44062</v>
      </c>
      <c r="C486" s="21"/>
      <c r="D486" t="s">
        <v>27</v>
      </c>
      <c r="E486">
        <v>0</v>
      </c>
      <c r="F486" t="s">
        <v>39</v>
      </c>
      <c r="G486" t="s">
        <v>91</v>
      </c>
      <c r="H486" t="s">
        <v>40</v>
      </c>
      <c r="I486" t="s">
        <v>31</v>
      </c>
      <c r="J486" t="s">
        <v>54</v>
      </c>
      <c r="K486">
        <v>39</v>
      </c>
      <c r="L486" t="s">
        <v>33</v>
      </c>
      <c r="M486" t="s">
        <v>40</v>
      </c>
      <c r="N486" t="s">
        <v>35</v>
      </c>
      <c r="O486">
        <v>1280000</v>
      </c>
      <c r="P486">
        <v>106666.67</v>
      </c>
      <c r="Q486">
        <v>64</v>
      </c>
      <c r="R486" t="s">
        <v>36</v>
      </c>
      <c r="S486">
        <v>2.6</v>
      </c>
      <c r="T486">
        <v>26</v>
      </c>
      <c r="U486">
        <v>6</v>
      </c>
      <c r="V486">
        <v>4</v>
      </c>
      <c r="W486" t="s">
        <v>37</v>
      </c>
      <c r="X486">
        <v>3.5</v>
      </c>
      <c r="Y486">
        <v>3</v>
      </c>
      <c r="Z486">
        <v>19.100000000000001</v>
      </c>
    </row>
    <row r="487" spans="1:26">
      <c r="A487" t="s">
        <v>584</v>
      </c>
      <c r="B487" s="21">
        <v>44395</v>
      </c>
      <c r="C487" s="21"/>
      <c r="D487" t="s">
        <v>27</v>
      </c>
      <c r="E487">
        <v>0</v>
      </c>
      <c r="F487" t="s">
        <v>98</v>
      </c>
      <c r="G487" t="s">
        <v>29</v>
      </c>
      <c r="H487" t="s">
        <v>106</v>
      </c>
      <c r="I487" t="s">
        <v>31</v>
      </c>
      <c r="J487" t="s">
        <v>54</v>
      </c>
      <c r="K487">
        <v>35</v>
      </c>
      <c r="L487" t="s">
        <v>33</v>
      </c>
      <c r="M487" t="s">
        <v>43</v>
      </c>
      <c r="N487" t="s">
        <v>194</v>
      </c>
      <c r="O487">
        <v>381000</v>
      </c>
      <c r="P487">
        <v>31750</v>
      </c>
      <c r="Q487">
        <v>53</v>
      </c>
      <c r="R487" t="s">
        <v>36</v>
      </c>
      <c r="S487">
        <v>3.5</v>
      </c>
      <c r="T487">
        <v>28</v>
      </c>
      <c r="U487">
        <v>15</v>
      </c>
      <c r="V487">
        <v>12</v>
      </c>
      <c r="W487" t="s">
        <v>44</v>
      </c>
      <c r="X487">
        <v>3.9</v>
      </c>
      <c r="Y487">
        <v>4</v>
      </c>
      <c r="Z487">
        <v>16.7</v>
      </c>
    </row>
    <row r="488" spans="1:26">
      <c r="A488" t="s">
        <v>585</v>
      </c>
      <c r="B488" s="21">
        <v>44223</v>
      </c>
      <c r="C488" s="21"/>
      <c r="D488" t="s">
        <v>27</v>
      </c>
      <c r="E488">
        <v>0</v>
      </c>
      <c r="F488" t="s">
        <v>50</v>
      </c>
      <c r="G488" t="s">
        <v>51</v>
      </c>
      <c r="H488" t="s">
        <v>124</v>
      </c>
      <c r="I488" t="s">
        <v>31</v>
      </c>
      <c r="J488" t="s">
        <v>54</v>
      </c>
      <c r="K488">
        <v>45</v>
      </c>
      <c r="L488" t="s">
        <v>130</v>
      </c>
      <c r="M488" t="s">
        <v>34</v>
      </c>
      <c r="N488" t="s">
        <v>35</v>
      </c>
      <c r="O488">
        <v>845000</v>
      </c>
      <c r="P488">
        <v>70416.67</v>
      </c>
      <c r="Q488">
        <v>59</v>
      </c>
      <c r="R488" t="s">
        <v>36</v>
      </c>
      <c r="S488">
        <v>2.8</v>
      </c>
      <c r="T488">
        <v>60</v>
      </c>
      <c r="U488">
        <v>12</v>
      </c>
      <c r="V488">
        <v>2</v>
      </c>
      <c r="W488" t="s">
        <v>37</v>
      </c>
      <c r="X488">
        <v>3.2</v>
      </c>
      <c r="Y488">
        <v>5</v>
      </c>
      <c r="Z488">
        <v>20.3</v>
      </c>
    </row>
    <row r="489" spans="1:26">
      <c r="A489" t="s">
        <v>586</v>
      </c>
      <c r="B489" s="21">
        <v>43457</v>
      </c>
      <c r="C489" s="21"/>
      <c r="D489" t="s">
        <v>27</v>
      </c>
      <c r="E489">
        <v>0</v>
      </c>
      <c r="F489" t="s">
        <v>98</v>
      </c>
      <c r="G489" t="s">
        <v>51</v>
      </c>
      <c r="H489" t="s">
        <v>352</v>
      </c>
      <c r="I489" t="s">
        <v>62</v>
      </c>
      <c r="J489" t="s">
        <v>54</v>
      </c>
      <c r="K489">
        <v>46</v>
      </c>
      <c r="L489" t="s">
        <v>33</v>
      </c>
      <c r="M489" t="s">
        <v>43</v>
      </c>
      <c r="N489" t="s">
        <v>35</v>
      </c>
      <c r="O489">
        <v>911000</v>
      </c>
      <c r="P489">
        <v>75916.67</v>
      </c>
      <c r="Q489">
        <v>84</v>
      </c>
      <c r="R489" t="s">
        <v>36</v>
      </c>
      <c r="S489">
        <v>4.2</v>
      </c>
      <c r="T489">
        <v>63</v>
      </c>
      <c r="U489">
        <v>8</v>
      </c>
      <c r="V489">
        <v>7</v>
      </c>
      <c r="W489" t="s">
        <v>37</v>
      </c>
      <c r="X489">
        <v>3.3</v>
      </c>
      <c r="Y489">
        <v>2</v>
      </c>
      <c r="Z489">
        <v>14.6</v>
      </c>
    </row>
    <row r="490" spans="1:26">
      <c r="A490" t="s">
        <v>587</v>
      </c>
      <c r="B490" s="21">
        <v>42574</v>
      </c>
      <c r="C490" s="21"/>
      <c r="D490" t="s">
        <v>27</v>
      </c>
      <c r="E490">
        <v>0</v>
      </c>
      <c r="F490" t="s">
        <v>28</v>
      </c>
      <c r="G490" t="s">
        <v>29</v>
      </c>
      <c r="H490" t="s">
        <v>121</v>
      </c>
      <c r="I490" t="s">
        <v>53</v>
      </c>
      <c r="J490" t="s">
        <v>54</v>
      </c>
      <c r="K490">
        <v>23</v>
      </c>
      <c r="L490" t="s">
        <v>33</v>
      </c>
      <c r="M490" t="s">
        <v>40</v>
      </c>
      <c r="N490" t="s">
        <v>35</v>
      </c>
      <c r="O490">
        <v>350000</v>
      </c>
      <c r="P490">
        <v>29166.67</v>
      </c>
      <c r="Q490">
        <v>113</v>
      </c>
      <c r="R490" t="s">
        <v>36</v>
      </c>
      <c r="S490">
        <v>1.9</v>
      </c>
      <c r="T490">
        <v>63</v>
      </c>
      <c r="U490">
        <v>12</v>
      </c>
      <c r="V490">
        <v>6</v>
      </c>
      <c r="W490" t="s">
        <v>44</v>
      </c>
      <c r="X490">
        <v>4</v>
      </c>
      <c r="Y490">
        <v>1</v>
      </c>
      <c r="Z490">
        <v>10.1</v>
      </c>
    </row>
    <row r="491" spans="1:26">
      <c r="A491" t="s">
        <v>588</v>
      </c>
      <c r="B491" s="21">
        <v>43793</v>
      </c>
      <c r="C491" s="21"/>
      <c r="D491" t="s">
        <v>27</v>
      </c>
      <c r="E491">
        <v>0</v>
      </c>
      <c r="F491" t="s">
        <v>46</v>
      </c>
      <c r="G491" t="s">
        <v>88</v>
      </c>
      <c r="H491" t="s">
        <v>47</v>
      </c>
      <c r="I491" t="s">
        <v>62</v>
      </c>
      <c r="J491" t="s">
        <v>54</v>
      </c>
      <c r="K491">
        <v>35</v>
      </c>
      <c r="L491" t="s">
        <v>42</v>
      </c>
      <c r="M491" t="s">
        <v>65</v>
      </c>
      <c r="N491" t="s">
        <v>35</v>
      </c>
      <c r="O491">
        <v>973000</v>
      </c>
      <c r="P491">
        <v>81083.33</v>
      </c>
      <c r="Q491">
        <v>73</v>
      </c>
      <c r="R491" t="s">
        <v>55</v>
      </c>
      <c r="S491">
        <v>2.6</v>
      </c>
      <c r="T491">
        <v>60</v>
      </c>
      <c r="U491">
        <v>11</v>
      </c>
      <c r="V491">
        <v>5</v>
      </c>
      <c r="W491" t="s">
        <v>44</v>
      </c>
      <c r="X491">
        <v>2.9</v>
      </c>
      <c r="Y491">
        <v>5</v>
      </c>
      <c r="Z491">
        <v>2.2000000000000002</v>
      </c>
    </row>
    <row r="492" spans="1:26">
      <c r="A492" t="s">
        <v>589</v>
      </c>
      <c r="B492" s="21">
        <v>43450</v>
      </c>
      <c r="C492" s="21">
        <v>43611</v>
      </c>
      <c r="D492" t="s">
        <v>57</v>
      </c>
      <c r="E492">
        <v>1</v>
      </c>
      <c r="F492" t="s">
        <v>73</v>
      </c>
      <c r="G492" t="s">
        <v>29</v>
      </c>
      <c r="H492" t="s">
        <v>126</v>
      </c>
      <c r="I492" t="s">
        <v>62</v>
      </c>
      <c r="J492" t="s">
        <v>32</v>
      </c>
      <c r="K492">
        <v>37</v>
      </c>
      <c r="L492" t="s">
        <v>33</v>
      </c>
      <c r="M492" t="s">
        <v>65</v>
      </c>
      <c r="N492" t="s">
        <v>35</v>
      </c>
      <c r="O492">
        <v>435000</v>
      </c>
      <c r="P492">
        <v>36250</v>
      </c>
      <c r="Q492">
        <v>5</v>
      </c>
      <c r="R492" t="s">
        <v>36</v>
      </c>
      <c r="S492">
        <v>3.2</v>
      </c>
      <c r="T492">
        <v>38</v>
      </c>
      <c r="U492">
        <v>12</v>
      </c>
      <c r="V492">
        <v>4</v>
      </c>
      <c r="W492" t="s">
        <v>37</v>
      </c>
      <c r="X492">
        <v>5</v>
      </c>
      <c r="Y492">
        <v>3</v>
      </c>
      <c r="Z492">
        <v>9.1</v>
      </c>
    </row>
    <row r="493" spans="1:26">
      <c r="A493" t="s">
        <v>590</v>
      </c>
      <c r="B493" s="21">
        <v>44379</v>
      </c>
      <c r="C493" s="21"/>
      <c r="D493" t="s">
        <v>27</v>
      </c>
      <c r="E493">
        <v>0</v>
      </c>
      <c r="F493" t="s">
        <v>60</v>
      </c>
      <c r="G493" t="s">
        <v>70</v>
      </c>
      <c r="H493" t="s">
        <v>61</v>
      </c>
      <c r="I493" t="s">
        <v>53</v>
      </c>
      <c r="J493" t="s">
        <v>54</v>
      </c>
      <c r="K493">
        <v>34</v>
      </c>
      <c r="L493" t="s">
        <v>42</v>
      </c>
      <c r="M493" t="s">
        <v>78</v>
      </c>
      <c r="N493" t="s">
        <v>35</v>
      </c>
      <c r="O493">
        <v>600000</v>
      </c>
      <c r="P493">
        <v>50000</v>
      </c>
      <c r="Q493">
        <v>53</v>
      </c>
      <c r="R493" t="s">
        <v>103</v>
      </c>
      <c r="S493">
        <v>1.1000000000000001</v>
      </c>
      <c r="T493">
        <v>52</v>
      </c>
      <c r="U493">
        <v>11</v>
      </c>
      <c r="V493">
        <v>9</v>
      </c>
      <c r="W493" t="s">
        <v>37</v>
      </c>
      <c r="X493">
        <v>3</v>
      </c>
      <c r="Y493">
        <v>4</v>
      </c>
      <c r="Z493">
        <v>16.5</v>
      </c>
    </row>
    <row r="494" spans="1:26">
      <c r="A494" t="s">
        <v>591</v>
      </c>
      <c r="B494" s="21">
        <v>42950</v>
      </c>
      <c r="C494" s="21"/>
      <c r="D494" t="s">
        <v>27</v>
      </c>
      <c r="E494">
        <v>0</v>
      </c>
      <c r="F494" t="s">
        <v>60</v>
      </c>
      <c r="G494" t="s">
        <v>51</v>
      </c>
      <c r="H494" t="s">
        <v>61</v>
      </c>
      <c r="I494" t="s">
        <v>31</v>
      </c>
      <c r="J494" t="s">
        <v>32</v>
      </c>
      <c r="K494">
        <v>38</v>
      </c>
      <c r="L494" t="s">
        <v>42</v>
      </c>
      <c r="M494" t="s">
        <v>58</v>
      </c>
      <c r="N494" t="s">
        <v>35</v>
      </c>
      <c r="O494">
        <v>949000</v>
      </c>
      <c r="P494">
        <v>79083.33</v>
      </c>
      <c r="Q494">
        <v>100</v>
      </c>
      <c r="R494" t="s">
        <v>36</v>
      </c>
      <c r="S494">
        <v>3.7</v>
      </c>
      <c r="T494">
        <v>22</v>
      </c>
      <c r="U494">
        <v>1</v>
      </c>
      <c r="V494">
        <v>2</v>
      </c>
      <c r="W494" t="s">
        <v>37</v>
      </c>
      <c r="X494">
        <v>5</v>
      </c>
      <c r="Y494">
        <v>3</v>
      </c>
      <c r="Z494">
        <v>16.2</v>
      </c>
    </row>
    <row r="495" spans="1:26">
      <c r="A495" t="s">
        <v>592</v>
      </c>
      <c r="B495" s="21">
        <v>46007</v>
      </c>
      <c r="C495" s="21"/>
      <c r="D495" t="s">
        <v>27</v>
      </c>
      <c r="E495">
        <v>0</v>
      </c>
      <c r="F495" t="s">
        <v>46</v>
      </c>
      <c r="G495" t="s">
        <v>88</v>
      </c>
      <c r="H495" t="s">
        <v>92</v>
      </c>
      <c r="I495" t="s">
        <v>75</v>
      </c>
      <c r="J495" t="s">
        <v>54</v>
      </c>
      <c r="K495">
        <v>38</v>
      </c>
      <c r="L495" t="s">
        <v>130</v>
      </c>
      <c r="M495" t="s">
        <v>58</v>
      </c>
      <c r="N495" t="s">
        <v>35</v>
      </c>
      <c r="O495">
        <v>1055000</v>
      </c>
      <c r="P495">
        <v>87916.67</v>
      </c>
      <c r="Q495">
        <v>1</v>
      </c>
      <c r="R495" t="s">
        <v>36</v>
      </c>
      <c r="S495">
        <v>4.4000000000000004</v>
      </c>
      <c r="T495">
        <v>19</v>
      </c>
      <c r="U495">
        <v>18</v>
      </c>
      <c r="V495">
        <v>3</v>
      </c>
      <c r="W495" t="s">
        <v>44</v>
      </c>
      <c r="X495">
        <v>3.3</v>
      </c>
      <c r="Y495">
        <v>0</v>
      </c>
      <c r="Z495">
        <v>1</v>
      </c>
    </row>
    <row r="496" spans="1:26">
      <c r="A496" t="s">
        <v>593</v>
      </c>
      <c r="B496" s="21">
        <v>44656</v>
      </c>
      <c r="C496" s="21"/>
      <c r="D496" t="s">
        <v>27</v>
      </c>
      <c r="E496">
        <v>0</v>
      </c>
      <c r="F496" t="s">
        <v>28</v>
      </c>
      <c r="G496" t="s">
        <v>70</v>
      </c>
      <c r="H496" t="s">
        <v>121</v>
      </c>
      <c r="I496" t="s">
        <v>31</v>
      </c>
      <c r="J496" t="s">
        <v>32</v>
      </c>
      <c r="K496">
        <v>33</v>
      </c>
      <c r="L496" t="s">
        <v>130</v>
      </c>
      <c r="M496" t="s">
        <v>65</v>
      </c>
      <c r="N496" t="s">
        <v>35</v>
      </c>
      <c r="O496">
        <v>417000</v>
      </c>
      <c r="P496">
        <v>34750</v>
      </c>
      <c r="Q496">
        <v>44</v>
      </c>
      <c r="R496" t="s">
        <v>103</v>
      </c>
      <c r="S496">
        <v>2.9</v>
      </c>
      <c r="T496">
        <v>64</v>
      </c>
      <c r="U496">
        <v>8</v>
      </c>
      <c r="V496">
        <v>11</v>
      </c>
      <c r="W496" t="s">
        <v>44</v>
      </c>
      <c r="X496">
        <v>3.5</v>
      </c>
      <c r="Y496">
        <v>0</v>
      </c>
      <c r="Z496">
        <v>16.899999999999999</v>
      </c>
    </row>
    <row r="497" spans="1:26">
      <c r="A497" t="s">
        <v>594</v>
      </c>
      <c r="B497" s="21">
        <v>43005</v>
      </c>
      <c r="C497" s="21"/>
      <c r="D497" t="s">
        <v>27</v>
      </c>
      <c r="E497">
        <v>0</v>
      </c>
      <c r="F497" t="s">
        <v>98</v>
      </c>
      <c r="G497" t="s">
        <v>88</v>
      </c>
      <c r="H497" t="s">
        <v>352</v>
      </c>
      <c r="I497" t="s">
        <v>53</v>
      </c>
      <c r="J497" t="s">
        <v>54</v>
      </c>
      <c r="K497">
        <v>53</v>
      </c>
      <c r="L497" t="s">
        <v>42</v>
      </c>
      <c r="M497" t="s">
        <v>40</v>
      </c>
      <c r="N497" t="s">
        <v>194</v>
      </c>
      <c r="O497">
        <v>1262000</v>
      </c>
      <c r="P497">
        <v>105166.67</v>
      </c>
      <c r="Q497">
        <v>99</v>
      </c>
      <c r="R497" t="s">
        <v>116</v>
      </c>
      <c r="S497">
        <v>3.1</v>
      </c>
      <c r="T497">
        <v>76</v>
      </c>
      <c r="U497">
        <v>20</v>
      </c>
      <c r="V497">
        <v>10</v>
      </c>
      <c r="W497" t="s">
        <v>37</v>
      </c>
      <c r="X497">
        <v>3.7</v>
      </c>
      <c r="Y497">
        <v>2</v>
      </c>
      <c r="Z497">
        <v>10.5</v>
      </c>
    </row>
    <row r="498" spans="1:26">
      <c r="A498" t="s">
        <v>595</v>
      </c>
      <c r="B498" s="21">
        <v>45150</v>
      </c>
      <c r="C498" s="21"/>
      <c r="D498" t="s">
        <v>27</v>
      </c>
      <c r="E498">
        <v>0</v>
      </c>
      <c r="F498" t="s">
        <v>73</v>
      </c>
      <c r="G498" t="s">
        <v>51</v>
      </c>
      <c r="H498" t="s">
        <v>74</v>
      </c>
      <c r="I498" t="s">
        <v>53</v>
      </c>
      <c r="J498" t="s">
        <v>32</v>
      </c>
      <c r="K498">
        <v>48</v>
      </c>
      <c r="L498" t="s">
        <v>42</v>
      </c>
      <c r="M498" t="s">
        <v>65</v>
      </c>
      <c r="N498" t="s">
        <v>35</v>
      </c>
      <c r="O498">
        <v>919000</v>
      </c>
      <c r="P498">
        <v>76583.33</v>
      </c>
      <c r="Q498">
        <v>28</v>
      </c>
      <c r="R498" t="s">
        <v>36</v>
      </c>
      <c r="S498">
        <v>2.5</v>
      </c>
      <c r="T498">
        <v>40</v>
      </c>
      <c r="U498">
        <v>20</v>
      </c>
      <c r="V498">
        <v>10</v>
      </c>
      <c r="W498" t="s">
        <v>37</v>
      </c>
      <c r="X498">
        <v>3.9</v>
      </c>
      <c r="Y498">
        <v>2</v>
      </c>
      <c r="Z498">
        <v>13.9</v>
      </c>
    </row>
    <row r="499" spans="1:26">
      <c r="A499" t="s">
        <v>596</v>
      </c>
      <c r="B499" s="21">
        <v>43834</v>
      </c>
      <c r="C499" s="21"/>
      <c r="D499" t="s">
        <v>27</v>
      </c>
      <c r="E499">
        <v>0</v>
      </c>
      <c r="F499" t="s">
        <v>28</v>
      </c>
      <c r="G499" t="s">
        <v>88</v>
      </c>
      <c r="H499" t="s">
        <v>30</v>
      </c>
      <c r="I499" t="s">
        <v>48</v>
      </c>
      <c r="J499" t="s">
        <v>32</v>
      </c>
      <c r="K499">
        <v>35</v>
      </c>
      <c r="L499" t="s">
        <v>33</v>
      </c>
      <c r="M499" t="s">
        <v>43</v>
      </c>
      <c r="N499" t="s">
        <v>35</v>
      </c>
      <c r="O499">
        <v>968000</v>
      </c>
      <c r="P499">
        <v>80666.67</v>
      </c>
      <c r="Q499">
        <v>71</v>
      </c>
      <c r="R499" t="s">
        <v>36</v>
      </c>
      <c r="S499">
        <v>3.7</v>
      </c>
      <c r="T499">
        <v>37</v>
      </c>
      <c r="U499">
        <v>4</v>
      </c>
      <c r="V499">
        <v>6</v>
      </c>
      <c r="W499" t="s">
        <v>44</v>
      </c>
      <c r="X499">
        <v>4.4000000000000004</v>
      </c>
      <c r="Y499">
        <v>1</v>
      </c>
      <c r="Z499">
        <v>7.3</v>
      </c>
    </row>
    <row r="500" spans="1:26">
      <c r="A500" t="s">
        <v>597</v>
      </c>
      <c r="B500" s="21">
        <v>42885</v>
      </c>
      <c r="C500" s="21"/>
      <c r="D500" t="s">
        <v>27</v>
      </c>
      <c r="E500">
        <v>0</v>
      </c>
      <c r="F500" t="s">
        <v>67</v>
      </c>
      <c r="G500" t="s">
        <v>88</v>
      </c>
      <c r="H500" t="s">
        <v>77</v>
      </c>
      <c r="I500" t="s">
        <v>48</v>
      </c>
      <c r="J500" t="s">
        <v>32</v>
      </c>
      <c r="K500">
        <v>42</v>
      </c>
      <c r="L500" t="s">
        <v>33</v>
      </c>
      <c r="M500" t="s">
        <v>65</v>
      </c>
      <c r="N500" t="s">
        <v>35</v>
      </c>
      <c r="O500">
        <v>1144000</v>
      </c>
      <c r="P500">
        <v>95333.33</v>
      </c>
      <c r="Q500">
        <v>103</v>
      </c>
      <c r="R500" t="s">
        <v>103</v>
      </c>
      <c r="S500">
        <v>3.6</v>
      </c>
      <c r="T500">
        <v>65</v>
      </c>
      <c r="U500">
        <v>17</v>
      </c>
      <c r="V500">
        <v>0</v>
      </c>
      <c r="W500" t="s">
        <v>37</v>
      </c>
      <c r="X500">
        <v>4.9000000000000004</v>
      </c>
      <c r="Y500">
        <v>5</v>
      </c>
      <c r="Z500">
        <v>12.8</v>
      </c>
    </row>
    <row r="501" spans="1:26">
      <c r="A501" t="s">
        <v>598</v>
      </c>
      <c r="B501" s="21">
        <v>43209</v>
      </c>
      <c r="C501" s="21"/>
      <c r="D501" t="s">
        <v>27</v>
      </c>
      <c r="E501">
        <v>0</v>
      </c>
      <c r="F501" t="s">
        <v>39</v>
      </c>
      <c r="G501" t="s">
        <v>29</v>
      </c>
      <c r="H501" t="s">
        <v>40</v>
      </c>
      <c r="I501" t="s">
        <v>48</v>
      </c>
      <c r="J501" t="s">
        <v>32</v>
      </c>
      <c r="K501">
        <v>25</v>
      </c>
      <c r="L501" t="s">
        <v>33</v>
      </c>
      <c r="M501" t="s">
        <v>65</v>
      </c>
      <c r="N501" t="s">
        <v>35</v>
      </c>
      <c r="O501">
        <v>258000</v>
      </c>
      <c r="P501">
        <v>21500</v>
      </c>
      <c r="Q501">
        <v>92</v>
      </c>
      <c r="R501" t="s">
        <v>55</v>
      </c>
      <c r="S501">
        <v>3.4</v>
      </c>
      <c r="T501">
        <v>15</v>
      </c>
      <c r="U501">
        <v>16</v>
      </c>
      <c r="V501">
        <v>4</v>
      </c>
      <c r="W501" t="s">
        <v>37</v>
      </c>
      <c r="X501">
        <v>4.3</v>
      </c>
      <c r="Y501">
        <v>5</v>
      </c>
      <c r="Z501">
        <v>16</v>
      </c>
    </row>
    <row r="502" spans="1:26">
      <c r="A502" t="s">
        <v>599</v>
      </c>
      <c r="B502" s="21">
        <v>42794</v>
      </c>
      <c r="C502" s="21"/>
      <c r="D502" t="s">
        <v>27</v>
      </c>
      <c r="E502">
        <v>0</v>
      </c>
      <c r="F502" t="s">
        <v>28</v>
      </c>
      <c r="G502" t="s">
        <v>70</v>
      </c>
      <c r="H502" t="s">
        <v>121</v>
      </c>
      <c r="I502" t="s">
        <v>31</v>
      </c>
      <c r="J502" t="s">
        <v>32</v>
      </c>
      <c r="K502">
        <v>23</v>
      </c>
      <c r="L502" t="s">
        <v>33</v>
      </c>
      <c r="M502" t="s">
        <v>43</v>
      </c>
      <c r="N502" t="s">
        <v>35</v>
      </c>
      <c r="O502">
        <v>467000</v>
      </c>
      <c r="P502">
        <v>38916.67</v>
      </c>
      <c r="Q502">
        <v>106</v>
      </c>
      <c r="R502" t="s">
        <v>36</v>
      </c>
      <c r="S502">
        <v>3.7</v>
      </c>
      <c r="T502">
        <v>30</v>
      </c>
      <c r="U502">
        <v>9</v>
      </c>
      <c r="V502">
        <v>5</v>
      </c>
      <c r="W502" t="s">
        <v>44</v>
      </c>
      <c r="X502">
        <v>5</v>
      </c>
      <c r="Y502">
        <v>4</v>
      </c>
      <c r="Z502">
        <v>7.8</v>
      </c>
    </row>
    <row r="503" spans="1:26">
      <c r="A503" t="s">
        <v>600</v>
      </c>
      <c r="B503" s="21">
        <v>44609</v>
      </c>
      <c r="C503" s="21"/>
      <c r="D503" t="s">
        <v>27</v>
      </c>
      <c r="E503">
        <v>0</v>
      </c>
      <c r="F503" t="s">
        <v>67</v>
      </c>
      <c r="G503" t="s">
        <v>88</v>
      </c>
      <c r="H503" t="s">
        <v>95</v>
      </c>
      <c r="I503" t="s">
        <v>41</v>
      </c>
      <c r="J503" t="s">
        <v>54</v>
      </c>
      <c r="K503">
        <v>45</v>
      </c>
      <c r="L503" t="s">
        <v>33</v>
      </c>
      <c r="M503" t="s">
        <v>34</v>
      </c>
      <c r="N503" t="s">
        <v>35</v>
      </c>
      <c r="O503">
        <v>1258000</v>
      </c>
      <c r="P503">
        <v>104833.33</v>
      </c>
      <c r="Q503">
        <v>46</v>
      </c>
      <c r="R503" t="s">
        <v>36</v>
      </c>
      <c r="S503">
        <v>4.4000000000000004</v>
      </c>
      <c r="T503">
        <v>4</v>
      </c>
      <c r="U503">
        <v>11</v>
      </c>
      <c r="V503">
        <v>6</v>
      </c>
      <c r="W503" t="s">
        <v>37</v>
      </c>
      <c r="X503">
        <v>3.6</v>
      </c>
      <c r="Y503">
        <v>0</v>
      </c>
      <c r="Z503">
        <v>14.9</v>
      </c>
    </row>
    <row r="504" spans="1:26">
      <c r="A504" t="s">
        <v>601</v>
      </c>
      <c r="B504" s="21">
        <v>44909</v>
      </c>
      <c r="C504" s="21"/>
      <c r="D504" t="s">
        <v>27</v>
      </c>
      <c r="E504">
        <v>0</v>
      </c>
      <c r="F504" t="s">
        <v>28</v>
      </c>
      <c r="G504" t="s">
        <v>91</v>
      </c>
      <c r="H504" t="s">
        <v>121</v>
      </c>
      <c r="I504" t="s">
        <v>31</v>
      </c>
      <c r="J504" t="s">
        <v>32</v>
      </c>
      <c r="K504">
        <v>31</v>
      </c>
      <c r="L504" t="s">
        <v>33</v>
      </c>
      <c r="M504" t="s">
        <v>65</v>
      </c>
      <c r="N504" t="s">
        <v>35</v>
      </c>
      <c r="O504">
        <v>1354000</v>
      </c>
      <c r="P504">
        <v>112833.33</v>
      </c>
      <c r="Q504">
        <v>36</v>
      </c>
      <c r="R504" t="s">
        <v>36</v>
      </c>
      <c r="S504">
        <v>4.0999999999999996</v>
      </c>
      <c r="T504">
        <v>72</v>
      </c>
      <c r="U504">
        <v>9</v>
      </c>
      <c r="V504">
        <v>6</v>
      </c>
      <c r="W504" t="s">
        <v>37</v>
      </c>
      <c r="X504">
        <v>4.0999999999999996</v>
      </c>
      <c r="Y504">
        <v>4</v>
      </c>
      <c r="Z504">
        <v>9.1999999999999993</v>
      </c>
    </row>
    <row r="505" spans="1:26">
      <c r="A505" t="s">
        <v>602</v>
      </c>
      <c r="B505" s="21">
        <v>45592</v>
      </c>
      <c r="C505" s="21"/>
      <c r="D505" t="s">
        <v>27</v>
      </c>
      <c r="E505">
        <v>0</v>
      </c>
      <c r="F505" t="s">
        <v>73</v>
      </c>
      <c r="G505" t="s">
        <v>88</v>
      </c>
      <c r="H505" t="s">
        <v>126</v>
      </c>
      <c r="I505" t="s">
        <v>62</v>
      </c>
      <c r="J505" t="s">
        <v>32</v>
      </c>
      <c r="K505">
        <v>50</v>
      </c>
      <c r="L505" t="s">
        <v>33</v>
      </c>
      <c r="M505" t="s">
        <v>43</v>
      </c>
      <c r="N505" t="s">
        <v>35</v>
      </c>
      <c r="O505">
        <v>1196000</v>
      </c>
      <c r="P505">
        <v>99666.67</v>
      </c>
      <c r="Q505">
        <v>14</v>
      </c>
      <c r="R505" t="s">
        <v>55</v>
      </c>
      <c r="S505">
        <v>4.5999999999999996</v>
      </c>
      <c r="T505">
        <v>51</v>
      </c>
      <c r="U505">
        <v>2</v>
      </c>
      <c r="V505">
        <v>0</v>
      </c>
      <c r="W505" t="s">
        <v>44</v>
      </c>
      <c r="X505">
        <v>1.9</v>
      </c>
      <c r="Y505">
        <v>4</v>
      </c>
      <c r="Z505">
        <v>10.6</v>
      </c>
    </row>
    <row r="506" spans="1:26">
      <c r="A506" t="s">
        <v>603</v>
      </c>
      <c r="B506" s="21">
        <v>45371</v>
      </c>
      <c r="C506" s="21"/>
      <c r="D506" t="s">
        <v>27</v>
      </c>
      <c r="E506">
        <v>0</v>
      </c>
      <c r="F506" t="s">
        <v>67</v>
      </c>
      <c r="G506" t="s">
        <v>29</v>
      </c>
      <c r="H506" t="s">
        <v>95</v>
      </c>
      <c r="I506" t="s">
        <v>31</v>
      </c>
      <c r="J506" t="s">
        <v>32</v>
      </c>
      <c r="K506">
        <v>35</v>
      </c>
      <c r="L506" t="s">
        <v>42</v>
      </c>
      <c r="M506" t="s">
        <v>34</v>
      </c>
      <c r="N506" t="s">
        <v>35</v>
      </c>
      <c r="O506">
        <v>349000</v>
      </c>
      <c r="P506">
        <v>29083.33</v>
      </c>
      <c r="Q506">
        <v>21</v>
      </c>
      <c r="R506" t="s">
        <v>55</v>
      </c>
      <c r="S506">
        <v>3.8</v>
      </c>
      <c r="T506">
        <v>78</v>
      </c>
      <c r="U506">
        <v>26</v>
      </c>
      <c r="V506">
        <v>10</v>
      </c>
      <c r="W506" t="s">
        <v>37</v>
      </c>
      <c r="X506">
        <v>5</v>
      </c>
      <c r="Y506">
        <v>5</v>
      </c>
      <c r="Z506">
        <v>7.7</v>
      </c>
    </row>
    <row r="507" spans="1:26">
      <c r="A507" t="s">
        <v>604</v>
      </c>
      <c r="B507" s="21">
        <v>45441</v>
      </c>
      <c r="C507" s="21"/>
      <c r="D507" t="s">
        <v>27</v>
      </c>
      <c r="E507">
        <v>0</v>
      </c>
      <c r="F507" t="s">
        <v>46</v>
      </c>
      <c r="G507" t="s">
        <v>29</v>
      </c>
      <c r="H507" t="s">
        <v>92</v>
      </c>
      <c r="I507" t="s">
        <v>53</v>
      </c>
      <c r="J507" t="s">
        <v>54</v>
      </c>
      <c r="K507">
        <v>44</v>
      </c>
      <c r="L507" t="s">
        <v>33</v>
      </c>
      <c r="M507" t="s">
        <v>65</v>
      </c>
      <c r="N507" t="s">
        <v>35</v>
      </c>
      <c r="O507">
        <v>431000</v>
      </c>
      <c r="P507">
        <v>35916.67</v>
      </c>
      <c r="Q507">
        <v>19</v>
      </c>
      <c r="R507" t="s">
        <v>36</v>
      </c>
      <c r="S507">
        <v>4.0999999999999996</v>
      </c>
      <c r="T507">
        <v>67</v>
      </c>
      <c r="U507">
        <v>0</v>
      </c>
      <c r="V507">
        <v>0</v>
      </c>
      <c r="W507" t="s">
        <v>37</v>
      </c>
      <c r="X507">
        <v>3.5</v>
      </c>
      <c r="Y507">
        <v>5</v>
      </c>
      <c r="Z507">
        <v>3.5</v>
      </c>
    </row>
    <row r="508" spans="1:26">
      <c r="A508" t="s">
        <v>605</v>
      </c>
      <c r="B508" s="21">
        <v>44754</v>
      </c>
      <c r="C508" s="21"/>
      <c r="D508" t="s">
        <v>27</v>
      </c>
      <c r="E508">
        <v>0</v>
      </c>
      <c r="F508" t="s">
        <v>60</v>
      </c>
      <c r="G508" t="s">
        <v>70</v>
      </c>
      <c r="H508" t="s">
        <v>61</v>
      </c>
      <c r="I508" t="s">
        <v>31</v>
      </c>
      <c r="J508" t="s">
        <v>32</v>
      </c>
      <c r="K508">
        <v>54</v>
      </c>
      <c r="L508" t="s">
        <v>33</v>
      </c>
      <c r="M508" t="s">
        <v>65</v>
      </c>
      <c r="N508" t="s">
        <v>35</v>
      </c>
      <c r="O508">
        <v>714000</v>
      </c>
      <c r="P508">
        <v>59500</v>
      </c>
      <c r="Q508">
        <v>41</v>
      </c>
      <c r="R508" t="s">
        <v>103</v>
      </c>
      <c r="S508">
        <v>3.8</v>
      </c>
      <c r="T508">
        <v>64</v>
      </c>
      <c r="U508">
        <v>13</v>
      </c>
      <c r="V508">
        <v>5</v>
      </c>
      <c r="W508" t="s">
        <v>44</v>
      </c>
      <c r="X508">
        <v>3.8</v>
      </c>
      <c r="Y508">
        <v>0</v>
      </c>
      <c r="Z508">
        <v>1.3</v>
      </c>
    </row>
    <row r="509" spans="1:26">
      <c r="A509" t="s">
        <v>606</v>
      </c>
      <c r="B509" s="21">
        <v>44658</v>
      </c>
      <c r="C509" s="21">
        <v>45220</v>
      </c>
      <c r="D509" t="s">
        <v>57</v>
      </c>
      <c r="E509">
        <v>1</v>
      </c>
      <c r="F509" t="s">
        <v>73</v>
      </c>
      <c r="G509" t="s">
        <v>51</v>
      </c>
      <c r="H509" t="s">
        <v>126</v>
      </c>
      <c r="I509" t="s">
        <v>41</v>
      </c>
      <c r="J509" t="s">
        <v>54</v>
      </c>
      <c r="K509">
        <v>47</v>
      </c>
      <c r="L509" t="s">
        <v>96</v>
      </c>
      <c r="M509" t="s">
        <v>58</v>
      </c>
      <c r="N509" t="s">
        <v>35</v>
      </c>
      <c r="O509">
        <v>733000</v>
      </c>
      <c r="P509">
        <v>61083.33</v>
      </c>
      <c r="Q509">
        <v>18</v>
      </c>
      <c r="R509" t="s">
        <v>36</v>
      </c>
      <c r="S509">
        <v>2.4</v>
      </c>
      <c r="T509">
        <v>45</v>
      </c>
      <c r="U509">
        <v>1</v>
      </c>
      <c r="V509">
        <v>7</v>
      </c>
      <c r="W509" t="s">
        <v>37</v>
      </c>
      <c r="X509">
        <v>4.3</v>
      </c>
      <c r="Y509">
        <v>0</v>
      </c>
      <c r="Z509">
        <v>14.2</v>
      </c>
    </row>
    <row r="510" spans="1:26">
      <c r="A510" t="s">
        <v>607</v>
      </c>
      <c r="B510" s="21">
        <v>43549</v>
      </c>
      <c r="C510" s="21"/>
      <c r="D510" t="s">
        <v>27</v>
      </c>
      <c r="E510">
        <v>0</v>
      </c>
      <c r="F510" t="s">
        <v>67</v>
      </c>
      <c r="G510" t="s">
        <v>91</v>
      </c>
      <c r="H510" t="s">
        <v>77</v>
      </c>
      <c r="I510" t="s">
        <v>31</v>
      </c>
      <c r="J510" t="s">
        <v>54</v>
      </c>
      <c r="K510">
        <v>54</v>
      </c>
      <c r="L510" t="s">
        <v>33</v>
      </c>
      <c r="M510" t="s">
        <v>34</v>
      </c>
      <c r="N510" t="s">
        <v>35</v>
      </c>
      <c r="O510">
        <v>1769000</v>
      </c>
      <c r="P510">
        <v>147416.67000000001</v>
      </c>
      <c r="Q510">
        <v>81</v>
      </c>
      <c r="R510" t="s">
        <v>36</v>
      </c>
      <c r="S510">
        <v>4</v>
      </c>
      <c r="T510">
        <v>7</v>
      </c>
      <c r="U510">
        <v>23</v>
      </c>
      <c r="V510">
        <v>0</v>
      </c>
      <c r="W510" t="s">
        <v>37</v>
      </c>
      <c r="X510">
        <v>4.7</v>
      </c>
      <c r="Y510">
        <v>0</v>
      </c>
      <c r="Z510">
        <v>12.2</v>
      </c>
    </row>
    <row r="511" spans="1:26">
      <c r="A511" t="s">
        <v>608</v>
      </c>
      <c r="B511" s="21">
        <v>45375</v>
      </c>
      <c r="C511" s="21"/>
      <c r="D511" t="s">
        <v>27</v>
      </c>
      <c r="E511">
        <v>0</v>
      </c>
      <c r="F511" t="s">
        <v>67</v>
      </c>
      <c r="G511" t="s">
        <v>51</v>
      </c>
      <c r="H511" t="s">
        <v>68</v>
      </c>
      <c r="I511" t="s">
        <v>48</v>
      </c>
      <c r="J511" t="s">
        <v>32</v>
      </c>
      <c r="K511">
        <v>34</v>
      </c>
      <c r="L511" t="s">
        <v>42</v>
      </c>
      <c r="M511" t="s">
        <v>40</v>
      </c>
      <c r="N511" t="s">
        <v>35</v>
      </c>
      <c r="O511">
        <v>642000</v>
      </c>
      <c r="P511">
        <v>53500</v>
      </c>
      <c r="Q511">
        <v>21</v>
      </c>
      <c r="R511" t="s">
        <v>55</v>
      </c>
      <c r="S511">
        <v>4.7</v>
      </c>
      <c r="T511">
        <v>16</v>
      </c>
      <c r="U511">
        <v>14</v>
      </c>
      <c r="V511">
        <v>4</v>
      </c>
      <c r="W511" t="s">
        <v>37</v>
      </c>
      <c r="X511">
        <v>2.8</v>
      </c>
      <c r="Y511">
        <v>0</v>
      </c>
      <c r="Z511">
        <v>5.8</v>
      </c>
    </row>
    <row r="512" spans="1:26">
      <c r="A512" t="s">
        <v>609</v>
      </c>
      <c r="B512" s="21">
        <v>42515</v>
      </c>
      <c r="C512" s="21"/>
      <c r="D512" t="s">
        <v>27</v>
      </c>
      <c r="E512">
        <v>0</v>
      </c>
      <c r="F512" t="s">
        <v>46</v>
      </c>
      <c r="G512" t="s">
        <v>29</v>
      </c>
      <c r="H512" t="s">
        <v>71</v>
      </c>
      <c r="I512" t="s">
        <v>31</v>
      </c>
      <c r="J512" t="s">
        <v>32</v>
      </c>
      <c r="K512">
        <v>29</v>
      </c>
      <c r="L512" t="s">
        <v>130</v>
      </c>
      <c r="M512" t="s">
        <v>34</v>
      </c>
      <c r="N512" t="s">
        <v>35</v>
      </c>
      <c r="O512">
        <v>413000</v>
      </c>
      <c r="P512">
        <v>34416.67</v>
      </c>
      <c r="Q512">
        <v>115</v>
      </c>
      <c r="R512" t="s">
        <v>55</v>
      </c>
      <c r="S512">
        <v>3.5</v>
      </c>
      <c r="T512">
        <v>48</v>
      </c>
      <c r="U512">
        <v>6</v>
      </c>
      <c r="V512">
        <v>8</v>
      </c>
      <c r="W512" t="s">
        <v>37</v>
      </c>
      <c r="X512">
        <v>3.9</v>
      </c>
      <c r="Y512">
        <v>0</v>
      </c>
      <c r="Z512">
        <v>22.7</v>
      </c>
    </row>
    <row r="513" spans="1:26">
      <c r="A513" t="s">
        <v>610</v>
      </c>
      <c r="B513" s="21">
        <v>44118</v>
      </c>
      <c r="C513" s="21"/>
      <c r="D513" t="s">
        <v>27</v>
      </c>
      <c r="E513">
        <v>0</v>
      </c>
      <c r="F513" t="s">
        <v>98</v>
      </c>
      <c r="G513" t="s">
        <v>51</v>
      </c>
      <c r="H513" t="s">
        <v>212</v>
      </c>
      <c r="I513" t="s">
        <v>53</v>
      </c>
      <c r="J513" t="s">
        <v>32</v>
      </c>
      <c r="K513">
        <v>36</v>
      </c>
      <c r="L513" t="s">
        <v>42</v>
      </c>
      <c r="M513" t="s">
        <v>40</v>
      </c>
      <c r="N513" t="s">
        <v>35</v>
      </c>
      <c r="O513">
        <v>817000</v>
      </c>
      <c r="P513">
        <v>68083.33</v>
      </c>
      <c r="Q513">
        <v>62</v>
      </c>
      <c r="R513" t="s">
        <v>36</v>
      </c>
      <c r="S513">
        <v>3.4</v>
      </c>
      <c r="T513">
        <v>1</v>
      </c>
      <c r="U513">
        <v>20</v>
      </c>
      <c r="V513">
        <v>8</v>
      </c>
      <c r="W513" t="s">
        <v>37</v>
      </c>
      <c r="X513">
        <v>2.8</v>
      </c>
      <c r="Y513">
        <v>1</v>
      </c>
      <c r="Z513">
        <v>20.2</v>
      </c>
    </row>
    <row r="514" spans="1:26">
      <c r="A514" t="s">
        <v>611</v>
      </c>
      <c r="B514" s="21">
        <v>42602</v>
      </c>
      <c r="C514" s="21"/>
      <c r="D514" t="s">
        <v>27</v>
      </c>
      <c r="E514">
        <v>0</v>
      </c>
      <c r="F514" t="s">
        <v>60</v>
      </c>
      <c r="G514" t="s">
        <v>70</v>
      </c>
      <c r="H514" t="s">
        <v>61</v>
      </c>
      <c r="I514" t="s">
        <v>41</v>
      </c>
      <c r="J514" t="s">
        <v>54</v>
      </c>
      <c r="K514">
        <v>40</v>
      </c>
      <c r="L514" t="s">
        <v>96</v>
      </c>
      <c r="M514" t="s">
        <v>65</v>
      </c>
      <c r="N514" t="s">
        <v>35</v>
      </c>
      <c r="O514">
        <v>604000</v>
      </c>
      <c r="P514">
        <v>50333.33</v>
      </c>
      <c r="Q514">
        <v>112</v>
      </c>
      <c r="R514" t="s">
        <v>55</v>
      </c>
      <c r="S514">
        <v>3.7</v>
      </c>
      <c r="T514">
        <v>45</v>
      </c>
      <c r="U514">
        <v>13</v>
      </c>
      <c r="V514">
        <v>6</v>
      </c>
      <c r="W514" t="s">
        <v>37</v>
      </c>
      <c r="X514">
        <v>3.7</v>
      </c>
      <c r="Y514">
        <v>4</v>
      </c>
      <c r="Z514">
        <v>14</v>
      </c>
    </row>
    <row r="515" spans="1:26">
      <c r="A515" t="s">
        <v>612</v>
      </c>
      <c r="B515" s="21">
        <v>44186</v>
      </c>
      <c r="C515" s="21">
        <v>44985</v>
      </c>
      <c r="D515" t="s">
        <v>57</v>
      </c>
      <c r="E515">
        <v>1</v>
      </c>
      <c r="F515" t="s">
        <v>60</v>
      </c>
      <c r="G515" t="s">
        <v>88</v>
      </c>
      <c r="H515" t="s">
        <v>61</v>
      </c>
      <c r="I515" t="s">
        <v>48</v>
      </c>
      <c r="J515" t="s">
        <v>32</v>
      </c>
      <c r="K515">
        <v>39</v>
      </c>
      <c r="L515" t="s">
        <v>130</v>
      </c>
      <c r="M515" t="s">
        <v>58</v>
      </c>
      <c r="N515" t="s">
        <v>35</v>
      </c>
      <c r="O515">
        <v>1250000</v>
      </c>
      <c r="P515">
        <v>104166.67</v>
      </c>
      <c r="Q515">
        <v>26</v>
      </c>
      <c r="R515" t="s">
        <v>36</v>
      </c>
      <c r="S515">
        <v>1.6</v>
      </c>
      <c r="T515">
        <v>66</v>
      </c>
      <c r="U515">
        <v>13</v>
      </c>
      <c r="V515">
        <v>1</v>
      </c>
      <c r="W515" t="s">
        <v>37</v>
      </c>
      <c r="X515">
        <v>3.6</v>
      </c>
      <c r="Y515">
        <v>4</v>
      </c>
      <c r="Z515">
        <v>18.2</v>
      </c>
    </row>
    <row r="516" spans="1:26">
      <c r="A516" t="s">
        <v>613</v>
      </c>
      <c r="B516" s="21">
        <v>43233</v>
      </c>
      <c r="C516" s="21"/>
      <c r="D516" t="s">
        <v>27</v>
      </c>
      <c r="E516">
        <v>0</v>
      </c>
      <c r="F516" t="s">
        <v>46</v>
      </c>
      <c r="G516" t="s">
        <v>88</v>
      </c>
      <c r="H516" t="s">
        <v>92</v>
      </c>
      <c r="I516" t="s">
        <v>48</v>
      </c>
      <c r="J516" t="s">
        <v>54</v>
      </c>
      <c r="K516">
        <v>51</v>
      </c>
      <c r="L516" t="s">
        <v>42</v>
      </c>
      <c r="M516" t="s">
        <v>65</v>
      </c>
      <c r="N516" t="s">
        <v>35</v>
      </c>
      <c r="O516">
        <v>975000</v>
      </c>
      <c r="P516">
        <v>81250</v>
      </c>
      <c r="Q516">
        <v>91</v>
      </c>
      <c r="R516" t="s">
        <v>36</v>
      </c>
      <c r="S516">
        <v>4.4000000000000004</v>
      </c>
      <c r="T516">
        <v>78</v>
      </c>
      <c r="U516">
        <v>12</v>
      </c>
      <c r="V516">
        <v>3</v>
      </c>
      <c r="W516" t="s">
        <v>44</v>
      </c>
      <c r="X516">
        <v>3.9</v>
      </c>
      <c r="Y516">
        <v>0</v>
      </c>
      <c r="Z516">
        <v>1</v>
      </c>
    </row>
    <row r="517" spans="1:26">
      <c r="A517" t="s">
        <v>614</v>
      </c>
      <c r="B517" s="21">
        <v>43937</v>
      </c>
      <c r="C517" s="21"/>
      <c r="D517" t="s">
        <v>27</v>
      </c>
      <c r="E517">
        <v>0</v>
      </c>
      <c r="F517" t="s">
        <v>73</v>
      </c>
      <c r="G517" t="s">
        <v>29</v>
      </c>
      <c r="H517" t="s">
        <v>126</v>
      </c>
      <c r="I517" t="s">
        <v>75</v>
      </c>
      <c r="J517" t="s">
        <v>32</v>
      </c>
      <c r="K517">
        <v>32</v>
      </c>
      <c r="L517" t="s">
        <v>33</v>
      </c>
      <c r="M517" t="s">
        <v>78</v>
      </c>
      <c r="N517" t="s">
        <v>35</v>
      </c>
      <c r="O517">
        <v>451000</v>
      </c>
      <c r="P517">
        <v>37583.33</v>
      </c>
      <c r="Q517">
        <v>68</v>
      </c>
      <c r="R517" t="s">
        <v>103</v>
      </c>
      <c r="S517">
        <v>3.7</v>
      </c>
      <c r="T517">
        <v>79</v>
      </c>
      <c r="U517">
        <v>13</v>
      </c>
      <c r="V517">
        <v>7</v>
      </c>
      <c r="W517" t="s">
        <v>37</v>
      </c>
      <c r="X517">
        <v>3.4</v>
      </c>
      <c r="Y517">
        <v>2</v>
      </c>
      <c r="Z517">
        <v>16</v>
      </c>
    </row>
    <row r="518" spans="1:26">
      <c r="A518" t="s">
        <v>615</v>
      </c>
      <c r="B518" s="21">
        <v>45356</v>
      </c>
      <c r="C518" s="21"/>
      <c r="D518" t="s">
        <v>27</v>
      </c>
      <c r="E518">
        <v>0</v>
      </c>
      <c r="F518" t="s">
        <v>73</v>
      </c>
      <c r="G518" t="s">
        <v>51</v>
      </c>
      <c r="H518" t="s">
        <v>126</v>
      </c>
      <c r="I518" t="s">
        <v>62</v>
      </c>
      <c r="J518" t="s">
        <v>149</v>
      </c>
      <c r="K518">
        <v>50</v>
      </c>
      <c r="L518" t="s">
        <v>33</v>
      </c>
      <c r="M518" t="s">
        <v>58</v>
      </c>
      <c r="N518" t="s">
        <v>35</v>
      </c>
      <c r="O518">
        <v>917000</v>
      </c>
      <c r="P518">
        <v>76416.67</v>
      </c>
      <c r="Q518">
        <v>21</v>
      </c>
      <c r="R518" t="s">
        <v>116</v>
      </c>
      <c r="S518">
        <v>2.9</v>
      </c>
      <c r="T518">
        <v>1</v>
      </c>
      <c r="U518">
        <v>15</v>
      </c>
      <c r="V518">
        <v>0</v>
      </c>
      <c r="W518" t="s">
        <v>37</v>
      </c>
      <c r="X518">
        <v>3.2</v>
      </c>
      <c r="Y518">
        <v>4</v>
      </c>
      <c r="Z518">
        <v>26.9</v>
      </c>
    </row>
    <row r="519" spans="1:26">
      <c r="A519" t="s">
        <v>616</v>
      </c>
      <c r="B519" s="21">
        <v>43493</v>
      </c>
      <c r="C519" s="21"/>
      <c r="D519" t="s">
        <v>27</v>
      </c>
      <c r="E519">
        <v>0</v>
      </c>
      <c r="F519" t="s">
        <v>73</v>
      </c>
      <c r="G519" t="s">
        <v>88</v>
      </c>
      <c r="H519" t="s">
        <v>118</v>
      </c>
      <c r="I519" t="s">
        <v>75</v>
      </c>
      <c r="J519" t="s">
        <v>32</v>
      </c>
      <c r="K519">
        <v>47</v>
      </c>
      <c r="L519" t="s">
        <v>33</v>
      </c>
      <c r="M519" t="s">
        <v>34</v>
      </c>
      <c r="N519" t="s">
        <v>35</v>
      </c>
      <c r="O519">
        <v>1187000</v>
      </c>
      <c r="P519">
        <v>98916.67</v>
      </c>
      <c r="Q519">
        <v>83</v>
      </c>
      <c r="R519" t="s">
        <v>36</v>
      </c>
      <c r="S519">
        <v>3.8</v>
      </c>
      <c r="T519">
        <v>59</v>
      </c>
      <c r="U519">
        <v>5</v>
      </c>
      <c r="V519">
        <v>4</v>
      </c>
      <c r="W519" t="s">
        <v>37</v>
      </c>
      <c r="X519">
        <v>3</v>
      </c>
      <c r="Y519">
        <v>5</v>
      </c>
      <c r="Z519">
        <v>15.7</v>
      </c>
    </row>
    <row r="520" spans="1:26">
      <c r="A520" t="s">
        <v>617</v>
      </c>
      <c r="B520" s="21">
        <v>42521</v>
      </c>
      <c r="C520" s="21"/>
      <c r="D520" t="s">
        <v>27</v>
      </c>
      <c r="E520">
        <v>0</v>
      </c>
      <c r="F520" t="s">
        <v>67</v>
      </c>
      <c r="G520" t="s">
        <v>29</v>
      </c>
      <c r="H520" t="s">
        <v>77</v>
      </c>
      <c r="I520" t="s">
        <v>75</v>
      </c>
      <c r="J520" t="s">
        <v>54</v>
      </c>
      <c r="K520">
        <v>41</v>
      </c>
      <c r="L520" t="s">
        <v>33</v>
      </c>
      <c r="M520" t="s">
        <v>34</v>
      </c>
      <c r="N520" t="s">
        <v>35</v>
      </c>
      <c r="O520">
        <v>445000</v>
      </c>
      <c r="P520">
        <v>37083.33</v>
      </c>
      <c r="Q520">
        <v>115</v>
      </c>
      <c r="R520" t="s">
        <v>116</v>
      </c>
      <c r="S520">
        <v>3.3</v>
      </c>
      <c r="T520">
        <v>79</v>
      </c>
      <c r="U520">
        <v>15</v>
      </c>
      <c r="V520">
        <v>2</v>
      </c>
      <c r="W520" t="s">
        <v>44</v>
      </c>
      <c r="X520">
        <v>3.5</v>
      </c>
      <c r="Y520">
        <v>2</v>
      </c>
      <c r="Z520">
        <v>17.100000000000001</v>
      </c>
    </row>
    <row r="521" spans="1:26">
      <c r="A521" t="s">
        <v>618</v>
      </c>
      <c r="B521" s="21">
        <v>45051</v>
      </c>
      <c r="C521" s="21"/>
      <c r="D521" t="s">
        <v>27</v>
      </c>
      <c r="E521">
        <v>0</v>
      </c>
      <c r="F521" t="s">
        <v>98</v>
      </c>
      <c r="G521" t="s">
        <v>70</v>
      </c>
      <c r="H521" t="s">
        <v>106</v>
      </c>
      <c r="I521" t="s">
        <v>48</v>
      </c>
      <c r="J521" t="s">
        <v>32</v>
      </c>
      <c r="K521">
        <v>47</v>
      </c>
      <c r="L521" t="s">
        <v>33</v>
      </c>
      <c r="M521" t="s">
        <v>34</v>
      </c>
      <c r="N521" t="s">
        <v>35</v>
      </c>
      <c r="O521">
        <v>524000</v>
      </c>
      <c r="P521">
        <v>43666.67</v>
      </c>
      <c r="Q521">
        <v>31</v>
      </c>
      <c r="R521" t="s">
        <v>55</v>
      </c>
      <c r="S521">
        <v>3.8</v>
      </c>
      <c r="T521">
        <v>56</v>
      </c>
      <c r="U521">
        <v>18</v>
      </c>
      <c r="V521">
        <v>0</v>
      </c>
      <c r="W521" t="s">
        <v>44</v>
      </c>
      <c r="X521">
        <v>4.7</v>
      </c>
      <c r="Y521">
        <v>2</v>
      </c>
      <c r="Z521">
        <v>12.5</v>
      </c>
    </row>
    <row r="522" spans="1:26">
      <c r="A522" t="s">
        <v>619</v>
      </c>
      <c r="B522" s="21">
        <v>43205</v>
      </c>
      <c r="C522" s="21"/>
      <c r="D522" t="s">
        <v>27</v>
      </c>
      <c r="E522">
        <v>0</v>
      </c>
      <c r="F522" t="s">
        <v>67</v>
      </c>
      <c r="G522" t="s">
        <v>29</v>
      </c>
      <c r="H522" t="s">
        <v>77</v>
      </c>
      <c r="I522" t="s">
        <v>53</v>
      </c>
      <c r="J522" t="s">
        <v>32</v>
      </c>
      <c r="K522">
        <v>30</v>
      </c>
      <c r="L522" t="s">
        <v>33</v>
      </c>
      <c r="M522" t="s">
        <v>65</v>
      </c>
      <c r="N522" t="s">
        <v>35</v>
      </c>
      <c r="O522">
        <v>358000</v>
      </c>
      <c r="P522">
        <v>29833.33</v>
      </c>
      <c r="Q522">
        <v>92</v>
      </c>
      <c r="R522" t="s">
        <v>55</v>
      </c>
      <c r="S522">
        <v>4.2</v>
      </c>
      <c r="T522">
        <v>37</v>
      </c>
      <c r="U522">
        <v>15</v>
      </c>
      <c r="V522">
        <v>1</v>
      </c>
      <c r="W522" t="s">
        <v>37</v>
      </c>
      <c r="X522">
        <v>4.0999999999999996</v>
      </c>
      <c r="Y522">
        <v>2</v>
      </c>
      <c r="Z522">
        <v>13.2</v>
      </c>
    </row>
    <row r="523" spans="1:26">
      <c r="A523" t="s">
        <v>620</v>
      </c>
      <c r="B523" s="21">
        <v>42474</v>
      </c>
      <c r="C523" s="21"/>
      <c r="D523" t="s">
        <v>27</v>
      </c>
      <c r="E523">
        <v>0</v>
      </c>
      <c r="F523" t="s">
        <v>50</v>
      </c>
      <c r="G523" t="s">
        <v>91</v>
      </c>
      <c r="H523" t="s">
        <v>52</v>
      </c>
      <c r="I523" t="s">
        <v>62</v>
      </c>
      <c r="J523" t="s">
        <v>54</v>
      </c>
      <c r="K523">
        <v>49</v>
      </c>
      <c r="L523" t="s">
        <v>82</v>
      </c>
      <c r="M523" t="s">
        <v>65</v>
      </c>
      <c r="N523" t="s">
        <v>35</v>
      </c>
      <c r="O523">
        <v>1226000</v>
      </c>
      <c r="P523">
        <v>102166.67</v>
      </c>
      <c r="Q523">
        <v>116</v>
      </c>
      <c r="R523" t="s">
        <v>55</v>
      </c>
      <c r="S523">
        <v>3.8</v>
      </c>
      <c r="T523">
        <v>28</v>
      </c>
      <c r="U523">
        <v>7</v>
      </c>
      <c r="V523">
        <v>10</v>
      </c>
      <c r="W523" t="s">
        <v>37</v>
      </c>
      <c r="X523">
        <v>3.3</v>
      </c>
      <c r="Y523">
        <v>3</v>
      </c>
      <c r="Z523">
        <v>1</v>
      </c>
    </row>
    <row r="524" spans="1:26">
      <c r="A524" t="s">
        <v>621</v>
      </c>
      <c r="B524" s="21">
        <v>44951</v>
      </c>
      <c r="C524" s="21"/>
      <c r="D524" t="s">
        <v>27</v>
      </c>
      <c r="E524">
        <v>0</v>
      </c>
      <c r="F524" t="s">
        <v>28</v>
      </c>
      <c r="G524" t="s">
        <v>105</v>
      </c>
      <c r="H524" t="s">
        <v>64</v>
      </c>
      <c r="I524" t="s">
        <v>75</v>
      </c>
      <c r="J524" t="s">
        <v>32</v>
      </c>
      <c r="K524">
        <v>42</v>
      </c>
      <c r="L524" t="s">
        <v>33</v>
      </c>
      <c r="M524" t="s">
        <v>40</v>
      </c>
      <c r="N524" t="s">
        <v>93</v>
      </c>
      <c r="O524">
        <v>1716000</v>
      </c>
      <c r="P524">
        <v>143000</v>
      </c>
      <c r="Q524">
        <v>35</v>
      </c>
      <c r="R524" t="s">
        <v>103</v>
      </c>
      <c r="S524">
        <v>3.3</v>
      </c>
      <c r="T524">
        <v>29</v>
      </c>
      <c r="U524">
        <v>10</v>
      </c>
      <c r="V524">
        <v>0</v>
      </c>
      <c r="W524" t="s">
        <v>37</v>
      </c>
      <c r="X524">
        <v>2.9</v>
      </c>
      <c r="Y524">
        <v>3</v>
      </c>
      <c r="Z524">
        <v>10.3</v>
      </c>
    </row>
    <row r="525" spans="1:26">
      <c r="A525" t="s">
        <v>622</v>
      </c>
      <c r="B525" s="21">
        <v>42842</v>
      </c>
      <c r="C525" s="21"/>
      <c r="D525" t="s">
        <v>27</v>
      </c>
      <c r="E525">
        <v>0</v>
      </c>
      <c r="F525" t="s">
        <v>73</v>
      </c>
      <c r="G525" t="s">
        <v>88</v>
      </c>
      <c r="H525" t="s">
        <v>102</v>
      </c>
      <c r="I525" t="s">
        <v>62</v>
      </c>
      <c r="J525" t="s">
        <v>32</v>
      </c>
      <c r="K525">
        <v>40</v>
      </c>
      <c r="L525" t="s">
        <v>42</v>
      </c>
      <c r="M525" t="s">
        <v>65</v>
      </c>
      <c r="N525" t="s">
        <v>35</v>
      </c>
      <c r="O525">
        <v>1067000</v>
      </c>
      <c r="P525">
        <v>88916.67</v>
      </c>
      <c r="Q525">
        <v>104</v>
      </c>
      <c r="R525" t="s">
        <v>36</v>
      </c>
      <c r="S525">
        <v>2.7</v>
      </c>
      <c r="T525">
        <v>52</v>
      </c>
      <c r="U525">
        <v>19</v>
      </c>
      <c r="V525">
        <v>3</v>
      </c>
      <c r="W525" t="s">
        <v>44</v>
      </c>
      <c r="X525">
        <v>4.3</v>
      </c>
      <c r="Y525">
        <v>3</v>
      </c>
      <c r="Z525">
        <v>11.6</v>
      </c>
    </row>
    <row r="526" spans="1:26">
      <c r="A526" t="s">
        <v>623</v>
      </c>
      <c r="B526" s="21">
        <v>44850</v>
      </c>
      <c r="C526" s="21"/>
      <c r="D526" t="s">
        <v>27</v>
      </c>
      <c r="E526">
        <v>0</v>
      </c>
      <c r="F526" t="s">
        <v>98</v>
      </c>
      <c r="G526" t="s">
        <v>88</v>
      </c>
      <c r="H526" t="s">
        <v>99</v>
      </c>
      <c r="I526" t="s">
        <v>62</v>
      </c>
      <c r="J526" t="s">
        <v>54</v>
      </c>
      <c r="K526">
        <v>42</v>
      </c>
      <c r="L526" t="s">
        <v>33</v>
      </c>
      <c r="M526" t="s">
        <v>43</v>
      </c>
      <c r="N526" t="s">
        <v>93</v>
      </c>
      <c r="O526">
        <v>1262000</v>
      </c>
      <c r="P526">
        <v>105166.67</v>
      </c>
      <c r="Q526">
        <v>38</v>
      </c>
      <c r="R526" t="s">
        <v>116</v>
      </c>
      <c r="S526">
        <v>4.2</v>
      </c>
      <c r="T526">
        <v>12</v>
      </c>
      <c r="U526">
        <v>10</v>
      </c>
      <c r="V526">
        <v>6</v>
      </c>
      <c r="W526" t="s">
        <v>37</v>
      </c>
      <c r="X526">
        <v>2.8</v>
      </c>
      <c r="Y526">
        <v>1</v>
      </c>
      <c r="Z526">
        <v>5.0999999999999996</v>
      </c>
    </row>
    <row r="527" spans="1:26">
      <c r="A527" t="s">
        <v>624</v>
      </c>
      <c r="B527" s="21">
        <v>44137</v>
      </c>
      <c r="C527" s="21"/>
      <c r="D527" t="s">
        <v>27</v>
      </c>
      <c r="E527">
        <v>0</v>
      </c>
      <c r="F527" t="s">
        <v>67</v>
      </c>
      <c r="G527" t="s">
        <v>29</v>
      </c>
      <c r="H527" t="s">
        <v>80</v>
      </c>
      <c r="I527" t="s">
        <v>75</v>
      </c>
      <c r="J527" t="s">
        <v>32</v>
      </c>
      <c r="K527">
        <v>38</v>
      </c>
      <c r="L527" t="s">
        <v>42</v>
      </c>
      <c r="M527" t="s">
        <v>43</v>
      </c>
      <c r="N527" t="s">
        <v>35</v>
      </c>
      <c r="O527">
        <v>465000</v>
      </c>
      <c r="P527">
        <v>38750</v>
      </c>
      <c r="Q527">
        <v>61</v>
      </c>
      <c r="R527" t="s">
        <v>36</v>
      </c>
      <c r="S527">
        <v>3.6</v>
      </c>
      <c r="T527">
        <v>5</v>
      </c>
      <c r="U527">
        <v>20</v>
      </c>
      <c r="V527">
        <v>7</v>
      </c>
      <c r="W527" t="s">
        <v>37</v>
      </c>
      <c r="X527">
        <v>3.4</v>
      </c>
      <c r="Y527">
        <v>5</v>
      </c>
      <c r="Z527">
        <v>10.5</v>
      </c>
    </row>
    <row r="528" spans="1:26">
      <c r="A528" t="s">
        <v>625</v>
      </c>
      <c r="B528" s="21">
        <v>44208</v>
      </c>
      <c r="C528" s="21"/>
      <c r="D528" t="s">
        <v>27</v>
      </c>
      <c r="E528">
        <v>0</v>
      </c>
      <c r="F528" t="s">
        <v>67</v>
      </c>
      <c r="G528" t="s">
        <v>91</v>
      </c>
      <c r="H528" t="s">
        <v>80</v>
      </c>
      <c r="I528" t="s">
        <v>62</v>
      </c>
      <c r="J528" t="s">
        <v>32</v>
      </c>
      <c r="K528">
        <v>54</v>
      </c>
      <c r="L528" t="s">
        <v>33</v>
      </c>
      <c r="M528" t="s">
        <v>34</v>
      </c>
      <c r="N528" t="s">
        <v>35</v>
      </c>
      <c r="O528">
        <v>1769000</v>
      </c>
      <c r="P528">
        <v>147416.67000000001</v>
      </c>
      <c r="Q528">
        <v>59</v>
      </c>
      <c r="R528" t="s">
        <v>55</v>
      </c>
      <c r="S528">
        <v>2.9</v>
      </c>
      <c r="T528">
        <v>48</v>
      </c>
      <c r="U528">
        <v>11</v>
      </c>
      <c r="V528">
        <v>0</v>
      </c>
      <c r="W528" t="s">
        <v>37</v>
      </c>
      <c r="X528">
        <v>3.6</v>
      </c>
      <c r="Y528">
        <v>4</v>
      </c>
      <c r="Z528">
        <v>1</v>
      </c>
    </row>
    <row r="529" spans="1:26">
      <c r="A529" t="s">
        <v>626</v>
      </c>
      <c r="B529" s="21">
        <v>45329</v>
      </c>
      <c r="C529" s="21"/>
      <c r="D529" t="s">
        <v>27</v>
      </c>
      <c r="E529">
        <v>0</v>
      </c>
      <c r="F529" t="s">
        <v>73</v>
      </c>
      <c r="G529" t="s">
        <v>70</v>
      </c>
      <c r="H529" t="s">
        <v>74</v>
      </c>
      <c r="I529" t="s">
        <v>62</v>
      </c>
      <c r="J529" t="s">
        <v>54</v>
      </c>
      <c r="K529">
        <v>22</v>
      </c>
      <c r="L529" t="s">
        <v>96</v>
      </c>
      <c r="M529" t="s">
        <v>40</v>
      </c>
      <c r="N529" t="s">
        <v>35</v>
      </c>
      <c r="O529">
        <v>412000</v>
      </c>
      <c r="P529">
        <v>34333.33</v>
      </c>
      <c r="Q529">
        <v>22</v>
      </c>
      <c r="R529" t="s">
        <v>36</v>
      </c>
      <c r="S529">
        <v>2.5</v>
      </c>
      <c r="T529">
        <v>55</v>
      </c>
      <c r="U529">
        <v>17</v>
      </c>
      <c r="V529">
        <v>6</v>
      </c>
      <c r="W529" t="s">
        <v>37</v>
      </c>
      <c r="X529">
        <v>4.4000000000000004</v>
      </c>
      <c r="Y529">
        <v>3</v>
      </c>
      <c r="Z529">
        <v>4.2</v>
      </c>
    </row>
    <row r="530" spans="1:26">
      <c r="A530" t="s">
        <v>627</v>
      </c>
      <c r="B530" s="21">
        <v>44890</v>
      </c>
      <c r="C530" s="21"/>
      <c r="D530" t="s">
        <v>27</v>
      </c>
      <c r="E530">
        <v>0</v>
      </c>
      <c r="F530" t="s">
        <v>28</v>
      </c>
      <c r="G530" t="s">
        <v>51</v>
      </c>
      <c r="H530" t="s">
        <v>30</v>
      </c>
      <c r="I530" t="s">
        <v>31</v>
      </c>
      <c r="J530" t="s">
        <v>54</v>
      </c>
      <c r="K530">
        <v>37</v>
      </c>
      <c r="L530" t="s">
        <v>33</v>
      </c>
      <c r="M530" t="s">
        <v>43</v>
      </c>
      <c r="N530" t="s">
        <v>35</v>
      </c>
      <c r="O530">
        <v>876000</v>
      </c>
      <c r="P530">
        <v>73000</v>
      </c>
      <c r="Q530">
        <v>37</v>
      </c>
      <c r="R530" t="s">
        <v>36</v>
      </c>
      <c r="S530">
        <v>4.2</v>
      </c>
      <c r="T530">
        <v>21</v>
      </c>
      <c r="U530">
        <v>15</v>
      </c>
      <c r="V530">
        <v>7</v>
      </c>
      <c r="W530" t="s">
        <v>37</v>
      </c>
      <c r="X530">
        <v>4.5</v>
      </c>
      <c r="Y530">
        <v>2</v>
      </c>
      <c r="Z530">
        <v>21.4</v>
      </c>
    </row>
    <row r="531" spans="1:26">
      <c r="A531" t="s">
        <v>628</v>
      </c>
      <c r="B531" s="21">
        <v>46018</v>
      </c>
      <c r="C531" s="21"/>
      <c r="D531" t="s">
        <v>27</v>
      </c>
      <c r="E531">
        <v>0</v>
      </c>
      <c r="F531" t="s">
        <v>67</v>
      </c>
      <c r="G531" t="s">
        <v>91</v>
      </c>
      <c r="H531" t="s">
        <v>68</v>
      </c>
      <c r="I531" t="s">
        <v>75</v>
      </c>
      <c r="J531" t="s">
        <v>32</v>
      </c>
      <c r="K531">
        <v>33</v>
      </c>
      <c r="L531" t="s">
        <v>42</v>
      </c>
      <c r="M531" t="s">
        <v>58</v>
      </c>
      <c r="N531" t="s">
        <v>35</v>
      </c>
      <c r="O531">
        <v>1159000</v>
      </c>
      <c r="P531">
        <v>96583.33</v>
      </c>
      <c r="Q531">
        <v>1</v>
      </c>
      <c r="R531" t="s">
        <v>36</v>
      </c>
      <c r="S531">
        <v>3.1</v>
      </c>
      <c r="T531">
        <v>55</v>
      </c>
      <c r="U531">
        <v>27</v>
      </c>
      <c r="V531">
        <v>5</v>
      </c>
      <c r="W531" t="s">
        <v>44</v>
      </c>
      <c r="X531">
        <v>4.5999999999999996</v>
      </c>
      <c r="Y531">
        <v>5</v>
      </c>
      <c r="Z531">
        <v>6.2</v>
      </c>
    </row>
    <row r="532" spans="1:26">
      <c r="A532" t="s">
        <v>629</v>
      </c>
      <c r="B532" s="21">
        <v>42930</v>
      </c>
      <c r="C532" s="21"/>
      <c r="D532" t="s">
        <v>27</v>
      </c>
      <c r="E532">
        <v>0</v>
      </c>
      <c r="F532" t="s">
        <v>73</v>
      </c>
      <c r="G532" t="s">
        <v>29</v>
      </c>
      <c r="H532" t="s">
        <v>118</v>
      </c>
      <c r="I532" t="s">
        <v>31</v>
      </c>
      <c r="J532" t="s">
        <v>32</v>
      </c>
      <c r="K532">
        <v>45</v>
      </c>
      <c r="L532" t="s">
        <v>42</v>
      </c>
      <c r="M532" t="s">
        <v>65</v>
      </c>
      <c r="N532" t="s">
        <v>35</v>
      </c>
      <c r="O532">
        <v>477000</v>
      </c>
      <c r="P532">
        <v>39750</v>
      </c>
      <c r="Q532">
        <v>101</v>
      </c>
      <c r="R532" t="s">
        <v>55</v>
      </c>
      <c r="S532">
        <v>3.4</v>
      </c>
      <c r="T532">
        <v>66</v>
      </c>
      <c r="U532">
        <v>17</v>
      </c>
      <c r="V532">
        <v>7</v>
      </c>
      <c r="W532" t="s">
        <v>44</v>
      </c>
      <c r="X532">
        <v>3.6</v>
      </c>
      <c r="Y532">
        <v>4</v>
      </c>
      <c r="Z532">
        <v>3.7</v>
      </c>
    </row>
    <row r="533" spans="1:26">
      <c r="A533" t="s">
        <v>630</v>
      </c>
      <c r="B533" s="21">
        <v>45077</v>
      </c>
      <c r="C533" s="21"/>
      <c r="D533" t="s">
        <v>27</v>
      </c>
      <c r="E533">
        <v>0</v>
      </c>
      <c r="F533" t="s">
        <v>73</v>
      </c>
      <c r="G533" t="s">
        <v>88</v>
      </c>
      <c r="H533" t="s">
        <v>74</v>
      </c>
      <c r="I533" t="s">
        <v>31</v>
      </c>
      <c r="J533" t="s">
        <v>32</v>
      </c>
      <c r="K533">
        <v>48</v>
      </c>
      <c r="L533" t="s">
        <v>33</v>
      </c>
      <c r="M533" t="s">
        <v>43</v>
      </c>
      <c r="N533" t="s">
        <v>35</v>
      </c>
      <c r="O533">
        <v>1002000</v>
      </c>
      <c r="P533">
        <v>83500</v>
      </c>
      <c r="Q533">
        <v>31</v>
      </c>
      <c r="R533" t="s">
        <v>36</v>
      </c>
      <c r="S533">
        <v>2.5</v>
      </c>
      <c r="T533">
        <v>66</v>
      </c>
      <c r="U533">
        <v>22</v>
      </c>
      <c r="V533">
        <v>3</v>
      </c>
      <c r="W533" t="s">
        <v>44</v>
      </c>
      <c r="X533">
        <v>4</v>
      </c>
      <c r="Y533">
        <v>1</v>
      </c>
      <c r="Z533">
        <v>6</v>
      </c>
    </row>
    <row r="534" spans="1:26">
      <c r="A534" t="s">
        <v>631</v>
      </c>
      <c r="B534" s="21">
        <v>42383</v>
      </c>
      <c r="C534" s="21"/>
      <c r="D534" t="s">
        <v>27</v>
      </c>
      <c r="E534">
        <v>0</v>
      </c>
      <c r="F534" t="s">
        <v>60</v>
      </c>
      <c r="G534" t="s">
        <v>88</v>
      </c>
      <c r="H534" t="s">
        <v>61</v>
      </c>
      <c r="I534" t="s">
        <v>62</v>
      </c>
      <c r="J534" t="s">
        <v>32</v>
      </c>
      <c r="K534">
        <v>35</v>
      </c>
      <c r="L534" t="s">
        <v>42</v>
      </c>
      <c r="M534" t="s">
        <v>40</v>
      </c>
      <c r="N534" t="s">
        <v>35</v>
      </c>
      <c r="O534">
        <v>1045000</v>
      </c>
      <c r="P534">
        <v>87083.33</v>
      </c>
      <c r="Q534">
        <v>119</v>
      </c>
      <c r="R534" t="s">
        <v>55</v>
      </c>
      <c r="S534">
        <v>3.9</v>
      </c>
      <c r="T534">
        <v>62</v>
      </c>
      <c r="U534">
        <v>2</v>
      </c>
      <c r="V534">
        <v>0</v>
      </c>
      <c r="W534" t="s">
        <v>44</v>
      </c>
      <c r="X534">
        <v>3</v>
      </c>
      <c r="Y534">
        <v>1</v>
      </c>
      <c r="Z534">
        <v>3.5</v>
      </c>
    </row>
    <row r="535" spans="1:26">
      <c r="A535" t="s">
        <v>632</v>
      </c>
      <c r="B535" s="21">
        <v>43832</v>
      </c>
      <c r="C535" s="21"/>
      <c r="D535" t="s">
        <v>27</v>
      </c>
      <c r="E535">
        <v>0</v>
      </c>
      <c r="F535" t="s">
        <v>60</v>
      </c>
      <c r="G535" t="s">
        <v>51</v>
      </c>
      <c r="H535" t="s">
        <v>109</v>
      </c>
      <c r="I535" t="s">
        <v>75</v>
      </c>
      <c r="J535" t="s">
        <v>32</v>
      </c>
      <c r="K535">
        <v>34</v>
      </c>
      <c r="L535" t="s">
        <v>33</v>
      </c>
      <c r="M535" t="s">
        <v>34</v>
      </c>
      <c r="N535" t="s">
        <v>35</v>
      </c>
      <c r="O535">
        <v>656000</v>
      </c>
      <c r="P535">
        <v>54666.67</v>
      </c>
      <c r="Q535">
        <v>71</v>
      </c>
      <c r="R535" t="s">
        <v>55</v>
      </c>
      <c r="S535">
        <v>3.3</v>
      </c>
      <c r="T535">
        <v>61</v>
      </c>
      <c r="U535">
        <v>15</v>
      </c>
      <c r="V535">
        <v>15</v>
      </c>
      <c r="W535" t="s">
        <v>37</v>
      </c>
      <c r="X535">
        <v>3</v>
      </c>
      <c r="Y535">
        <v>1</v>
      </c>
      <c r="Z535">
        <v>12.2</v>
      </c>
    </row>
    <row r="536" spans="1:26">
      <c r="A536" t="s">
        <v>633</v>
      </c>
      <c r="B536" s="21">
        <v>44831</v>
      </c>
      <c r="C536" s="21"/>
      <c r="D536" t="s">
        <v>27</v>
      </c>
      <c r="E536">
        <v>0</v>
      </c>
      <c r="F536" t="s">
        <v>60</v>
      </c>
      <c r="G536" t="s">
        <v>91</v>
      </c>
      <c r="H536" t="s">
        <v>109</v>
      </c>
      <c r="I536" t="s">
        <v>53</v>
      </c>
      <c r="J536" t="s">
        <v>54</v>
      </c>
      <c r="K536">
        <v>41</v>
      </c>
      <c r="L536" t="s">
        <v>42</v>
      </c>
      <c r="M536" t="s">
        <v>34</v>
      </c>
      <c r="N536" t="s">
        <v>35</v>
      </c>
      <c r="O536">
        <v>1378000</v>
      </c>
      <c r="P536">
        <v>114833.33</v>
      </c>
      <c r="Q536">
        <v>39</v>
      </c>
      <c r="R536" t="s">
        <v>55</v>
      </c>
      <c r="S536">
        <v>3.8</v>
      </c>
      <c r="T536">
        <v>43</v>
      </c>
      <c r="U536">
        <v>9</v>
      </c>
      <c r="V536">
        <v>9</v>
      </c>
      <c r="W536" t="s">
        <v>37</v>
      </c>
      <c r="X536">
        <v>4.8</v>
      </c>
      <c r="Y536">
        <v>2</v>
      </c>
      <c r="Z536">
        <v>12.8</v>
      </c>
    </row>
    <row r="537" spans="1:26">
      <c r="A537" t="s">
        <v>634</v>
      </c>
      <c r="B537" s="21">
        <v>44203</v>
      </c>
      <c r="C537" s="21"/>
      <c r="D537" t="s">
        <v>27</v>
      </c>
      <c r="E537">
        <v>0</v>
      </c>
      <c r="F537" t="s">
        <v>28</v>
      </c>
      <c r="G537" t="s">
        <v>29</v>
      </c>
      <c r="H537" t="s">
        <v>30</v>
      </c>
      <c r="I537" t="s">
        <v>53</v>
      </c>
      <c r="J537" t="s">
        <v>54</v>
      </c>
      <c r="K537">
        <v>26</v>
      </c>
      <c r="L537" t="s">
        <v>42</v>
      </c>
      <c r="M537" t="s">
        <v>58</v>
      </c>
      <c r="N537" t="s">
        <v>35</v>
      </c>
      <c r="O537">
        <v>412000</v>
      </c>
      <c r="P537">
        <v>34333.33</v>
      </c>
      <c r="Q537">
        <v>59</v>
      </c>
      <c r="R537" t="s">
        <v>116</v>
      </c>
      <c r="S537">
        <v>4.0999999999999996</v>
      </c>
      <c r="T537">
        <v>70</v>
      </c>
      <c r="U537">
        <v>14</v>
      </c>
      <c r="V537">
        <v>7</v>
      </c>
      <c r="W537" t="s">
        <v>37</v>
      </c>
      <c r="X537">
        <v>3.2</v>
      </c>
      <c r="Y537">
        <v>4</v>
      </c>
      <c r="Z537">
        <v>5.5</v>
      </c>
    </row>
    <row r="538" spans="1:26">
      <c r="A538" t="s">
        <v>635</v>
      </c>
      <c r="B538" s="21">
        <v>43232</v>
      </c>
      <c r="C538" s="21"/>
      <c r="D538" t="s">
        <v>27</v>
      </c>
      <c r="E538">
        <v>0</v>
      </c>
      <c r="F538" t="s">
        <v>67</v>
      </c>
      <c r="G538" t="s">
        <v>29</v>
      </c>
      <c r="H538" t="s">
        <v>95</v>
      </c>
      <c r="I538" t="s">
        <v>41</v>
      </c>
      <c r="J538" t="s">
        <v>54</v>
      </c>
      <c r="K538">
        <v>30</v>
      </c>
      <c r="L538" t="s">
        <v>130</v>
      </c>
      <c r="M538" t="s">
        <v>58</v>
      </c>
      <c r="N538" t="s">
        <v>35</v>
      </c>
      <c r="O538">
        <v>380000</v>
      </c>
      <c r="P538">
        <v>31666.67</v>
      </c>
      <c r="Q538">
        <v>91</v>
      </c>
      <c r="R538" t="s">
        <v>36</v>
      </c>
      <c r="S538">
        <v>3.9</v>
      </c>
      <c r="T538">
        <v>50</v>
      </c>
      <c r="U538">
        <v>17</v>
      </c>
      <c r="V538">
        <v>9</v>
      </c>
      <c r="W538" t="s">
        <v>37</v>
      </c>
      <c r="X538">
        <v>4.2</v>
      </c>
      <c r="Y538">
        <v>2</v>
      </c>
      <c r="Z538">
        <v>1</v>
      </c>
    </row>
    <row r="539" spans="1:26">
      <c r="A539" t="s">
        <v>636</v>
      </c>
      <c r="B539" s="21">
        <v>43529</v>
      </c>
      <c r="C539" s="21"/>
      <c r="D539" t="s">
        <v>27</v>
      </c>
      <c r="E539">
        <v>0</v>
      </c>
      <c r="F539" t="s">
        <v>60</v>
      </c>
      <c r="G539" t="s">
        <v>29</v>
      </c>
      <c r="H539" t="s">
        <v>112</v>
      </c>
      <c r="I539" t="s">
        <v>41</v>
      </c>
      <c r="J539" t="s">
        <v>54</v>
      </c>
      <c r="K539">
        <v>32</v>
      </c>
      <c r="L539" t="s">
        <v>42</v>
      </c>
      <c r="M539" t="s">
        <v>40</v>
      </c>
      <c r="N539" t="s">
        <v>35</v>
      </c>
      <c r="O539">
        <v>445000</v>
      </c>
      <c r="P539">
        <v>37083.33</v>
      </c>
      <c r="Q539">
        <v>81</v>
      </c>
      <c r="R539" t="s">
        <v>36</v>
      </c>
      <c r="S539">
        <v>4</v>
      </c>
      <c r="T539">
        <v>1</v>
      </c>
      <c r="U539">
        <v>12</v>
      </c>
      <c r="V539">
        <v>2</v>
      </c>
      <c r="W539" t="s">
        <v>37</v>
      </c>
      <c r="X539">
        <v>3.9</v>
      </c>
      <c r="Y539">
        <v>1</v>
      </c>
      <c r="Z539">
        <v>1</v>
      </c>
    </row>
    <row r="540" spans="1:26">
      <c r="A540" t="s">
        <v>637</v>
      </c>
      <c r="B540" s="21">
        <v>42991</v>
      </c>
      <c r="C540" s="21"/>
      <c r="D540" t="s">
        <v>27</v>
      </c>
      <c r="E540">
        <v>0</v>
      </c>
      <c r="F540" t="s">
        <v>39</v>
      </c>
      <c r="G540" t="s">
        <v>51</v>
      </c>
      <c r="H540" t="s">
        <v>40</v>
      </c>
      <c r="I540" t="s">
        <v>31</v>
      </c>
      <c r="J540" t="s">
        <v>32</v>
      </c>
      <c r="K540">
        <v>47</v>
      </c>
      <c r="L540" t="s">
        <v>33</v>
      </c>
      <c r="M540" t="s">
        <v>34</v>
      </c>
      <c r="N540" t="s">
        <v>35</v>
      </c>
      <c r="O540">
        <v>780000</v>
      </c>
      <c r="P540">
        <v>65000</v>
      </c>
      <c r="Q540">
        <v>99</v>
      </c>
      <c r="R540" t="s">
        <v>55</v>
      </c>
      <c r="S540">
        <v>4.0999999999999996</v>
      </c>
      <c r="T540">
        <v>52</v>
      </c>
      <c r="U540">
        <v>0</v>
      </c>
      <c r="V540">
        <v>9</v>
      </c>
      <c r="W540" t="s">
        <v>37</v>
      </c>
      <c r="X540">
        <v>2.7</v>
      </c>
      <c r="Y540">
        <v>2</v>
      </c>
      <c r="Z540">
        <v>13.5</v>
      </c>
    </row>
    <row r="541" spans="1:26">
      <c r="A541" t="s">
        <v>638</v>
      </c>
      <c r="B541" s="21">
        <v>45248</v>
      </c>
      <c r="C541" s="21"/>
      <c r="D541" t="s">
        <v>27</v>
      </c>
      <c r="E541">
        <v>0</v>
      </c>
      <c r="F541" t="s">
        <v>28</v>
      </c>
      <c r="G541" t="s">
        <v>51</v>
      </c>
      <c r="H541" t="s">
        <v>30</v>
      </c>
      <c r="I541" t="s">
        <v>53</v>
      </c>
      <c r="J541" t="s">
        <v>54</v>
      </c>
      <c r="K541">
        <v>34</v>
      </c>
      <c r="L541" t="s">
        <v>33</v>
      </c>
      <c r="M541" t="s">
        <v>43</v>
      </c>
      <c r="N541" t="s">
        <v>35</v>
      </c>
      <c r="O541">
        <v>628000</v>
      </c>
      <c r="P541">
        <v>52333.33</v>
      </c>
      <c r="Q541">
        <v>25</v>
      </c>
      <c r="R541" t="s">
        <v>36</v>
      </c>
      <c r="S541">
        <v>3.4</v>
      </c>
      <c r="T541">
        <v>80</v>
      </c>
      <c r="U541">
        <v>21</v>
      </c>
      <c r="V541">
        <v>5</v>
      </c>
      <c r="W541" t="s">
        <v>37</v>
      </c>
      <c r="X541">
        <v>3.4</v>
      </c>
      <c r="Y541">
        <v>1</v>
      </c>
      <c r="Z541">
        <v>8.1999999999999993</v>
      </c>
    </row>
    <row r="542" spans="1:26">
      <c r="A542" t="s">
        <v>639</v>
      </c>
      <c r="B542" s="21">
        <v>43063</v>
      </c>
      <c r="C542" s="21">
        <v>45174</v>
      </c>
      <c r="D542" t="s">
        <v>57</v>
      </c>
      <c r="E542">
        <v>1</v>
      </c>
      <c r="F542" t="s">
        <v>50</v>
      </c>
      <c r="G542" t="s">
        <v>29</v>
      </c>
      <c r="H542" t="s">
        <v>89</v>
      </c>
      <c r="I542" t="s">
        <v>31</v>
      </c>
      <c r="J542" t="s">
        <v>54</v>
      </c>
      <c r="K542">
        <v>38</v>
      </c>
      <c r="L542" t="s">
        <v>33</v>
      </c>
      <c r="M542" t="s">
        <v>34</v>
      </c>
      <c r="N542" t="s">
        <v>35</v>
      </c>
      <c r="O542">
        <v>394000</v>
      </c>
      <c r="P542">
        <v>32833.33</v>
      </c>
      <c r="Q542">
        <v>70</v>
      </c>
      <c r="R542" t="s">
        <v>55</v>
      </c>
      <c r="S542">
        <v>5</v>
      </c>
      <c r="T542">
        <v>52</v>
      </c>
      <c r="U542">
        <v>9</v>
      </c>
      <c r="V542">
        <v>4</v>
      </c>
      <c r="W542" t="s">
        <v>37</v>
      </c>
      <c r="X542">
        <v>2.4</v>
      </c>
      <c r="Y542">
        <v>1</v>
      </c>
      <c r="Z542">
        <v>7.3</v>
      </c>
    </row>
    <row r="543" spans="1:26">
      <c r="A543" t="s">
        <v>640</v>
      </c>
      <c r="B543" s="21">
        <v>43226</v>
      </c>
      <c r="C543" s="21"/>
      <c r="D543" t="s">
        <v>27</v>
      </c>
      <c r="E543">
        <v>0</v>
      </c>
      <c r="F543" t="s">
        <v>60</v>
      </c>
      <c r="G543" t="s">
        <v>70</v>
      </c>
      <c r="H543" t="s">
        <v>112</v>
      </c>
      <c r="I543" t="s">
        <v>53</v>
      </c>
      <c r="J543" t="s">
        <v>32</v>
      </c>
      <c r="K543">
        <v>37</v>
      </c>
      <c r="L543" t="s">
        <v>33</v>
      </c>
      <c r="M543" t="s">
        <v>78</v>
      </c>
      <c r="N543" t="s">
        <v>35</v>
      </c>
      <c r="O543">
        <v>462000</v>
      </c>
      <c r="P543">
        <v>38500</v>
      </c>
      <c r="Q543">
        <v>91</v>
      </c>
      <c r="R543" t="s">
        <v>36</v>
      </c>
      <c r="S543">
        <v>2.1</v>
      </c>
      <c r="T543">
        <v>15</v>
      </c>
      <c r="U543">
        <v>5</v>
      </c>
      <c r="V543">
        <v>4</v>
      </c>
      <c r="W543" t="s">
        <v>37</v>
      </c>
      <c r="X543">
        <v>3.5</v>
      </c>
      <c r="Y543">
        <v>5</v>
      </c>
      <c r="Z543">
        <v>2</v>
      </c>
    </row>
    <row r="544" spans="1:26">
      <c r="A544" t="s">
        <v>641</v>
      </c>
      <c r="B544" s="21">
        <v>42835</v>
      </c>
      <c r="C544" s="21"/>
      <c r="D544" t="s">
        <v>27</v>
      </c>
      <c r="E544">
        <v>0</v>
      </c>
      <c r="F544" t="s">
        <v>67</v>
      </c>
      <c r="G544" t="s">
        <v>51</v>
      </c>
      <c r="H544" t="s">
        <v>77</v>
      </c>
      <c r="I544" t="s">
        <v>48</v>
      </c>
      <c r="J544" t="s">
        <v>54</v>
      </c>
      <c r="K544">
        <v>47</v>
      </c>
      <c r="L544" t="s">
        <v>42</v>
      </c>
      <c r="M544" t="s">
        <v>43</v>
      </c>
      <c r="N544" t="s">
        <v>35</v>
      </c>
      <c r="O544">
        <v>1026000</v>
      </c>
      <c r="P544">
        <v>85500</v>
      </c>
      <c r="Q544">
        <v>104</v>
      </c>
      <c r="R544" t="s">
        <v>55</v>
      </c>
      <c r="S544">
        <v>3.7</v>
      </c>
      <c r="T544">
        <v>37</v>
      </c>
      <c r="U544">
        <v>18</v>
      </c>
      <c r="V544">
        <v>11</v>
      </c>
      <c r="W544" t="s">
        <v>37</v>
      </c>
      <c r="X544">
        <v>3</v>
      </c>
      <c r="Y544">
        <v>2</v>
      </c>
      <c r="Z544">
        <v>7.2</v>
      </c>
    </row>
    <row r="545" spans="1:26">
      <c r="A545" t="s">
        <v>642</v>
      </c>
      <c r="B545" s="21">
        <v>44884</v>
      </c>
      <c r="C545" s="21"/>
      <c r="D545" t="s">
        <v>27</v>
      </c>
      <c r="E545">
        <v>0</v>
      </c>
      <c r="F545" t="s">
        <v>28</v>
      </c>
      <c r="G545" t="s">
        <v>70</v>
      </c>
      <c r="H545" t="s">
        <v>121</v>
      </c>
      <c r="I545" t="s">
        <v>41</v>
      </c>
      <c r="J545" t="s">
        <v>54</v>
      </c>
      <c r="K545">
        <v>43</v>
      </c>
      <c r="L545" t="s">
        <v>33</v>
      </c>
      <c r="M545" t="s">
        <v>34</v>
      </c>
      <c r="N545" t="s">
        <v>93</v>
      </c>
      <c r="O545">
        <v>638000</v>
      </c>
      <c r="P545">
        <v>53166.67</v>
      </c>
      <c r="Q545">
        <v>37</v>
      </c>
      <c r="R545" t="s">
        <v>36</v>
      </c>
      <c r="S545">
        <v>3.3</v>
      </c>
      <c r="T545">
        <v>0</v>
      </c>
      <c r="U545">
        <v>4</v>
      </c>
      <c r="V545">
        <v>2</v>
      </c>
      <c r="W545" t="s">
        <v>44</v>
      </c>
      <c r="X545">
        <v>3.7</v>
      </c>
      <c r="Y545">
        <v>1</v>
      </c>
      <c r="Z545">
        <v>1</v>
      </c>
    </row>
    <row r="546" spans="1:26">
      <c r="A546" t="s">
        <v>643</v>
      </c>
      <c r="B546" s="21">
        <v>45212</v>
      </c>
      <c r="C546" s="21"/>
      <c r="D546" t="s">
        <v>27</v>
      </c>
      <c r="E546">
        <v>0</v>
      </c>
      <c r="F546" t="s">
        <v>73</v>
      </c>
      <c r="G546" t="s">
        <v>70</v>
      </c>
      <c r="H546" t="s">
        <v>126</v>
      </c>
      <c r="I546" t="s">
        <v>75</v>
      </c>
      <c r="J546" t="s">
        <v>32</v>
      </c>
      <c r="K546">
        <v>43</v>
      </c>
      <c r="L546" t="s">
        <v>42</v>
      </c>
      <c r="M546" t="s">
        <v>43</v>
      </c>
      <c r="N546" t="s">
        <v>35</v>
      </c>
      <c r="O546">
        <v>682000</v>
      </c>
      <c r="P546">
        <v>56833.33</v>
      </c>
      <c r="Q546">
        <v>26</v>
      </c>
      <c r="R546" t="s">
        <v>103</v>
      </c>
      <c r="S546">
        <v>4</v>
      </c>
      <c r="T546">
        <v>79</v>
      </c>
      <c r="U546">
        <v>21</v>
      </c>
      <c r="V546">
        <v>8</v>
      </c>
      <c r="W546" t="s">
        <v>37</v>
      </c>
      <c r="X546">
        <v>2.7</v>
      </c>
      <c r="Y546">
        <v>2</v>
      </c>
      <c r="Z546">
        <v>1</v>
      </c>
    </row>
    <row r="547" spans="1:26">
      <c r="A547" t="s">
        <v>644</v>
      </c>
      <c r="B547" s="21">
        <v>44668</v>
      </c>
      <c r="C547" s="21"/>
      <c r="D547" t="s">
        <v>27</v>
      </c>
      <c r="E547">
        <v>0</v>
      </c>
      <c r="F547" t="s">
        <v>39</v>
      </c>
      <c r="G547" t="s">
        <v>91</v>
      </c>
      <c r="H547" t="s">
        <v>40</v>
      </c>
      <c r="I547" t="s">
        <v>48</v>
      </c>
      <c r="J547" t="s">
        <v>32</v>
      </c>
      <c r="K547">
        <v>36</v>
      </c>
      <c r="L547" t="s">
        <v>33</v>
      </c>
      <c r="M547" t="s">
        <v>34</v>
      </c>
      <c r="N547" t="s">
        <v>35</v>
      </c>
      <c r="O547">
        <v>1539000</v>
      </c>
      <c r="P547">
        <v>128250</v>
      </c>
      <c r="Q547">
        <v>44</v>
      </c>
      <c r="R547" t="s">
        <v>36</v>
      </c>
      <c r="S547">
        <v>3.2</v>
      </c>
      <c r="T547">
        <v>78</v>
      </c>
      <c r="U547">
        <v>16</v>
      </c>
      <c r="V547">
        <v>6</v>
      </c>
      <c r="W547" t="s">
        <v>37</v>
      </c>
      <c r="X547">
        <v>3.7</v>
      </c>
      <c r="Y547">
        <v>4</v>
      </c>
      <c r="Z547">
        <v>11.8</v>
      </c>
    </row>
    <row r="548" spans="1:26">
      <c r="A548" t="s">
        <v>645</v>
      </c>
      <c r="B548" s="21">
        <v>43058</v>
      </c>
      <c r="C548" s="21"/>
      <c r="D548" t="s">
        <v>27</v>
      </c>
      <c r="E548">
        <v>0</v>
      </c>
      <c r="F548" t="s">
        <v>98</v>
      </c>
      <c r="G548" t="s">
        <v>51</v>
      </c>
      <c r="H548" t="s">
        <v>352</v>
      </c>
      <c r="I548" t="s">
        <v>53</v>
      </c>
      <c r="J548" t="s">
        <v>32</v>
      </c>
      <c r="K548">
        <v>45</v>
      </c>
      <c r="L548" t="s">
        <v>33</v>
      </c>
      <c r="M548" t="s">
        <v>43</v>
      </c>
      <c r="N548" t="s">
        <v>35</v>
      </c>
      <c r="O548">
        <v>719000</v>
      </c>
      <c r="P548">
        <v>59916.67</v>
      </c>
      <c r="Q548">
        <v>97</v>
      </c>
      <c r="R548" t="s">
        <v>36</v>
      </c>
      <c r="S548">
        <v>3.5</v>
      </c>
      <c r="T548">
        <v>71</v>
      </c>
      <c r="U548">
        <v>15</v>
      </c>
      <c r="V548">
        <v>14</v>
      </c>
      <c r="W548" t="s">
        <v>37</v>
      </c>
      <c r="X548">
        <v>3.7</v>
      </c>
      <c r="Y548">
        <v>0</v>
      </c>
      <c r="Z548">
        <v>9</v>
      </c>
    </row>
    <row r="549" spans="1:26">
      <c r="A549" t="s">
        <v>646</v>
      </c>
      <c r="B549" s="21">
        <v>45262</v>
      </c>
      <c r="C549" s="21"/>
      <c r="D549" t="s">
        <v>27</v>
      </c>
      <c r="E549">
        <v>0</v>
      </c>
      <c r="F549" t="s">
        <v>73</v>
      </c>
      <c r="G549" t="s">
        <v>88</v>
      </c>
      <c r="H549" t="s">
        <v>102</v>
      </c>
      <c r="I549" t="s">
        <v>53</v>
      </c>
      <c r="J549" t="s">
        <v>32</v>
      </c>
      <c r="K549">
        <v>37</v>
      </c>
      <c r="L549" t="s">
        <v>33</v>
      </c>
      <c r="M549" t="s">
        <v>65</v>
      </c>
      <c r="N549" t="s">
        <v>194</v>
      </c>
      <c r="O549">
        <v>1210000</v>
      </c>
      <c r="P549">
        <v>100833.33</v>
      </c>
      <c r="Q549">
        <v>24</v>
      </c>
      <c r="R549" t="s">
        <v>55</v>
      </c>
      <c r="S549">
        <v>3.6</v>
      </c>
      <c r="T549">
        <v>44</v>
      </c>
      <c r="U549">
        <v>2</v>
      </c>
      <c r="V549">
        <v>4</v>
      </c>
      <c r="W549" t="s">
        <v>37</v>
      </c>
      <c r="X549">
        <v>5</v>
      </c>
      <c r="Y549">
        <v>2</v>
      </c>
      <c r="Z549">
        <v>5</v>
      </c>
    </row>
    <row r="550" spans="1:26">
      <c r="A550" t="s">
        <v>647</v>
      </c>
      <c r="B550" s="21">
        <v>45873</v>
      </c>
      <c r="C550" s="21"/>
      <c r="D550" t="s">
        <v>27</v>
      </c>
      <c r="E550">
        <v>0</v>
      </c>
      <c r="F550" t="s">
        <v>67</v>
      </c>
      <c r="G550" t="s">
        <v>91</v>
      </c>
      <c r="H550" t="s">
        <v>95</v>
      </c>
      <c r="I550" t="s">
        <v>53</v>
      </c>
      <c r="J550" t="s">
        <v>54</v>
      </c>
      <c r="K550">
        <v>35</v>
      </c>
      <c r="L550" t="s">
        <v>33</v>
      </c>
      <c r="M550" t="s">
        <v>43</v>
      </c>
      <c r="N550" t="s">
        <v>35</v>
      </c>
      <c r="O550">
        <v>1659000</v>
      </c>
      <c r="P550">
        <v>138250</v>
      </c>
      <c r="Q550">
        <v>4</v>
      </c>
      <c r="R550" t="s">
        <v>116</v>
      </c>
      <c r="S550">
        <v>3.8</v>
      </c>
      <c r="T550">
        <v>47</v>
      </c>
      <c r="U550">
        <v>11</v>
      </c>
      <c r="V550">
        <v>2</v>
      </c>
      <c r="W550" t="s">
        <v>37</v>
      </c>
      <c r="X550">
        <v>4.3</v>
      </c>
      <c r="Y550">
        <v>1</v>
      </c>
      <c r="Z550">
        <v>6.8</v>
      </c>
    </row>
    <row r="551" spans="1:26">
      <c r="A551" t="s">
        <v>648</v>
      </c>
      <c r="B551" s="21">
        <v>42423</v>
      </c>
      <c r="C551" s="21"/>
      <c r="D551" t="s">
        <v>27</v>
      </c>
      <c r="E551">
        <v>0</v>
      </c>
      <c r="F551" t="s">
        <v>50</v>
      </c>
      <c r="G551" t="s">
        <v>51</v>
      </c>
      <c r="H551" t="s">
        <v>89</v>
      </c>
      <c r="I551" t="s">
        <v>48</v>
      </c>
      <c r="J551" t="s">
        <v>32</v>
      </c>
      <c r="K551">
        <v>38</v>
      </c>
      <c r="L551" t="s">
        <v>33</v>
      </c>
      <c r="M551" t="s">
        <v>34</v>
      </c>
      <c r="N551" t="s">
        <v>35</v>
      </c>
      <c r="O551">
        <v>917000</v>
      </c>
      <c r="P551">
        <v>76416.67</v>
      </c>
      <c r="Q551">
        <v>118</v>
      </c>
      <c r="R551" t="s">
        <v>55</v>
      </c>
      <c r="S551">
        <v>3.4</v>
      </c>
      <c r="T551">
        <v>69</v>
      </c>
      <c r="U551">
        <v>10</v>
      </c>
      <c r="V551">
        <v>9</v>
      </c>
      <c r="W551" t="s">
        <v>44</v>
      </c>
      <c r="X551">
        <v>3.7</v>
      </c>
      <c r="Y551">
        <v>4</v>
      </c>
      <c r="Z551">
        <v>17.399999999999999</v>
      </c>
    </row>
    <row r="552" spans="1:26">
      <c r="A552" t="s">
        <v>649</v>
      </c>
      <c r="B552" s="21">
        <v>42488</v>
      </c>
      <c r="C552" s="21"/>
      <c r="D552" t="s">
        <v>27</v>
      </c>
      <c r="E552">
        <v>0</v>
      </c>
      <c r="F552" t="s">
        <v>60</v>
      </c>
      <c r="G552" t="s">
        <v>29</v>
      </c>
      <c r="H552" t="s">
        <v>112</v>
      </c>
      <c r="I552" t="s">
        <v>48</v>
      </c>
      <c r="J552" t="s">
        <v>54</v>
      </c>
      <c r="K552">
        <v>25</v>
      </c>
      <c r="L552" t="s">
        <v>42</v>
      </c>
      <c r="M552" t="s">
        <v>43</v>
      </c>
      <c r="N552" t="s">
        <v>35</v>
      </c>
      <c r="O552">
        <v>267000</v>
      </c>
      <c r="P552">
        <v>22250</v>
      </c>
      <c r="Q552">
        <v>116</v>
      </c>
      <c r="R552" t="s">
        <v>36</v>
      </c>
      <c r="S552">
        <v>2.7</v>
      </c>
      <c r="T552">
        <v>42</v>
      </c>
      <c r="U552">
        <v>10</v>
      </c>
      <c r="V552">
        <v>2</v>
      </c>
      <c r="W552" t="s">
        <v>37</v>
      </c>
      <c r="X552">
        <v>3.9</v>
      </c>
      <c r="Y552">
        <v>3</v>
      </c>
      <c r="Z552">
        <v>6.4</v>
      </c>
    </row>
    <row r="553" spans="1:26">
      <c r="A553" t="s">
        <v>650</v>
      </c>
      <c r="B553" s="21">
        <v>43666</v>
      </c>
      <c r="C553" s="21"/>
      <c r="D553" t="s">
        <v>27</v>
      </c>
      <c r="E553">
        <v>0</v>
      </c>
      <c r="F553" t="s">
        <v>60</v>
      </c>
      <c r="G553" t="s">
        <v>88</v>
      </c>
      <c r="H553" t="s">
        <v>61</v>
      </c>
      <c r="I553" t="s">
        <v>62</v>
      </c>
      <c r="J553" t="s">
        <v>32</v>
      </c>
      <c r="K553">
        <v>46</v>
      </c>
      <c r="L553" t="s">
        <v>33</v>
      </c>
      <c r="M553" t="s">
        <v>34</v>
      </c>
      <c r="N553" t="s">
        <v>35</v>
      </c>
      <c r="O553">
        <v>950000</v>
      </c>
      <c r="P553">
        <v>79166.67</v>
      </c>
      <c r="Q553">
        <v>77</v>
      </c>
      <c r="R553" t="s">
        <v>103</v>
      </c>
      <c r="S553">
        <v>3.2</v>
      </c>
      <c r="T553">
        <v>25</v>
      </c>
      <c r="U553">
        <v>24</v>
      </c>
      <c r="V553">
        <v>4</v>
      </c>
      <c r="W553" t="s">
        <v>37</v>
      </c>
      <c r="X553">
        <v>3.3</v>
      </c>
      <c r="Y553">
        <v>5</v>
      </c>
      <c r="Z553">
        <v>3.7</v>
      </c>
    </row>
    <row r="554" spans="1:26">
      <c r="A554" t="s">
        <v>651</v>
      </c>
      <c r="B554" s="21">
        <v>44972</v>
      </c>
      <c r="C554" s="21"/>
      <c r="D554" t="s">
        <v>27</v>
      </c>
      <c r="E554">
        <v>0</v>
      </c>
      <c r="F554" t="s">
        <v>98</v>
      </c>
      <c r="G554" t="s">
        <v>51</v>
      </c>
      <c r="H554" t="s">
        <v>99</v>
      </c>
      <c r="I554" t="s">
        <v>62</v>
      </c>
      <c r="J554" t="s">
        <v>32</v>
      </c>
      <c r="K554">
        <v>39</v>
      </c>
      <c r="L554" t="s">
        <v>33</v>
      </c>
      <c r="M554" t="s">
        <v>43</v>
      </c>
      <c r="N554" t="s">
        <v>93</v>
      </c>
      <c r="O554">
        <v>685000</v>
      </c>
      <c r="P554">
        <v>57083.33</v>
      </c>
      <c r="Q554">
        <v>34</v>
      </c>
      <c r="R554" t="s">
        <v>36</v>
      </c>
      <c r="S554">
        <v>2</v>
      </c>
      <c r="T554">
        <v>21</v>
      </c>
      <c r="U554">
        <v>18</v>
      </c>
      <c r="V554">
        <v>5</v>
      </c>
      <c r="W554" t="s">
        <v>37</v>
      </c>
      <c r="X554">
        <v>2.7</v>
      </c>
      <c r="Y554">
        <v>4</v>
      </c>
      <c r="Z554">
        <v>5.2</v>
      </c>
    </row>
    <row r="555" spans="1:26">
      <c r="A555" t="s">
        <v>652</v>
      </c>
      <c r="B555" s="21">
        <v>43904</v>
      </c>
      <c r="C555" s="21"/>
      <c r="D555" t="s">
        <v>27</v>
      </c>
      <c r="E555">
        <v>0</v>
      </c>
      <c r="F555" t="s">
        <v>39</v>
      </c>
      <c r="G555" t="s">
        <v>70</v>
      </c>
      <c r="H555" t="s">
        <v>204</v>
      </c>
      <c r="I555" t="s">
        <v>75</v>
      </c>
      <c r="J555" t="s">
        <v>54</v>
      </c>
      <c r="K555">
        <v>23</v>
      </c>
      <c r="L555" t="s">
        <v>33</v>
      </c>
      <c r="M555" t="s">
        <v>34</v>
      </c>
      <c r="N555" t="s">
        <v>35</v>
      </c>
      <c r="O555">
        <v>352000</v>
      </c>
      <c r="P555">
        <v>29333.33</v>
      </c>
      <c r="Q555">
        <v>69</v>
      </c>
      <c r="R555" t="s">
        <v>116</v>
      </c>
      <c r="S555">
        <v>3.9</v>
      </c>
      <c r="T555">
        <v>24</v>
      </c>
      <c r="U555">
        <v>18</v>
      </c>
      <c r="V555">
        <v>3</v>
      </c>
      <c r="W555" t="s">
        <v>37</v>
      </c>
      <c r="X555">
        <v>4.5</v>
      </c>
      <c r="Y555">
        <v>5</v>
      </c>
      <c r="Z555">
        <v>1.5</v>
      </c>
    </row>
    <row r="556" spans="1:26">
      <c r="A556" t="s">
        <v>653</v>
      </c>
      <c r="B556" s="21">
        <v>43578</v>
      </c>
      <c r="C556" s="21"/>
      <c r="D556" t="s">
        <v>27</v>
      </c>
      <c r="E556">
        <v>0</v>
      </c>
      <c r="F556" t="s">
        <v>46</v>
      </c>
      <c r="G556" t="s">
        <v>70</v>
      </c>
      <c r="H556" t="s">
        <v>71</v>
      </c>
      <c r="I556" t="s">
        <v>62</v>
      </c>
      <c r="J556" t="s">
        <v>32</v>
      </c>
      <c r="K556">
        <v>36</v>
      </c>
      <c r="L556" t="s">
        <v>33</v>
      </c>
      <c r="M556" t="s">
        <v>78</v>
      </c>
      <c r="N556" t="s">
        <v>35</v>
      </c>
      <c r="O556">
        <v>446000</v>
      </c>
      <c r="P556">
        <v>37166.67</v>
      </c>
      <c r="Q556">
        <v>80</v>
      </c>
      <c r="R556" t="s">
        <v>55</v>
      </c>
      <c r="S556">
        <v>4.4000000000000004</v>
      </c>
      <c r="T556">
        <v>36</v>
      </c>
      <c r="U556">
        <v>18</v>
      </c>
      <c r="V556">
        <v>7</v>
      </c>
      <c r="W556" t="s">
        <v>37</v>
      </c>
      <c r="X556">
        <v>2.4</v>
      </c>
      <c r="Y556">
        <v>5</v>
      </c>
      <c r="Z556">
        <v>7.4</v>
      </c>
    </row>
    <row r="557" spans="1:26">
      <c r="A557" t="s">
        <v>654</v>
      </c>
      <c r="B557" s="21">
        <v>44433</v>
      </c>
      <c r="C557" s="21"/>
      <c r="D557" t="s">
        <v>27</v>
      </c>
      <c r="E557">
        <v>0</v>
      </c>
      <c r="F557" t="s">
        <v>46</v>
      </c>
      <c r="G557" t="s">
        <v>88</v>
      </c>
      <c r="H557" t="s">
        <v>162</v>
      </c>
      <c r="I557" t="s">
        <v>53</v>
      </c>
      <c r="J557" t="s">
        <v>32</v>
      </c>
      <c r="K557">
        <v>32</v>
      </c>
      <c r="L557" t="s">
        <v>33</v>
      </c>
      <c r="M557" t="s">
        <v>34</v>
      </c>
      <c r="N557" t="s">
        <v>35</v>
      </c>
      <c r="O557">
        <v>897000</v>
      </c>
      <c r="P557">
        <v>74750</v>
      </c>
      <c r="Q557">
        <v>52</v>
      </c>
      <c r="R557" t="s">
        <v>36</v>
      </c>
      <c r="S557">
        <v>3.1</v>
      </c>
      <c r="T557">
        <v>4</v>
      </c>
      <c r="U557">
        <v>10</v>
      </c>
      <c r="V557">
        <v>9</v>
      </c>
      <c r="W557" t="s">
        <v>44</v>
      </c>
      <c r="X557">
        <v>3.6</v>
      </c>
      <c r="Y557">
        <v>4</v>
      </c>
      <c r="Z557">
        <v>22.5</v>
      </c>
    </row>
    <row r="558" spans="1:26">
      <c r="A558" t="s">
        <v>655</v>
      </c>
      <c r="B558" s="21">
        <v>43839</v>
      </c>
      <c r="C558" s="21"/>
      <c r="D558" t="s">
        <v>27</v>
      </c>
      <c r="E558">
        <v>0</v>
      </c>
      <c r="F558" t="s">
        <v>73</v>
      </c>
      <c r="G558" t="s">
        <v>29</v>
      </c>
      <c r="H558" t="s">
        <v>102</v>
      </c>
      <c r="I558" t="s">
        <v>48</v>
      </c>
      <c r="J558" t="s">
        <v>54</v>
      </c>
      <c r="K558">
        <v>34</v>
      </c>
      <c r="L558" t="s">
        <v>33</v>
      </c>
      <c r="M558" t="s">
        <v>34</v>
      </c>
      <c r="N558" t="s">
        <v>35</v>
      </c>
      <c r="O558">
        <v>441000</v>
      </c>
      <c r="P558">
        <v>36750</v>
      </c>
      <c r="Q558">
        <v>71</v>
      </c>
      <c r="R558" t="s">
        <v>36</v>
      </c>
      <c r="S558">
        <v>3.4</v>
      </c>
      <c r="T558">
        <v>31</v>
      </c>
      <c r="U558">
        <v>5</v>
      </c>
      <c r="V558">
        <v>6</v>
      </c>
      <c r="W558" t="s">
        <v>37</v>
      </c>
      <c r="X558">
        <v>4.2</v>
      </c>
      <c r="Y558">
        <v>3</v>
      </c>
      <c r="Z558">
        <v>6.3</v>
      </c>
    </row>
    <row r="559" spans="1:26">
      <c r="A559" t="s">
        <v>656</v>
      </c>
      <c r="B559" s="21">
        <v>43753</v>
      </c>
      <c r="C559" s="21"/>
      <c r="D559" t="s">
        <v>27</v>
      </c>
      <c r="E559">
        <v>0</v>
      </c>
      <c r="F559" t="s">
        <v>46</v>
      </c>
      <c r="G559" t="s">
        <v>70</v>
      </c>
      <c r="H559" t="s">
        <v>71</v>
      </c>
      <c r="I559" t="s">
        <v>48</v>
      </c>
      <c r="J559" t="s">
        <v>54</v>
      </c>
      <c r="K559">
        <v>29</v>
      </c>
      <c r="L559" t="s">
        <v>33</v>
      </c>
      <c r="M559" t="s">
        <v>58</v>
      </c>
      <c r="N559" t="s">
        <v>194</v>
      </c>
      <c r="O559">
        <v>583000</v>
      </c>
      <c r="P559">
        <v>48583.33</v>
      </c>
      <c r="Q559">
        <v>74</v>
      </c>
      <c r="R559" t="s">
        <v>116</v>
      </c>
      <c r="S559">
        <v>3.6</v>
      </c>
      <c r="T559">
        <v>67</v>
      </c>
      <c r="U559">
        <v>29</v>
      </c>
      <c r="V559">
        <v>7</v>
      </c>
      <c r="W559" t="s">
        <v>37</v>
      </c>
      <c r="X559">
        <v>4</v>
      </c>
      <c r="Y559">
        <v>3</v>
      </c>
      <c r="Z559">
        <v>7.7</v>
      </c>
    </row>
    <row r="560" spans="1:26">
      <c r="A560" t="s">
        <v>657</v>
      </c>
      <c r="B560" s="21">
        <v>45449</v>
      </c>
      <c r="C560" s="21"/>
      <c r="D560" t="s">
        <v>27</v>
      </c>
      <c r="E560">
        <v>0</v>
      </c>
      <c r="F560" t="s">
        <v>46</v>
      </c>
      <c r="G560" t="s">
        <v>105</v>
      </c>
      <c r="H560" t="s">
        <v>162</v>
      </c>
      <c r="I560" t="s">
        <v>62</v>
      </c>
      <c r="J560" t="s">
        <v>32</v>
      </c>
      <c r="K560">
        <v>55</v>
      </c>
      <c r="L560" t="s">
        <v>33</v>
      </c>
      <c r="M560" t="s">
        <v>65</v>
      </c>
      <c r="N560" t="s">
        <v>35</v>
      </c>
      <c r="O560">
        <v>1664000</v>
      </c>
      <c r="P560">
        <v>138666.67000000001</v>
      </c>
      <c r="Q560">
        <v>18</v>
      </c>
      <c r="R560" t="s">
        <v>55</v>
      </c>
      <c r="S560">
        <v>4.4000000000000004</v>
      </c>
      <c r="T560">
        <v>26</v>
      </c>
      <c r="U560">
        <v>12</v>
      </c>
      <c r="V560">
        <v>3</v>
      </c>
      <c r="W560" t="s">
        <v>44</v>
      </c>
      <c r="X560">
        <v>4.0999999999999996</v>
      </c>
      <c r="Y560">
        <v>3</v>
      </c>
      <c r="Z560">
        <v>13.3</v>
      </c>
    </row>
    <row r="561" spans="1:26">
      <c r="A561" t="s">
        <v>658</v>
      </c>
      <c r="B561" s="21">
        <v>43001</v>
      </c>
      <c r="C561" s="21"/>
      <c r="D561" t="s">
        <v>27</v>
      </c>
      <c r="E561">
        <v>0</v>
      </c>
      <c r="F561" t="s">
        <v>73</v>
      </c>
      <c r="G561" t="s">
        <v>88</v>
      </c>
      <c r="H561" t="s">
        <v>74</v>
      </c>
      <c r="I561" t="s">
        <v>41</v>
      </c>
      <c r="J561" t="s">
        <v>54</v>
      </c>
      <c r="K561">
        <v>37</v>
      </c>
      <c r="L561" t="s">
        <v>33</v>
      </c>
      <c r="M561" t="s">
        <v>58</v>
      </c>
      <c r="N561" t="s">
        <v>35</v>
      </c>
      <c r="O561">
        <v>1206000</v>
      </c>
      <c r="P561">
        <v>100500</v>
      </c>
      <c r="Q561">
        <v>99</v>
      </c>
      <c r="R561" t="s">
        <v>36</v>
      </c>
      <c r="S561">
        <v>2.1</v>
      </c>
      <c r="T561">
        <v>41</v>
      </c>
      <c r="U561">
        <v>5</v>
      </c>
      <c r="V561">
        <v>8</v>
      </c>
      <c r="W561" t="s">
        <v>37</v>
      </c>
      <c r="X561">
        <v>3.3</v>
      </c>
      <c r="Y561">
        <v>3</v>
      </c>
      <c r="Z561">
        <v>1</v>
      </c>
    </row>
    <row r="562" spans="1:26">
      <c r="A562" t="s">
        <v>659</v>
      </c>
      <c r="B562" s="21">
        <v>45361</v>
      </c>
      <c r="C562" s="21"/>
      <c r="D562" t="s">
        <v>27</v>
      </c>
      <c r="E562">
        <v>0</v>
      </c>
      <c r="F562" t="s">
        <v>60</v>
      </c>
      <c r="G562" t="s">
        <v>88</v>
      </c>
      <c r="H562" t="s">
        <v>109</v>
      </c>
      <c r="I562" t="s">
        <v>48</v>
      </c>
      <c r="J562" t="s">
        <v>32</v>
      </c>
      <c r="K562">
        <v>49</v>
      </c>
      <c r="L562" t="s">
        <v>33</v>
      </c>
      <c r="M562" t="s">
        <v>78</v>
      </c>
      <c r="N562" t="s">
        <v>194</v>
      </c>
      <c r="O562">
        <v>1101000</v>
      </c>
      <c r="P562">
        <v>91750</v>
      </c>
      <c r="Q562">
        <v>21</v>
      </c>
      <c r="R562" t="s">
        <v>116</v>
      </c>
      <c r="S562">
        <v>2.7</v>
      </c>
      <c r="T562">
        <v>29</v>
      </c>
      <c r="U562">
        <v>4</v>
      </c>
      <c r="V562">
        <v>4</v>
      </c>
      <c r="W562" t="s">
        <v>37</v>
      </c>
      <c r="X562">
        <v>5</v>
      </c>
      <c r="Y562">
        <v>1</v>
      </c>
      <c r="Z562">
        <v>11.1</v>
      </c>
    </row>
    <row r="563" spans="1:26">
      <c r="A563" t="s">
        <v>660</v>
      </c>
      <c r="B563" s="21">
        <v>43235</v>
      </c>
      <c r="C563" s="21"/>
      <c r="D563" t="s">
        <v>27</v>
      </c>
      <c r="E563">
        <v>0</v>
      </c>
      <c r="F563" t="s">
        <v>67</v>
      </c>
      <c r="G563" t="s">
        <v>70</v>
      </c>
      <c r="H563" t="s">
        <v>95</v>
      </c>
      <c r="I563" t="s">
        <v>53</v>
      </c>
      <c r="J563" t="s">
        <v>32</v>
      </c>
      <c r="K563">
        <v>36</v>
      </c>
      <c r="L563" t="s">
        <v>42</v>
      </c>
      <c r="M563" t="s">
        <v>34</v>
      </c>
      <c r="N563" t="s">
        <v>35</v>
      </c>
      <c r="O563">
        <v>525000</v>
      </c>
      <c r="P563">
        <v>43750</v>
      </c>
      <c r="Q563">
        <v>91</v>
      </c>
      <c r="R563" t="s">
        <v>36</v>
      </c>
      <c r="S563">
        <v>3.8</v>
      </c>
      <c r="T563">
        <v>12</v>
      </c>
      <c r="U563">
        <v>8</v>
      </c>
      <c r="V563">
        <v>6</v>
      </c>
      <c r="W563" t="s">
        <v>44</v>
      </c>
      <c r="X563">
        <v>3.3</v>
      </c>
      <c r="Y563">
        <v>2</v>
      </c>
      <c r="Z563">
        <v>2.9</v>
      </c>
    </row>
    <row r="564" spans="1:26">
      <c r="A564" t="s">
        <v>661</v>
      </c>
      <c r="B564" s="21">
        <v>45675</v>
      </c>
      <c r="C564" s="21"/>
      <c r="D564" t="s">
        <v>27</v>
      </c>
      <c r="E564">
        <v>0</v>
      </c>
      <c r="F564" t="s">
        <v>98</v>
      </c>
      <c r="G564" t="s">
        <v>51</v>
      </c>
      <c r="H564" t="s">
        <v>99</v>
      </c>
      <c r="I564" t="s">
        <v>48</v>
      </c>
      <c r="J564" t="s">
        <v>32</v>
      </c>
      <c r="K564">
        <v>46</v>
      </c>
      <c r="L564" t="s">
        <v>42</v>
      </c>
      <c r="M564" t="s">
        <v>43</v>
      </c>
      <c r="N564" t="s">
        <v>35</v>
      </c>
      <c r="O564">
        <v>790000</v>
      </c>
      <c r="P564">
        <v>65833.33</v>
      </c>
      <c r="Q564">
        <v>11</v>
      </c>
      <c r="R564" t="s">
        <v>36</v>
      </c>
      <c r="S564">
        <v>3.6</v>
      </c>
      <c r="T564">
        <v>42</v>
      </c>
      <c r="U564">
        <v>4</v>
      </c>
      <c r="V564">
        <v>3</v>
      </c>
      <c r="W564" t="s">
        <v>37</v>
      </c>
      <c r="X564">
        <v>4.4000000000000004</v>
      </c>
      <c r="Y564">
        <v>0</v>
      </c>
      <c r="Z564">
        <v>7.5</v>
      </c>
    </row>
    <row r="565" spans="1:26">
      <c r="A565" t="s">
        <v>662</v>
      </c>
      <c r="B565" s="21">
        <v>42827</v>
      </c>
      <c r="C565" s="21"/>
      <c r="D565" t="s">
        <v>27</v>
      </c>
      <c r="E565">
        <v>0</v>
      </c>
      <c r="F565" t="s">
        <v>60</v>
      </c>
      <c r="G565" t="s">
        <v>105</v>
      </c>
      <c r="H565" t="s">
        <v>61</v>
      </c>
      <c r="I565" t="s">
        <v>31</v>
      </c>
      <c r="J565" t="s">
        <v>32</v>
      </c>
      <c r="K565">
        <v>53</v>
      </c>
      <c r="L565" t="s">
        <v>33</v>
      </c>
      <c r="M565" t="s">
        <v>34</v>
      </c>
      <c r="N565" t="s">
        <v>35</v>
      </c>
      <c r="O565">
        <v>2047000</v>
      </c>
      <c r="P565">
        <v>170583.33</v>
      </c>
      <c r="Q565">
        <v>104</v>
      </c>
      <c r="R565" t="s">
        <v>36</v>
      </c>
      <c r="S565">
        <v>1.3</v>
      </c>
      <c r="T565">
        <v>62</v>
      </c>
      <c r="U565">
        <v>4</v>
      </c>
      <c r="V565">
        <v>4</v>
      </c>
      <c r="W565" t="s">
        <v>37</v>
      </c>
      <c r="X565">
        <v>2.9</v>
      </c>
      <c r="Y565">
        <v>4</v>
      </c>
      <c r="Z565">
        <v>21</v>
      </c>
    </row>
    <row r="566" spans="1:26">
      <c r="A566" t="s">
        <v>663</v>
      </c>
      <c r="B566" s="21">
        <v>44824</v>
      </c>
      <c r="C566" s="21"/>
      <c r="D566" t="s">
        <v>27</v>
      </c>
      <c r="E566">
        <v>0</v>
      </c>
      <c r="F566" t="s">
        <v>73</v>
      </c>
      <c r="G566" t="s">
        <v>29</v>
      </c>
      <c r="H566" t="s">
        <v>118</v>
      </c>
      <c r="I566" t="s">
        <v>48</v>
      </c>
      <c r="J566" t="s">
        <v>54</v>
      </c>
      <c r="K566">
        <v>31</v>
      </c>
      <c r="L566" t="s">
        <v>42</v>
      </c>
      <c r="M566" t="s">
        <v>43</v>
      </c>
      <c r="N566" t="s">
        <v>35</v>
      </c>
      <c r="O566">
        <v>348000</v>
      </c>
      <c r="P566">
        <v>29000</v>
      </c>
      <c r="Q566">
        <v>39</v>
      </c>
      <c r="R566" t="s">
        <v>36</v>
      </c>
      <c r="S566">
        <v>2.9</v>
      </c>
      <c r="T566">
        <v>22</v>
      </c>
      <c r="U566">
        <v>8</v>
      </c>
      <c r="V566">
        <v>7</v>
      </c>
      <c r="W566" t="s">
        <v>37</v>
      </c>
      <c r="X566">
        <v>4</v>
      </c>
      <c r="Y566">
        <v>0</v>
      </c>
      <c r="Z566">
        <v>14.1</v>
      </c>
    </row>
    <row r="567" spans="1:26">
      <c r="A567" t="s">
        <v>664</v>
      </c>
      <c r="B567" s="21">
        <v>45346</v>
      </c>
      <c r="C567" s="21"/>
      <c r="D567" t="s">
        <v>27</v>
      </c>
      <c r="E567">
        <v>0</v>
      </c>
      <c r="F567" t="s">
        <v>67</v>
      </c>
      <c r="G567" t="s">
        <v>29</v>
      </c>
      <c r="H567" t="s">
        <v>80</v>
      </c>
      <c r="I567" t="s">
        <v>41</v>
      </c>
      <c r="J567" t="s">
        <v>54</v>
      </c>
      <c r="K567">
        <v>39</v>
      </c>
      <c r="L567" t="s">
        <v>130</v>
      </c>
      <c r="M567" t="s">
        <v>43</v>
      </c>
      <c r="N567" t="s">
        <v>35</v>
      </c>
      <c r="O567">
        <v>450000</v>
      </c>
      <c r="P567">
        <v>37500</v>
      </c>
      <c r="Q567">
        <v>22</v>
      </c>
      <c r="R567" t="s">
        <v>36</v>
      </c>
      <c r="S567">
        <v>4.2</v>
      </c>
      <c r="T567">
        <v>12</v>
      </c>
      <c r="U567">
        <v>17</v>
      </c>
      <c r="V567">
        <v>2</v>
      </c>
      <c r="W567" t="s">
        <v>37</v>
      </c>
      <c r="X567">
        <v>5</v>
      </c>
      <c r="Y567">
        <v>5</v>
      </c>
      <c r="Z567">
        <v>2.7</v>
      </c>
    </row>
    <row r="568" spans="1:26">
      <c r="A568" t="s">
        <v>665</v>
      </c>
      <c r="B568" s="21">
        <v>42692</v>
      </c>
      <c r="C568" s="21"/>
      <c r="D568" t="s">
        <v>27</v>
      </c>
      <c r="E568">
        <v>0</v>
      </c>
      <c r="F568" t="s">
        <v>73</v>
      </c>
      <c r="G568" t="s">
        <v>105</v>
      </c>
      <c r="H568" t="s">
        <v>118</v>
      </c>
      <c r="I568" t="s">
        <v>62</v>
      </c>
      <c r="J568" t="s">
        <v>32</v>
      </c>
      <c r="K568">
        <v>43</v>
      </c>
      <c r="L568" t="s">
        <v>82</v>
      </c>
      <c r="M568" t="s">
        <v>43</v>
      </c>
      <c r="N568" t="s">
        <v>35</v>
      </c>
      <c r="O568">
        <v>1908000</v>
      </c>
      <c r="P568">
        <v>159000</v>
      </c>
      <c r="Q568">
        <v>109</v>
      </c>
      <c r="R568" t="s">
        <v>55</v>
      </c>
      <c r="S568">
        <v>4.5</v>
      </c>
      <c r="T568">
        <v>31</v>
      </c>
      <c r="U568">
        <v>9</v>
      </c>
      <c r="V568">
        <v>8</v>
      </c>
      <c r="W568" t="s">
        <v>44</v>
      </c>
      <c r="X568">
        <v>3.5</v>
      </c>
      <c r="Y568">
        <v>0</v>
      </c>
      <c r="Z568">
        <v>1</v>
      </c>
    </row>
    <row r="569" spans="1:26">
      <c r="A569" t="s">
        <v>666</v>
      </c>
      <c r="B569" s="21">
        <v>44718</v>
      </c>
      <c r="C569" s="21"/>
      <c r="D569" t="s">
        <v>27</v>
      </c>
      <c r="E569">
        <v>0</v>
      </c>
      <c r="F569" t="s">
        <v>98</v>
      </c>
      <c r="G569" t="s">
        <v>29</v>
      </c>
      <c r="H569" t="s">
        <v>352</v>
      </c>
      <c r="I569" t="s">
        <v>62</v>
      </c>
      <c r="J569" t="s">
        <v>54</v>
      </c>
      <c r="K569">
        <v>22</v>
      </c>
      <c r="L569" t="s">
        <v>33</v>
      </c>
      <c r="M569" t="s">
        <v>65</v>
      </c>
      <c r="N569" t="s">
        <v>35</v>
      </c>
      <c r="O569">
        <v>277000</v>
      </c>
      <c r="P569">
        <v>23083.33</v>
      </c>
      <c r="Q569">
        <v>42</v>
      </c>
      <c r="R569" t="s">
        <v>36</v>
      </c>
      <c r="S569">
        <v>3.7</v>
      </c>
      <c r="T569">
        <v>76</v>
      </c>
      <c r="U569">
        <v>0</v>
      </c>
      <c r="V569">
        <v>7</v>
      </c>
      <c r="W569" t="s">
        <v>37</v>
      </c>
      <c r="X569">
        <v>3.2</v>
      </c>
      <c r="Y569">
        <v>1</v>
      </c>
      <c r="Z569">
        <v>1.8</v>
      </c>
    </row>
    <row r="570" spans="1:26">
      <c r="A570" t="s">
        <v>667</v>
      </c>
      <c r="B570" s="21">
        <v>42767</v>
      </c>
      <c r="C570" s="21"/>
      <c r="D570" t="s">
        <v>27</v>
      </c>
      <c r="E570">
        <v>0</v>
      </c>
      <c r="F570" t="s">
        <v>60</v>
      </c>
      <c r="G570" t="s">
        <v>51</v>
      </c>
      <c r="H570" t="s">
        <v>109</v>
      </c>
      <c r="I570" t="s">
        <v>48</v>
      </c>
      <c r="J570" t="s">
        <v>54</v>
      </c>
      <c r="K570">
        <v>40</v>
      </c>
      <c r="L570" t="s">
        <v>33</v>
      </c>
      <c r="M570" t="s">
        <v>34</v>
      </c>
      <c r="N570" t="s">
        <v>35</v>
      </c>
      <c r="O570">
        <v>833000</v>
      </c>
      <c r="P570">
        <v>69416.67</v>
      </c>
      <c r="Q570">
        <v>106</v>
      </c>
      <c r="R570" t="s">
        <v>55</v>
      </c>
      <c r="S570">
        <v>3.7</v>
      </c>
      <c r="T570">
        <v>59</v>
      </c>
      <c r="U570">
        <v>10</v>
      </c>
      <c r="V570">
        <v>6</v>
      </c>
      <c r="W570" t="s">
        <v>37</v>
      </c>
      <c r="X570">
        <v>4.0999999999999996</v>
      </c>
      <c r="Y570">
        <v>5</v>
      </c>
      <c r="Z570">
        <v>1.9</v>
      </c>
    </row>
    <row r="571" spans="1:26">
      <c r="A571" t="s">
        <v>668</v>
      </c>
      <c r="B571" s="21">
        <v>44550</v>
      </c>
      <c r="C571" s="21">
        <v>45724</v>
      </c>
      <c r="D571" t="s">
        <v>57</v>
      </c>
      <c r="E571">
        <v>1</v>
      </c>
      <c r="F571" t="s">
        <v>60</v>
      </c>
      <c r="G571" t="s">
        <v>51</v>
      </c>
      <c r="H571" t="s">
        <v>109</v>
      </c>
      <c r="I571" t="s">
        <v>75</v>
      </c>
      <c r="J571" t="s">
        <v>54</v>
      </c>
      <c r="K571">
        <v>36</v>
      </c>
      <c r="L571" t="s">
        <v>33</v>
      </c>
      <c r="M571" t="s">
        <v>65</v>
      </c>
      <c r="N571" t="s">
        <v>35</v>
      </c>
      <c r="O571">
        <v>749000</v>
      </c>
      <c r="P571">
        <v>62416.67</v>
      </c>
      <c r="Q571">
        <v>39</v>
      </c>
      <c r="R571" t="s">
        <v>116</v>
      </c>
      <c r="S571">
        <v>2.4</v>
      </c>
      <c r="T571">
        <v>79</v>
      </c>
      <c r="U571">
        <v>11</v>
      </c>
      <c r="V571">
        <v>6</v>
      </c>
      <c r="W571" t="s">
        <v>37</v>
      </c>
      <c r="X571">
        <v>3.1</v>
      </c>
      <c r="Y571">
        <v>2</v>
      </c>
      <c r="Z571">
        <v>3.3</v>
      </c>
    </row>
    <row r="572" spans="1:26">
      <c r="A572" t="s">
        <v>669</v>
      </c>
      <c r="B572" s="21">
        <v>45503</v>
      </c>
      <c r="C572" s="21"/>
      <c r="D572" t="s">
        <v>27</v>
      </c>
      <c r="E572">
        <v>0</v>
      </c>
      <c r="F572" t="s">
        <v>73</v>
      </c>
      <c r="G572" t="s">
        <v>51</v>
      </c>
      <c r="H572" t="s">
        <v>118</v>
      </c>
      <c r="I572" t="s">
        <v>48</v>
      </c>
      <c r="J572" t="s">
        <v>54</v>
      </c>
      <c r="K572">
        <v>58</v>
      </c>
      <c r="L572" t="s">
        <v>42</v>
      </c>
      <c r="M572" t="s">
        <v>40</v>
      </c>
      <c r="N572" t="s">
        <v>93</v>
      </c>
      <c r="O572">
        <v>867000</v>
      </c>
      <c r="P572">
        <v>72250</v>
      </c>
      <c r="Q572">
        <v>17</v>
      </c>
      <c r="R572" t="s">
        <v>116</v>
      </c>
      <c r="S572">
        <v>3.8</v>
      </c>
      <c r="T572">
        <v>51</v>
      </c>
      <c r="U572">
        <v>3</v>
      </c>
      <c r="V572">
        <v>3</v>
      </c>
      <c r="W572" t="s">
        <v>44</v>
      </c>
      <c r="X572">
        <v>4.3</v>
      </c>
      <c r="Y572">
        <v>0</v>
      </c>
      <c r="Z572">
        <v>15</v>
      </c>
    </row>
    <row r="573" spans="1:26">
      <c r="A573" t="s">
        <v>670</v>
      </c>
      <c r="B573" s="21">
        <v>43261</v>
      </c>
      <c r="C573" s="21"/>
      <c r="D573" t="s">
        <v>27</v>
      </c>
      <c r="E573">
        <v>0</v>
      </c>
      <c r="F573" t="s">
        <v>28</v>
      </c>
      <c r="G573" t="s">
        <v>70</v>
      </c>
      <c r="H573" t="s">
        <v>30</v>
      </c>
      <c r="I573" t="s">
        <v>53</v>
      </c>
      <c r="J573" t="s">
        <v>32</v>
      </c>
      <c r="K573">
        <v>28</v>
      </c>
      <c r="L573" t="s">
        <v>33</v>
      </c>
      <c r="M573" t="s">
        <v>40</v>
      </c>
      <c r="N573" t="s">
        <v>35</v>
      </c>
      <c r="O573">
        <v>488000</v>
      </c>
      <c r="P573">
        <v>40666.67</v>
      </c>
      <c r="Q573">
        <v>90</v>
      </c>
      <c r="R573" t="s">
        <v>55</v>
      </c>
      <c r="S573">
        <v>4</v>
      </c>
      <c r="T573">
        <v>22</v>
      </c>
      <c r="U573">
        <v>8</v>
      </c>
      <c r="V573">
        <v>8</v>
      </c>
      <c r="W573" t="s">
        <v>44</v>
      </c>
      <c r="X573">
        <v>4.8</v>
      </c>
      <c r="Y573">
        <v>2</v>
      </c>
      <c r="Z573">
        <v>6.5</v>
      </c>
    </row>
    <row r="574" spans="1:26">
      <c r="A574" t="s">
        <v>671</v>
      </c>
      <c r="B574" s="21">
        <v>45769</v>
      </c>
      <c r="C574" s="21">
        <v>45916</v>
      </c>
      <c r="D574" t="s">
        <v>57</v>
      </c>
      <c r="E574">
        <v>1</v>
      </c>
      <c r="F574" t="s">
        <v>73</v>
      </c>
      <c r="G574" t="s">
        <v>29</v>
      </c>
      <c r="H574" t="s">
        <v>118</v>
      </c>
      <c r="I574" t="s">
        <v>48</v>
      </c>
      <c r="J574" t="s">
        <v>32</v>
      </c>
      <c r="K574">
        <v>30</v>
      </c>
      <c r="L574" t="s">
        <v>33</v>
      </c>
      <c r="M574" t="s">
        <v>65</v>
      </c>
      <c r="N574" t="s">
        <v>35</v>
      </c>
      <c r="O574">
        <v>316000</v>
      </c>
      <c r="P574">
        <v>26333.33</v>
      </c>
      <c r="Q574">
        <v>5</v>
      </c>
      <c r="R574" t="s">
        <v>55</v>
      </c>
      <c r="S574">
        <v>4.3</v>
      </c>
      <c r="T574">
        <v>21</v>
      </c>
      <c r="U574">
        <v>20</v>
      </c>
      <c r="V574">
        <v>12</v>
      </c>
      <c r="W574" t="s">
        <v>37</v>
      </c>
      <c r="X574">
        <v>4.4000000000000004</v>
      </c>
      <c r="Y574">
        <v>5</v>
      </c>
      <c r="Z574">
        <v>8</v>
      </c>
    </row>
    <row r="575" spans="1:26">
      <c r="A575" t="s">
        <v>672</v>
      </c>
      <c r="B575" s="21">
        <v>42742</v>
      </c>
      <c r="C575" s="21"/>
      <c r="D575" t="s">
        <v>27</v>
      </c>
      <c r="E575">
        <v>0</v>
      </c>
      <c r="F575" t="s">
        <v>28</v>
      </c>
      <c r="G575" t="s">
        <v>51</v>
      </c>
      <c r="H575" t="s">
        <v>30</v>
      </c>
      <c r="I575" t="s">
        <v>53</v>
      </c>
      <c r="J575" t="s">
        <v>32</v>
      </c>
      <c r="K575">
        <v>41</v>
      </c>
      <c r="L575" t="s">
        <v>42</v>
      </c>
      <c r="M575" t="s">
        <v>34</v>
      </c>
      <c r="N575" t="s">
        <v>35</v>
      </c>
      <c r="O575">
        <v>943000</v>
      </c>
      <c r="P575">
        <v>78583.33</v>
      </c>
      <c r="Q575">
        <v>107</v>
      </c>
      <c r="R575" t="s">
        <v>36</v>
      </c>
      <c r="S575">
        <v>3.4</v>
      </c>
      <c r="T575">
        <v>3</v>
      </c>
      <c r="U575">
        <v>0</v>
      </c>
      <c r="V575">
        <v>0</v>
      </c>
      <c r="W575" t="s">
        <v>37</v>
      </c>
      <c r="X575">
        <v>4.2</v>
      </c>
      <c r="Y575">
        <v>3</v>
      </c>
      <c r="Z575">
        <v>21.4</v>
      </c>
    </row>
    <row r="576" spans="1:26">
      <c r="A576" t="s">
        <v>673</v>
      </c>
      <c r="B576" s="21">
        <v>43373</v>
      </c>
      <c r="C576" s="21"/>
      <c r="D576" t="s">
        <v>27</v>
      </c>
      <c r="E576">
        <v>0</v>
      </c>
      <c r="F576" t="s">
        <v>46</v>
      </c>
      <c r="G576" t="s">
        <v>51</v>
      </c>
      <c r="H576" t="s">
        <v>47</v>
      </c>
      <c r="I576" t="s">
        <v>41</v>
      </c>
      <c r="J576" t="s">
        <v>32</v>
      </c>
      <c r="K576">
        <v>36</v>
      </c>
      <c r="L576" t="s">
        <v>42</v>
      </c>
      <c r="M576" t="s">
        <v>34</v>
      </c>
      <c r="N576" t="s">
        <v>35</v>
      </c>
      <c r="O576">
        <v>858000</v>
      </c>
      <c r="P576">
        <v>71500</v>
      </c>
      <c r="Q576">
        <v>87</v>
      </c>
      <c r="R576" t="s">
        <v>55</v>
      </c>
      <c r="S576">
        <v>2.7</v>
      </c>
      <c r="T576">
        <v>60</v>
      </c>
      <c r="U576">
        <v>12</v>
      </c>
      <c r="V576">
        <v>7</v>
      </c>
      <c r="W576" t="s">
        <v>37</v>
      </c>
      <c r="X576">
        <v>4.0999999999999996</v>
      </c>
      <c r="Y576">
        <v>1</v>
      </c>
      <c r="Z576">
        <v>1</v>
      </c>
    </row>
    <row r="577" spans="1:26">
      <c r="A577" t="s">
        <v>674</v>
      </c>
      <c r="B577" s="21">
        <v>44078</v>
      </c>
      <c r="C577" s="21">
        <v>45830</v>
      </c>
      <c r="D577" t="s">
        <v>57</v>
      </c>
      <c r="E577">
        <v>1</v>
      </c>
      <c r="F577" t="s">
        <v>60</v>
      </c>
      <c r="G577" t="s">
        <v>29</v>
      </c>
      <c r="H577" t="s">
        <v>61</v>
      </c>
      <c r="I577" t="s">
        <v>41</v>
      </c>
      <c r="J577" t="s">
        <v>54</v>
      </c>
      <c r="K577">
        <v>47</v>
      </c>
      <c r="L577" t="s">
        <v>42</v>
      </c>
      <c r="M577" t="s">
        <v>43</v>
      </c>
      <c r="N577" t="s">
        <v>35</v>
      </c>
      <c r="O577">
        <v>484000</v>
      </c>
      <c r="P577">
        <v>40333.33</v>
      </c>
      <c r="Q577">
        <v>57</v>
      </c>
      <c r="R577" t="s">
        <v>116</v>
      </c>
      <c r="S577">
        <v>3.1</v>
      </c>
      <c r="T577">
        <v>54</v>
      </c>
      <c r="U577">
        <v>0</v>
      </c>
      <c r="V577">
        <v>3</v>
      </c>
      <c r="W577" t="s">
        <v>37</v>
      </c>
      <c r="X577">
        <v>3.5</v>
      </c>
      <c r="Y577">
        <v>5</v>
      </c>
      <c r="Z577">
        <v>2.7</v>
      </c>
    </row>
    <row r="578" spans="1:26">
      <c r="A578" t="s">
        <v>675</v>
      </c>
      <c r="B578" s="21">
        <v>45839</v>
      </c>
      <c r="C578" s="21"/>
      <c r="D578" t="s">
        <v>27</v>
      </c>
      <c r="E578">
        <v>0</v>
      </c>
      <c r="F578" t="s">
        <v>39</v>
      </c>
      <c r="G578" t="s">
        <v>29</v>
      </c>
      <c r="H578" t="s">
        <v>204</v>
      </c>
      <c r="I578" t="s">
        <v>31</v>
      </c>
      <c r="J578" t="s">
        <v>54</v>
      </c>
      <c r="K578">
        <v>32</v>
      </c>
      <c r="L578" t="s">
        <v>42</v>
      </c>
      <c r="M578" t="s">
        <v>34</v>
      </c>
      <c r="N578" t="s">
        <v>35</v>
      </c>
      <c r="O578">
        <v>325000</v>
      </c>
      <c r="P578">
        <v>27083.33</v>
      </c>
      <c r="Q578">
        <v>5</v>
      </c>
      <c r="R578" t="s">
        <v>36</v>
      </c>
      <c r="S578">
        <v>5</v>
      </c>
      <c r="T578">
        <v>33</v>
      </c>
      <c r="U578">
        <v>12</v>
      </c>
      <c r="V578">
        <v>3</v>
      </c>
      <c r="W578" t="s">
        <v>44</v>
      </c>
      <c r="X578">
        <v>2.9</v>
      </c>
      <c r="Y578">
        <v>3</v>
      </c>
      <c r="Z578">
        <v>20.2</v>
      </c>
    </row>
    <row r="579" spans="1:26">
      <c r="A579" t="s">
        <v>676</v>
      </c>
      <c r="B579" s="21">
        <v>43724</v>
      </c>
      <c r="C579" s="21"/>
      <c r="D579" t="s">
        <v>27</v>
      </c>
      <c r="E579">
        <v>0</v>
      </c>
      <c r="F579" t="s">
        <v>73</v>
      </c>
      <c r="G579" t="s">
        <v>88</v>
      </c>
      <c r="H579" t="s">
        <v>126</v>
      </c>
      <c r="I579" t="s">
        <v>31</v>
      </c>
      <c r="J579" t="s">
        <v>54</v>
      </c>
      <c r="K579">
        <v>45</v>
      </c>
      <c r="L579" t="s">
        <v>33</v>
      </c>
      <c r="M579" t="s">
        <v>34</v>
      </c>
      <c r="N579" t="s">
        <v>35</v>
      </c>
      <c r="O579">
        <v>1216000</v>
      </c>
      <c r="P579">
        <v>101333.33</v>
      </c>
      <c r="Q579">
        <v>75</v>
      </c>
      <c r="R579" t="s">
        <v>36</v>
      </c>
      <c r="S579">
        <v>2.2999999999999998</v>
      </c>
      <c r="T579">
        <v>37</v>
      </c>
      <c r="U579">
        <v>2</v>
      </c>
      <c r="V579">
        <v>2</v>
      </c>
      <c r="W579" t="s">
        <v>37</v>
      </c>
      <c r="X579">
        <v>3.6</v>
      </c>
      <c r="Y579">
        <v>2</v>
      </c>
      <c r="Z579">
        <v>13.1</v>
      </c>
    </row>
    <row r="580" spans="1:26">
      <c r="A580" t="s">
        <v>677</v>
      </c>
      <c r="B580" s="21">
        <v>42896</v>
      </c>
      <c r="C580" s="21"/>
      <c r="D580" t="s">
        <v>27</v>
      </c>
      <c r="E580">
        <v>0</v>
      </c>
      <c r="F580" t="s">
        <v>67</v>
      </c>
      <c r="G580" t="s">
        <v>88</v>
      </c>
      <c r="H580" t="s">
        <v>68</v>
      </c>
      <c r="I580" t="s">
        <v>53</v>
      </c>
      <c r="J580" t="s">
        <v>32</v>
      </c>
      <c r="K580">
        <v>46</v>
      </c>
      <c r="L580" t="s">
        <v>33</v>
      </c>
      <c r="M580" t="s">
        <v>34</v>
      </c>
      <c r="N580" t="s">
        <v>35</v>
      </c>
      <c r="O580">
        <v>1137000</v>
      </c>
      <c r="P580">
        <v>94750</v>
      </c>
      <c r="Q580">
        <v>102</v>
      </c>
      <c r="R580" t="s">
        <v>36</v>
      </c>
      <c r="S580">
        <v>4</v>
      </c>
      <c r="T580">
        <v>64</v>
      </c>
      <c r="U580">
        <v>3</v>
      </c>
      <c r="V580">
        <v>8</v>
      </c>
      <c r="W580" t="s">
        <v>44</v>
      </c>
      <c r="X580">
        <v>3.4</v>
      </c>
      <c r="Y580">
        <v>2</v>
      </c>
      <c r="Z580">
        <v>16.5</v>
      </c>
    </row>
    <row r="581" spans="1:26">
      <c r="A581" t="s">
        <v>678</v>
      </c>
      <c r="B581" s="21">
        <v>45914</v>
      </c>
      <c r="C581" s="21"/>
      <c r="D581" t="s">
        <v>27</v>
      </c>
      <c r="E581">
        <v>0</v>
      </c>
      <c r="F581" t="s">
        <v>73</v>
      </c>
      <c r="G581" t="s">
        <v>70</v>
      </c>
      <c r="H581" t="s">
        <v>126</v>
      </c>
      <c r="I581" t="s">
        <v>48</v>
      </c>
      <c r="J581" t="s">
        <v>32</v>
      </c>
      <c r="K581">
        <v>46</v>
      </c>
      <c r="L581" t="s">
        <v>42</v>
      </c>
      <c r="M581" t="s">
        <v>43</v>
      </c>
      <c r="N581" t="s">
        <v>35</v>
      </c>
      <c r="O581">
        <v>559000</v>
      </c>
      <c r="P581">
        <v>46583.33</v>
      </c>
      <c r="Q581">
        <v>3</v>
      </c>
      <c r="R581" t="s">
        <v>36</v>
      </c>
      <c r="S581">
        <v>3</v>
      </c>
      <c r="T581">
        <v>58</v>
      </c>
      <c r="U581">
        <v>18</v>
      </c>
      <c r="V581">
        <v>1</v>
      </c>
      <c r="W581" t="s">
        <v>37</v>
      </c>
      <c r="X581">
        <v>3.6</v>
      </c>
      <c r="Y581">
        <v>1</v>
      </c>
      <c r="Z581">
        <v>7.1</v>
      </c>
    </row>
    <row r="582" spans="1:26">
      <c r="A582" t="s">
        <v>679</v>
      </c>
      <c r="B582" s="21">
        <v>42419</v>
      </c>
      <c r="C582" s="21"/>
      <c r="D582" t="s">
        <v>27</v>
      </c>
      <c r="E582">
        <v>0</v>
      </c>
      <c r="F582" t="s">
        <v>28</v>
      </c>
      <c r="G582" t="s">
        <v>51</v>
      </c>
      <c r="H582" t="s">
        <v>121</v>
      </c>
      <c r="I582" t="s">
        <v>48</v>
      </c>
      <c r="J582" t="s">
        <v>149</v>
      </c>
      <c r="K582">
        <v>47</v>
      </c>
      <c r="L582" t="s">
        <v>42</v>
      </c>
      <c r="M582" t="s">
        <v>43</v>
      </c>
      <c r="N582" t="s">
        <v>35</v>
      </c>
      <c r="O582">
        <v>874000</v>
      </c>
      <c r="P582">
        <v>72833.33</v>
      </c>
      <c r="Q582">
        <v>118</v>
      </c>
      <c r="R582" t="s">
        <v>36</v>
      </c>
      <c r="S582">
        <v>2.2000000000000002</v>
      </c>
      <c r="T582">
        <v>7</v>
      </c>
      <c r="U582">
        <v>14</v>
      </c>
      <c r="V582">
        <v>0</v>
      </c>
      <c r="W582" t="s">
        <v>44</v>
      </c>
      <c r="X582">
        <v>3.3</v>
      </c>
      <c r="Y582">
        <v>0</v>
      </c>
      <c r="Z582">
        <v>3.8</v>
      </c>
    </row>
    <row r="583" spans="1:26">
      <c r="A583" t="s">
        <v>680</v>
      </c>
      <c r="B583" s="21">
        <v>43372</v>
      </c>
      <c r="C583" s="21"/>
      <c r="D583" t="s">
        <v>27</v>
      </c>
      <c r="E583">
        <v>0</v>
      </c>
      <c r="F583" t="s">
        <v>73</v>
      </c>
      <c r="G583" t="s">
        <v>51</v>
      </c>
      <c r="H583" t="s">
        <v>74</v>
      </c>
      <c r="I583" t="s">
        <v>31</v>
      </c>
      <c r="J583" t="s">
        <v>32</v>
      </c>
      <c r="K583">
        <v>39</v>
      </c>
      <c r="L583" t="s">
        <v>130</v>
      </c>
      <c r="M583" t="s">
        <v>40</v>
      </c>
      <c r="N583" t="s">
        <v>35</v>
      </c>
      <c r="O583">
        <v>743000</v>
      </c>
      <c r="P583">
        <v>61916.67</v>
      </c>
      <c r="Q583">
        <v>87</v>
      </c>
      <c r="R583" t="s">
        <v>55</v>
      </c>
      <c r="S583">
        <v>4.8</v>
      </c>
      <c r="T583">
        <v>7</v>
      </c>
      <c r="U583">
        <v>7</v>
      </c>
      <c r="V583">
        <v>0</v>
      </c>
      <c r="W583" t="s">
        <v>44</v>
      </c>
      <c r="X583">
        <v>3.5</v>
      </c>
      <c r="Y583">
        <v>4</v>
      </c>
      <c r="Z583">
        <v>9.5</v>
      </c>
    </row>
    <row r="584" spans="1:26">
      <c r="A584" t="s">
        <v>681</v>
      </c>
      <c r="B584" s="21">
        <v>45489</v>
      </c>
      <c r="C584" s="21"/>
      <c r="D584" t="s">
        <v>27</v>
      </c>
      <c r="E584">
        <v>0</v>
      </c>
      <c r="F584" t="s">
        <v>46</v>
      </c>
      <c r="G584" t="s">
        <v>70</v>
      </c>
      <c r="H584" t="s">
        <v>162</v>
      </c>
      <c r="I584" t="s">
        <v>48</v>
      </c>
      <c r="J584" t="s">
        <v>32</v>
      </c>
      <c r="K584">
        <v>30</v>
      </c>
      <c r="L584" t="s">
        <v>33</v>
      </c>
      <c r="M584" t="s">
        <v>43</v>
      </c>
      <c r="N584" t="s">
        <v>35</v>
      </c>
      <c r="O584">
        <v>414000</v>
      </c>
      <c r="P584">
        <v>34500</v>
      </c>
      <c r="Q584">
        <v>17</v>
      </c>
      <c r="R584" t="s">
        <v>55</v>
      </c>
      <c r="S584">
        <v>3.1</v>
      </c>
      <c r="T584">
        <v>14</v>
      </c>
      <c r="U584">
        <v>0</v>
      </c>
      <c r="V584">
        <v>3</v>
      </c>
      <c r="W584" t="s">
        <v>37</v>
      </c>
      <c r="X584">
        <v>3.8</v>
      </c>
      <c r="Y584">
        <v>0</v>
      </c>
      <c r="Z584">
        <v>11.8</v>
      </c>
    </row>
    <row r="585" spans="1:26">
      <c r="A585" t="s">
        <v>682</v>
      </c>
      <c r="B585" s="21">
        <v>45002</v>
      </c>
      <c r="C585" s="21"/>
      <c r="D585" t="s">
        <v>27</v>
      </c>
      <c r="E585">
        <v>0</v>
      </c>
      <c r="F585" t="s">
        <v>98</v>
      </c>
      <c r="G585" t="s">
        <v>51</v>
      </c>
      <c r="H585" t="s">
        <v>106</v>
      </c>
      <c r="I585" t="s">
        <v>31</v>
      </c>
      <c r="J585" t="s">
        <v>54</v>
      </c>
      <c r="K585">
        <v>44</v>
      </c>
      <c r="L585" t="s">
        <v>42</v>
      </c>
      <c r="M585" t="s">
        <v>34</v>
      </c>
      <c r="N585" t="s">
        <v>35</v>
      </c>
      <c r="O585">
        <v>845000</v>
      </c>
      <c r="P585">
        <v>70416.67</v>
      </c>
      <c r="Q585">
        <v>33</v>
      </c>
      <c r="R585" t="s">
        <v>55</v>
      </c>
      <c r="S585">
        <v>4.9000000000000004</v>
      </c>
      <c r="T585">
        <v>71</v>
      </c>
      <c r="U585">
        <v>5</v>
      </c>
      <c r="V585">
        <v>2</v>
      </c>
      <c r="W585" t="s">
        <v>44</v>
      </c>
      <c r="X585">
        <v>3</v>
      </c>
      <c r="Y585">
        <v>1</v>
      </c>
      <c r="Z585">
        <v>4.8</v>
      </c>
    </row>
    <row r="586" spans="1:26">
      <c r="A586" t="s">
        <v>683</v>
      </c>
      <c r="B586" s="21">
        <v>42826</v>
      </c>
      <c r="C586" s="21"/>
      <c r="D586" t="s">
        <v>27</v>
      </c>
      <c r="E586">
        <v>0</v>
      </c>
      <c r="F586" t="s">
        <v>28</v>
      </c>
      <c r="G586" t="s">
        <v>51</v>
      </c>
      <c r="H586" t="s">
        <v>121</v>
      </c>
      <c r="I586" t="s">
        <v>75</v>
      </c>
      <c r="J586" t="s">
        <v>32</v>
      </c>
      <c r="K586">
        <v>56</v>
      </c>
      <c r="L586" t="s">
        <v>33</v>
      </c>
      <c r="M586" t="s">
        <v>65</v>
      </c>
      <c r="N586" t="s">
        <v>35</v>
      </c>
      <c r="O586">
        <v>814000</v>
      </c>
      <c r="P586">
        <v>67833.33</v>
      </c>
      <c r="Q586">
        <v>104</v>
      </c>
      <c r="R586" t="s">
        <v>36</v>
      </c>
      <c r="S586">
        <v>3.2</v>
      </c>
      <c r="T586">
        <v>29</v>
      </c>
      <c r="U586">
        <v>5</v>
      </c>
      <c r="V586">
        <v>5</v>
      </c>
      <c r="W586" t="s">
        <v>37</v>
      </c>
      <c r="X586">
        <v>3.8</v>
      </c>
      <c r="Y586">
        <v>3</v>
      </c>
      <c r="Z586">
        <v>10.9</v>
      </c>
    </row>
    <row r="587" spans="1:26">
      <c r="A587" t="s">
        <v>684</v>
      </c>
      <c r="B587" s="21">
        <v>43680</v>
      </c>
      <c r="C587" s="21"/>
      <c r="D587" t="s">
        <v>27</v>
      </c>
      <c r="E587">
        <v>0</v>
      </c>
      <c r="F587" t="s">
        <v>46</v>
      </c>
      <c r="G587" t="s">
        <v>51</v>
      </c>
      <c r="H587" t="s">
        <v>162</v>
      </c>
      <c r="I587" t="s">
        <v>75</v>
      </c>
      <c r="J587" t="s">
        <v>149</v>
      </c>
      <c r="K587">
        <v>40</v>
      </c>
      <c r="L587" t="s">
        <v>82</v>
      </c>
      <c r="M587" t="s">
        <v>43</v>
      </c>
      <c r="N587" t="s">
        <v>35</v>
      </c>
      <c r="O587">
        <v>929000</v>
      </c>
      <c r="P587">
        <v>77416.67</v>
      </c>
      <c r="Q587">
        <v>76</v>
      </c>
      <c r="R587" t="s">
        <v>55</v>
      </c>
      <c r="S587">
        <v>2.6</v>
      </c>
      <c r="T587">
        <v>34</v>
      </c>
      <c r="U587">
        <v>4</v>
      </c>
      <c r="V587">
        <v>0</v>
      </c>
      <c r="W587" t="s">
        <v>44</v>
      </c>
      <c r="X587">
        <v>3.5</v>
      </c>
      <c r="Y587">
        <v>3</v>
      </c>
      <c r="Z587">
        <v>12.5</v>
      </c>
    </row>
    <row r="588" spans="1:26">
      <c r="A588" t="s">
        <v>685</v>
      </c>
      <c r="B588" s="21">
        <v>45877</v>
      </c>
      <c r="C588" s="21"/>
      <c r="D588" t="s">
        <v>27</v>
      </c>
      <c r="E588">
        <v>0</v>
      </c>
      <c r="F588" t="s">
        <v>46</v>
      </c>
      <c r="G588" t="s">
        <v>70</v>
      </c>
      <c r="H588" t="s">
        <v>47</v>
      </c>
      <c r="I588" t="s">
        <v>53</v>
      </c>
      <c r="J588" t="s">
        <v>54</v>
      </c>
      <c r="K588">
        <v>40</v>
      </c>
      <c r="L588" t="s">
        <v>42</v>
      </c>
      <c r="M588" t="s">
        <v>58</v>
      </c>
      <c r="N588" t="s">
        <v>35</v>
      </c>
      <c r="O588">
        <v>662000</v>
      </c>
      <c r="P588">
        <v>55166.67</v>
      </c>
      <c r="Q588">
        <v>4</v>
      </c>
      <c r="R588" t="s">
        <v>36</v>
      </c>
      <c r="S588">
        <v>2.8</v>
      </c>
      <c r="T588">
        <v>2</v>
      </c>
      <c r="U588">
        <v>7</v>
      </c>
      <c r="V588">
        <v>11</v>
      </c>
      <c r="W588" t="s">
        <v>37</v>
      </c>
      <c r="X588">
        <v>3.4</v>
      </c>
      <c r="Y588">
        <v>3</v>
      </c>
      <c r="Z588">
        <v>16.2</v>
      </c>
    </row>
    <row r="589" spans="1:26">
      <c r="A589" t="s">
        <v>686</v>
      </c>
      <c r="B589" s="21">
        <v>45081</v>
      </c>
      <c r="C589" s="21"/>
      <c r="D589" t="s">
        <v>27</v>
      </c>
      <c r="E589">
        <v>0</v>
      </c>
      <c r="F589" t="s">
        <v>60</v>
      </c>
      <c r="G589" t="s">
        <v>70</v>
      </c>
      <c r="H589" t="s">
        <v>109</v>
      </c>
      <c r="I589" t="s">
        <v>41</v>
      </c>
      <c r="J589" t="s">
        <v>54</v>
      </c>
      <c r="K589">
        <v>35</v>
      </c>
      <c r="L589" t="s">
        <v>33</v>
      </c>
      <c r="M589" t="s">
        <v>78</v>
      </c>
      <c r="N589" t="s">
        <v>93</v>
      </c>
      <c r="O589">
        <v>521000</v>
      </c>
      <c r="P589">
        <v>43416.67</v>
      </c>
      <c r="Q589">
        <v>30</v>
      </c>
      <c r="R589" t="s">
        <v>36</v>
      </c>
      <c r="S589">
        <v>2.8</v>
      </c>
      <c r="T589">
        <v>75</v>
      </c>
      <c r="U589">
        <v>7</v>
      </c>
      <c r="V589">
        <v>7</v>
      </c>
      <c r="W589" t="s">
        <v>37</v>
      </c>
      <c r="X589">
        <v>3.3</v>
      </c>
      <c r="Y589">
        <v>1</v>
      </c>
      <c r="Z589">
        <v>7.5</v>
      </c>
    </row>
    <row r="590" spans="1:26">
      <c r="A590" t="s">
        <v>687</v>
      </c>
      <c r="B590" s="21">
        <v>42558</v>
      </c>
      <c r="C590" s="21"/>
      <c r="D590" t="s">
        <v>27</v>
      </c>
      <c r="E590">
        <v>0</v>
      </c>
      <c r="F590" t="s">
        <v>73</v>
      </c>
      <c r="G590" t="s">
        <v>105</v>
      </c>
      <c r="H590" t="s">
        <v>126</v>
      </c>
      <c r="I590" t="s">
        <v>53</v>
      </c>
      <c r="J590" t="s">
        <v>32</v>
      </c>
      <c r="K590">
        <v>50</v>
      </c>
      <c r="L590" t="s">
        <v>33</v>
      </c>
      <c r="M590" t="s">
        <v>65</v>
      </c>
      <c r="N590" t="s">
        <v>35</v>
      </c>
      <c r="O590">
        <v>1839000</v>
      </c>
      <c r="P590">
        <v>153250</v>
      </c>
      <c r="Q590">
        <v>113</v>
      </c>
      <c r="R590" t="s">
        <v>116</v>
      </c>
      <c r="S590">
        <v>2.7</v>
      </c>
      <c r="T590">
        <v>41</v>
      </c>
      <c r="U590">
        <v>24</v>
      </c>
      <c r="V590">
        <v>3</v>
      </c>
      <c r="W590" t="s">
        <v>44</v>
      </c>
      <c r="X590">
        <v>3.5</v>
      </c>
      <c r="Y590">
        <v>0</v>
      </c>
      <c r="Z590">
        <v>7.9</v>
      </c>
    </row>
    <row r="591" spans="1:26">
      <c r="A591" t="s">
        <v>688</v>
      </c>
      <c r="B591" s="21">
        <v>45746</v>
      </c>
      <c r="C591" s="21"/>
      <c r="D591" t="s">
        <v>27</v>
      </c>
      <c r="E591">
        <v>0</v>
      </c>
      <c r="F591" t="s">
        <v>50</v>
      </c>
      <c r="G591" t="s">
        <v>88</v>
      </c>
      <c r="H591" t="s">
        <v>52</v>
      </c>
      <c r="I591" t="s">
        <v>41</v>
      </c>
      <c r="J591" t="s">
        <v>54</v>
      </c>
      <c r="K591">
        <v>45</v>
      </c>
      <c r="L591" t="s">
        <v>42</v>
      </c>
      <c r="M591" t="s">
        <v>40</v>
      </c>
      <c r="N591" t="s">
        <v>35</v>
      </c>
      <c r="O591">
        <v>1260000</v>
      </c>
      <c r="P591">
        <v>105000</v>
      </c>
      <c r="Q591">
        <v>9</v>
      </c>
      <c r="R591" t="s">
        <v>36</v>
      </c>
      <c r="S591">
        <v>3.9</v>
      </c>
      <c r="T591">
        <v>40</v>
      </c>
      <c r="U591">
        <v>10</v>
      </c>
      <c r="V591">
        <v>7</v>
      </c>
      <c r="W591" t="s">
        <v>44</v>
      </c>
      <c r="X591">
        <v>2.6</v>
      </c>
      <c r="Y591">
        <v>2</v>
      </c>
      <c r="Z591">
        <v>4.5</v>
      </c>
    </row>
    <row r="592" spans="1:26">
      <c r="A592" t="s">
        <v>689</v>
      </c>
      <c r="B592" s="21">
        <v>45534</v>
      </c>
      <c r="C592" s="21"/>
      <c r="D592" t="s">
        <v>27</v>
      </c>
      <c r="E592">
        <v>0</v>
      </c>
      <c r="F592" t="s">
        <v>50</v>
      </c>
      <c r="G592" t="s">
        <v>70</v>
      </c>
      <c r="H592" t="s">
        <v>124</v>
      </c>
      <c r="I592" t="s">
        <v>41</v>
      </c>
      <c r="J592" t="s">
        <v>32</v>
      </c>
      <c r="K592">
        <v>23</v>
      </c>
      <c r="L592" t="s">
        <v>33</v>
      </c>
      <c r="M592" t="s">
        <v>40</v>
      </c>
      <c r="N592" t="s">
        <v>35</v>
      </c>
      <c r="O592">
        <v>533000</v>
      </c>
      <c r="P592">
        <v>44416.67</v>
      </c>
      <c r="Q592">
        <v>16</v>
      </c>
      <c r="R592" t="s">
        <v>36</v>
      </c>
      <c r="S592">
        <v>4.0999999999999996</v>
      </c>
      <c r="T592">
        <v>67</v>
      </c>
      <c r="U592">
        <v>15</v>
      </c>
      <c r="V592">
        <v>9</v>
      </c>
      <c r="W592" t="s">
        <v>37</v>
      </c>
      <c r="X592">
        <v>3.2</v>
      </c>
      <c r="Y592">
        <v>2</v>
      </c>
      <c r="Z592">
        <v>1</v>
      </c>
    </row>
    <row r="593" spans="1:26">
      <c r="A593" t="s">
        <v>690</v>
      </c>
      <c r="B593" s="21">
        <v>43899</v>
      </c>
      <c r="C593" s="21">
        <v>44143</v>
      </c>
      <c r="D593" t="s">
        <v>57</v>
      </c>
      <c r="E593">
        <v>1</v>
      </c>
      <c r="F593" t="s">
        <v>67</v>
      </c>
      <c r="G593" t="s">
        <v>105</v>
      </c>
      <c r="H593" t="s">
        <v>80</v>
      </c>
      <c r="I593" t="s">
        <v>48</v>
      </c>
      <c r="J593" t="s">
        <v>54</v>
      </c>
      <c r="K593">
        <v>56</v>
      </c>
      <c r="L593" t="s">
        <v>33</v>
      </c>
      <c r="M593" t="s">
        <v>40</v>
      </c>
      <c r="N593" t="s">
        <v>35</v>
      </c>
      <c r="O593">
        <v>2108000</v>
      </c>
      <c r="P593">
        <v>175666.67</v>
      </c>
      <c r="Q593">
        <v>8</v>
      </c>
      <c r="R593" t="s">
        <v>55</v>
      </c>
      <c r="S593">
        <v>3.6</v>
      </c>
      <c r="T593">
        <v>59</v>
      </c>
      <c r="U593">
        <v>21</v>
      </c>
      <c r="V593">
        <v>5</v>
      </c>
      <c r="W593" t="s">
        <v>37</v>
      </c>
      <c r="X593">
        <v>2.8</v>
      </c>
      <c r="Y593">
        <v>5</v>
      </c>
      <c r="Z593">
        <v>9.4</v>
      </c>
    </row>
    <row r="594" spans="1:26">
      <c r="A594" t="s">
        <v>691</v>
      </c>
      <c r="B594" s="21">
        <v>45449</v>
      </c>
      <c r="C594" s="21"/>
      <c r="D594" t="s">
        <v>27</v>
      </c>
      <c r="E594">
        <v>0</v>
      </c>
      <c r="F594" t="s">
        <v>28</v>
      </c>
      <c r="G594" t="s">
        <v>105</v>
      </c>
      <c r="H594" t="s">
        <v>64</v>
      </c>
      <c r="I594" t="s">
        <v>31</v>
      </c>
      <c r="J594" t="s">
        <v>32</v>
      </c>
      <c r="K594">
        <v>58</v>
      </c>
      <c r="L594" t="s">
        <v>96</v>
      </c>
      <c r="M594" t="s">
        <v>40</v>
      </c>
      <c r="N594" t="s">
        <v>35</v>
      </c>
      <c r="O594">
        <v>1949000</v>
      </c>
      <c r="P594">
        <v>162416.67000000001</v>
      </c>
      <c r="Q594">
        <v>18</v>
      </c>
      <c r="R594" t="s">
        <v>116</v>
      </c>
      <c r="S594">
        <v>4</v>
      </c>
      <c r="T594">
        <v>37</v>
      </c>
      <c r="U594">
        <v>15</v>
      </c>
      <c r="V594">
        <v>0</v>
      </c>
      <c r="W594" t="s">
        <v>37</v>
      </c>
      <c r="X594">
        <v>4.0999999999999996</v>
      </c>
      <c r="Y594">
        <v>1</v>
      </c>
      <c r="Z594">
        <v>13.4</v>
      </c>
    </row>
    <row r="595" spans="1:26">
      <c r="A595" t="s">
        <v>692</v>
      </c>
      <c r="B595" s="21">
        <v>42447</v>
      </c>
      <c r="C595" s="21"/>
      <c r="D595" t="s">
        <v>27</v>
      </c>
      <c r="E595">
        <v>0</v>
      </c>
      <c r="F595" t="s">
        <v>67</v>
      </c>
      <c r="G595" t="s">
        <v>88</v>
      </c>
      <c r="H595" t="s">
        <v>77</v>
      </c>
      <c r="I595" t="s">
        <v>31</v>
      </c>
      <c r="J595" t="s">
        <v>32</v>
      </c>
      <c r="K595">
        <v>49</v>
      </c>
      <c r="L595" t="s">
        <v>33</v>
      </c>
      <c r="M595" t="s">
        <v>40</v>
      </c>
      <c r="N595" t="s">
        <v>35</v>
      </c>
      <c r="O595">
        <v>1188000</v>
      </c>
      <c r="P595">
        <v>99000</v>
      </c>
      <c r="Q595">
        <v>117</v>
      </c>
      <c r="R595" t="s">
        <v>55</v>
      </c>
      <c r="S595">
        <v>3.5</v>
      </c>
      <c r="T595">
        <v>23</v>
      </c>
      <c r="U595">
        <v>21</v>
      </c>
      <c r="V595">
        <v>11</v>
      </c>
      <c r="W595" t="s">
        <v>37</v>
      </c>
      <c r="X595">
        <v>2.7</v>
      </c>
      <c r="Y595">
        <v>1</v>
      </c>
      <c r="Z595">
        <v>7.2</v>
      </c>
    </row>
    <row r="596" spans="1:26">
      <c r="A596" t="s">
        <v>693</v>
      </c>
      <c r="B596" s="21">
        <v>45829</v>
      </c>
      <c r="C596" s="21"/>
      <c r="D596" t="s">
        <v>27</v>
      </c>
      <c r="E596">
        <v>0</v>
      </c>
      <c r="F596" t="s">
        <v>67</v>
      </c>
      <c r="G596" t="s">
        <v>51</v>
      </c>
      <c r="H596" t="s">
        <v>95</v>
      </c>
      <c r="I596" t="s">
        <v>75</v>
      </c>
      <c r="J596" t="s">
        <v>54</v>
      </c>
      <c r="K596">
        <v>43</v>
      </c>
      <c r="L596" t="s">
        <v>42</v>
      </c>
      <c r="M596" t="s">
        <v>58</v>
      </c>
      <c r="N596" t="s">
        <v>35</v>
      </c>
      <c r="O596">
        <v>771000</v>
      </c>
      <c r="P596">
        <v>64250</v>
      </c>
      <c r="Q596">
        <v>6</v>
      </c>
      <c r="R596" t="s">
        <v>116</v>
      </c>
      <c r="S596">
        <v>3.6</v>
      </c>
      <c r="T596">
        <v>48</v>
      </c>
      <c r="U596">
        <v>10</v>
      </c>
      <c r="V596">
        <v>6</v>
      </c>
      <c r="W596" t="s">
        <v>37</v>
      </c>
      <c r="X596">
        <v>3.4</v>
      </c>
      <c r="Y596">
        <v>1</v>
      </c>
      <c r="Z596">
        <v>5.6</v>
      </c>
    </row>
    <row r="597" spans="1:26">
      <c r="A597" t="s">
        <v>694</v>
      </c>
      <c r="B597" s="21">
        <v>45868</v>
      </c>
      <c r="C597" s="21"/>
      <c r="D597" t="s">
        <v>27</v>
      </c>
      <c r="E597">
        <v>0</v>
      </c>
      <c r="F597" t="s">
        <v>67</v>
      </c>
      <c r="G597" t="s">
        <v>91</v>
      </c>
      <c r="H597" t="s">
        <v>80</v>
      </c>
      <c r="I597" t="s">
        <v>62</v>
      </c>
      <c r="J597" t="s">
        <v>32</v>
      </c>
      <c r="K597">
        <v>45</v>
      </c>
      <c r="L597" t="s">
        <v>33</v>
      </c>
      <c r="M597" t="s">
        <v>34</v>
      </c>
      <c r="N597" t="s">
        <v>35</v>
      </c>
      <c r="O597">
        <v>1501000</v>
      </c>
      <c r="P597">
        <v>125083.33</v>
      </c>
      <c r="Q597">
        <v>5</v>
      </c>
      <c r="R597" t="s">
        <v>36</v>
      </c>
      <c r="S597">
        <v>2.7</v>
      </c>
      <c r="T597">
        <v>40</v>
      </c>
      <c r="U597">
        <v>4</v>
      </c>
      <c r="V597">
        <v>6</v>
      </c>
      <c r="W597" t="s">
        <v>44</v>
      </c>
      <c r="X597">
        <v>3.8</v>
      </c>
      <c r="Y597">
        <v>1</v>
      </c>
      <c r="Z597">
        <v>6.6</v>
      </c>
    </row>
    <row r="598" spans="1:26">
      <c r="A598" t="s">
        <v>695</v>
      </c>
      <c r="B598" s="21">
        <v>42741</v>
      </c>
      <c r="C598" s="21"/>
      <c r="D598" t="s">
        <v>27</v>
      </c>
      <c r="E598">
        <v>0</v>
      </c>
      <c r="F598" t="s">
        <v>73</v>
      </c>
      <c r="G598" t="s">
        <v>70</v>
      </c>
      <c r="H598" t="s">
        <v>118</v>
      </c>
      <c r="I598" t="s">
        <v>53</v>
      </c>
      <c r="J598" t="s">
        <v>32</v>
      </c>
      <c r="K598">
        <v>39</v>
      </c>
      <c r="L598" t="s">
        <v>33</v>
      </c>
      <c r="M598" t="s">
        <v>34</v>
      </c>
      <c r="N598" t="s">
        <v>35</v>
      </c>
      <c r="O598">
        <v>656000</v>
      </c>
      <c r="P598">
        <v>54666.67</v>
      </c>
      <c r="Q598">
        <v>107</v>
      </c>
      <c r="R598" t="s">
        <v>103</v>
      </c>
      <c r="S598">
        <v>2.8</v>
      </c>
      <c r="T598">
        <v>49</v>
      </c>
      <c r="U598">
        <v>11</v>
      </c>
      <c r="V598">
        <v>6</v>
      </c>
      <c r="W598" t="s">
        <v>37</v>
      </c>
      <c r="X598">
        <v>3.9</v>
      </c>
      <c r="Y598">
        <v>0</v>
      </c>
      <c r="Z598">
        <v>3.3</v>
      </c>
    </row>
    <row r="599" spans="1:26">
      <c r="A599" t="s">
        <v>696</v>
      </c>
      <c r="B599" s="21">
        <v>43495</v>
      </c>
      <c r="C599" s="21"/>
      <c r="D599" t="s">
        <v>27</v>
      </c>
      <c r="E599">
        <v>0</v>
      </c>
      <c r="F599" t="s">
        <v>60</v>
      </c>
      <c r="G599" t="s">
        <v>29</v>
      </c>
      <c r="H599" t="s">
        <v>112</v>
      </c>
      <c r="I599" t="s">
        <v>31</v>
      </c>
      <c r="J599" t="s">
        <v>32</v>
      </c>
      <c r="K599">
        <v>32</v>
      </c>
      <c r="L599" t="s">
        <v>33</v>
      </c>
      <c r="M599" t="s">
        <v>34</v>
      </c>
      <c r="N599" t="s">
        <v>35</v>
      </c>
      <c r="O599">
        <v>319000</v>
      </c>
      <c r="P599">
        <v>26583.33</v>
      </c>
      <c r="Q599">
        <v>83</v>
      </c>
      <c r="R599" t="s">
        <v>103</v>
      </c>
      <c r="S599">
        <v>1.8</v>
      </c>
      <c r="T599">
        <v>22</v>
      </c>
      <c r="U599">
        <v>26</v>
      </c>
      <c r="V599">
        <v>7</v>
      </c>
      <c r="W599" t="s">
        <v>44</v>
      </c>
      <c r="X599">
        <v>3.3</v>
      </c>
      <c r="Y599">
        <v>3</v>
      </c>
      <c r="Z599">
        <v>8.6</v>
      </c>
    </row>
    <row r="600" spans="1:26">
      <c r="A600" t="s">
        <v>697</v>
      </c>
      <c r="B600" s="21">
        <v>42990</v>
      </c>
      <c r="C600" s="21"/>
      <c r="D600" t="s">
        <v>27</v>
      </c>
      <c r="E600">
        <v>0</v>
      </c>
      <c r="F600" t="s">
        <v>67</v>
      </c>
      <c r="G600" t="s">
        <v>51</v>
      </c>
      <c r="H600" t="s">
        <v>77</v>
      </c>
      <c r="I600" t="s">
        <v>41</v>
      </c>
      <c r="J600" t="s">
        <v>32</v>
      </c>
      <c r="K600">
        <v>39</v>
      </c>
      <c r="L600" t="s">
        <v>33</v>
      </c>
      <c r="M600" t="s">
        <v>40</v>
      </c>
      <c r="N600" t="s">
        <v>35</v>
      </c>
      <c r="O600">
        <v>918000</v>
      </c>
      <c r="P600">
        <v>76500</v>
      </c>
      <c r="Q600">
        <v>99</v>
      </c>
      <c r="R600" t="s">
        <v>36</v>
      </c>
      <c r="S600">
        <v>2</v>
      </c>
      <c r="T600">
        <v>18</v>
      </c>
      <c r="U600">
        <v>18</v>
      </c>
      <c r="V600">
        <v>12</v>
      </c>
      <c r="W600" t="s">
        <v>44</v>
      </c>
      <c r="X600">
        <v>3.1</v>
      </c>
      <c r="Y600">
        <v>5</v>
      </c>
      <c r="Z600">
        <v>9.1</v>
      </c>
    </row>
    <row r="601" spans="1:26">
      <c r="A601" t="s">
        <v>698</v>
      </c>
      <c r="B601" s="21">
        <v>43914</v>
      </c>
      <c r="C601" s="21"/>
      <c r="D601" t="s">
        <v>27</v>
      </c>
      <c r="E601">
        <v>0</v>
      </c>
      <c r="F601" t="s">
        <v>50</v>
      </c>
      <c r="G601" t="s">
        <v>29</v>
      </c>
      <c r="H601" t="s">
        <v>52</v>
      </c>
      <c r="I601" t="s">
        <v>53</v>
      </c>
      <c r="J601" t="s">
        <v>54</v>
      </c>
      <c r="K601">
        <v>34</v>
      </c>
      <c r="L601" t="s">
        <v>33</v>
      </c>
      <c r="M601" t="s">
        <v>43</v>
      </c>
      <c r="N601" t="s">
        <v>35</v>
      </c>
      <c r="O601">
        <v>389000</v>
      </c>
      <c r="P601">
        <v>32416.67</v>
      </c>
      <c r="Q601">
        <v>69</v>
      </c>
      <c r="R601" t="s">
        <v>36</v>
      </c>
      <c r="S601">
        <v>2.2000000000000002</v>
      </c>
      <c r="T601">
        <v>60</v>
      </c>
      <c r="U601">
        <v>13</v>
      </c>
      <c r="V601">
        <v>6</v>
      </c>
      <c r="W601" t="s">
        <v>37</v>
      </c>
      <c r="X601">
        <v>3.5</v>
      </c>
      <c r="Y601">
        <v>3</v>
      </c>
      <c r="Z601">
        <v>10.1</v>
      </c>
    </row>
    <row r="602" spans="1:26">
      <c r="A602" t="s">
        <v>699</v>
      </c>
      <c r="B602" s="21">
        <v>43692</v>
      </c>
      <c r="C602" s="21"/>
      <c r="D602" t="s">
        <v>27</v>
      </c>
      <c r="E602">
        <v>0</v>
      </c>
      <c r="F602" t="s">
        <v>60</v>
      </c>
      <c r="G602" t="s">
        <v>70</v>
      </c>
      <c r="H602" t="s">
        <v>112</v>
      </c>
      <c r="I602" t="s">
        <v>62</v>
      </c>
      <c r="J602" t="s">
        <v>32</v>
      </c>
      <c r="K602">
        <v>33</v>
      </c>
      <c r="L602" t="s">
        <v>42</v>
      </c>
      <c r="M602" t="s">
        <v>78</v>
      </c>
      <c r="N602" t="s">
        <v>35</v>
      </c>
      <c r="O602">
        <v>582000</v>
      </c>
      <c r="P602">
        <v>48500</v>
      </c>
      <c r="Q602">
        <v>76</v>
      </c>
      <c r="R602" t="s">
        <v>55</v>
      </c>
      <c r="S602">
        <v>2.9</v>
      </c>
      <c r="T602">
        <v>78</v>
      </c>
      <c r="U602">
        <v>2</v>
      </c>
      <c r="V602">
        <v>0</v>
      </c>
      <c r="W602" t="s">
        <v>37</v>
      </c>
      <c r="X602">
        <v>4</v>
      </c>
      <c r="Y602">
        <v>1</v>
      </c>
      <c r="Z602">
        <v>5.8</v>
      </c>
    </row>
    <row r="603" spans="1:26">
      <c r="A603" t="s">
        <v>700</v>
      </c>
      <c r="B603" s="21">
        <v>43126</v>
      </c>
      <c r="C603" s="21"/>
      <c r="D603" t="s">
        <v>27</v>
      </c>
      <c r="E603">
        <v>0</v>
      </c>
      <c r="F603" t="s">
        <v>67</v>
      </c>
      <c r="G603" t="s">
        <v>70</v>
      </c>
      <c r="H603" t="s">
        <v>95</v>
      </c>
      <c r="I603" t="s">
        <v>48</v>
      </c>
      <c r="J603" t="s">
        <v>32</v>
      </c>
      <c r="K603">
        <v>36</v>
      </c>
      <c r="L603" t="s">
        <v>42</v>
      </c>
      <c r="M603" t="s">
        <v>78</v>
      </c>
      <c r="N603" t="s">
        <v>35</v>
      </c>
      <c r="O603">
        <v>515000</v>
      </c>
      <c r="P603">
        <v>42916.67</v>
      </c>
      <c r="Q603">
        <v>95</v>
      </c>
      <c r="R603" t="s">
        <v>36</v>
      </c>
      <c r="S603">
        <v>2.8</v>
      </c>
      <c r="T603">
        <v>80</v>
      </c>
      <c r="U603">
        <v>9</v>
      </c>
      <c r="V603">
        <v>0</v>
      </c>
      <c r="W603" t="s">
        <v>37</v>
      </c>
      <c r="X603">
        <v>4.2</v>
      </c>
      <c r="Y603">
        <v>1</v>
      </c>
      <c r="Z603">
        <v>8.6</v>
      </c>
    </row>
    <row r="604" spans="1:26">
      <c r="A604" t="s">
        <v>701</v>
      </c>
      <c r="B604" s="21">
        <v>43116</v>
      </c>
      <c r="C604" s="21"/>
      <c r="D604" t="s">
        <v>27</v>
      </c>
      <c r="E604">
        <v>0</v>
      </c>
      <c r="F604" t="s">
        <v>67</v>
      </c>
      <c r="G604" t="s">
        <v>70</v>
      </c>
      <c r="H604" t="s">
        <v>68</v>
      </c>
      <c r="I604" t="s">
        <v>53</v>
      </c>
      <c r="J604" t="s">
        <v>134</v>
      </c>
      <c r="K604">
        <v>46</v>
      </c>
      <c r="L604" t="s">
        <v>33</v>
      </c>
      <c r="M604" t="s">
        <v>34</v>
      </c>
      <c r="N604" t="s">
        <v>35</v>
      </c>
      <c r="O604">
        <v>682000</v>
      </c>
      <c r="P604">
        <v>56833.33</v>
      </c>
      <c r="Q604">
        <v>95</v>
      </c>
      <c r="R604" t="s">
        <v>103</v>
      </c>
      <c r="S604">
        <v>3.6</v>
      </c>
      <c r="T604">
        <v>35</v>
      </c>
      <c r="U604">
        <v>15</v>
      </c>
      <c r="V604">
        <v>2</v>
      </c>
      <c r="W604" t="s">
        <v>37</v>
      </c>
      <c r="X604">
        <v>2.2999999999999998</v>
      </c>
      <c r="Y604">
        <v>1</v>
      </c>
      <c r="Z604">
        <v>10.4</v>
      </c>
    </row>
    <row r="605" spans="1:26">
      <c r="A605" t="s">
        <v>702</v>
      </c>
      <c r="B605" s="21">
        <v>43751</v>
      </c>
      <c r="C605" s="21"/>
      <c r="D605" t="s">
        <v>27</v>
      </c>
      <c r="E605">
        <v>0</v>
      </c>
      <c r="F605" t="s">
        <v>98</v>
      </c>
      <c r="G605" t="s">
        <v>51</v>
      </c>
      <c r="H605" t="s">
        <v>106</v>
      </c>
      <c r="I605" t="s">
        <v>53</v>
      </c>
      <c r="J605" t="s">
        <v>32</v>
      </c>
      <c r="K605">
        <v>32</v>
      </c>
      <c r="L605" t="s">
        <v>82</v>
      </c>
      <c r="M605" t="s">
        <v>65</v>
      </c>
      <c r="N605" t="s">
        <v>35</v>
      </c>
      <c r="O605">
        <v>686000</v>
      </c>
      <c r="P605">
        <v>57166.67</v>
      </c>
      <c r="Q605">
        <v>74</v>
      </c>
      <c r="R605" t="s">
        <v>36</v>
      </c>
      <c r="S605">
        <v>4.9000000000000004</v>
      </c>
      <c r="T605">
        <v>58</v>
      </c>
      <c r="U605">
        <v>11</v>
      </c>
      <c r="V605">
        <v>12</v>
      </c>
      <c r="W605" t="s">
        <v>37</v>
      </c>
      <c r="X605">
        <v>3.2</v>
      </c>
      <c r="Y605">
        <v>2</v>
      </c>
      <c r="Z605">
        <v>1.4</v>
      </c>
    </row>
    <row r="606" spans="1:26">
      <c r="A606" t="s">
        <v>703</v>
      </c>
      <c r="B606" s="21">
        <v>45289</v>
      </c>
      <c r="C606" s="21"/>
      <c r="D606" t="s">
        <v>27</v>
      </c>
      <c r="E606">
        <v>0</v>
      </c>
      <c r="F606" t="s">
        <v>60</v>
      </c>
      <c r="G606" t="s">
        <v>29</v>
      </c>
      <c r="H606" t="s">
        <v>61</v>
      </c>
      <c r="I606" t="s">
        <v>62</v>
      </c>
      <c r="J606" t="s">
        <v>54</v>
      </c>
      <c r="K606">
        <v>29</v>
      </c>
      <c r="L606" t="s">
        <v>42</v>
      </c>
      <c r="M606" t="s">
        <v>40</v>
      </c>
      <c r="N606" t="s">
        <v>35</v>
      </c>
      <c r="O606">
        <v>424000</v>
      </c>
      <c r="P606">
        <v>35333.33</v>
      </c>
      <c r="Q606">
        <v>24</v>
      </c>
      <c r="R606" t="s">
        <v>36</v>
      </c>
      <c r="S606">
        <v>5</v>
      </c>
      <c r="T606">
        <v>45</v>
      </c>
      <c r="U606">
        <v>8</v>
      </c>
      <c r="V606">
        <v>9</v>
      </c>
      <c r="W606" t="s">
        <v>37</v>
      </c>
      <c r="X606">
        <v>4.3</v>
      </c>
      <c r="Y606">
        <v>3</v>
      </c>
      <c r="Z606">
        <v>3.7</v>
      </c>
    </row>
    <row r="607" spans="1:26">
      <c r="A607" t="s">
        <v>704</v>
      </c>
      <c r="B607" s="21">
        <v>44675</v>
      </c>
      <c r="C607" s="21"/>
      <c r="D607" t="s">
        <v>27</v>
      </c>
      <c r="E607">
        <v>0</v>
      </c>
      <c r="F607" t="s">
        <v>28</v>
      </c>
      <c r="G607" t="s">
        <v>88</v>
      </c>
      <c r="H607" t="s">
        <v>64</v>
      </c>
      <c r="I607" t="s">
        <v>62</v>
      </c>
      <c r="J607" t="s">
        <v>32</v>
      </c>
      <c r="K607">
        <v>48</v>
      </c>
      <c r="L607" t="s">
        <v>42</v>
      </c>
      <c r="M607" t="s">
        <v>65</v>
      </c>
      <c r="N607" t="s">
        <v>93</v>
      </c>
      <c r="O607">
        <v>1206000</v>
      </c>
      <c r="P607">
        <v>100500</v>
      </c>
      <c r="Q607">
        <v>44</v>
      </c>
      <c r="R607" t="s">
        <v>116</v>
      </c>
      <c r="S607">
        <v>2.7</v>
      </c>
      <c r="T607">
        <v>78</v>
      </c>
      <c r="U607">
        <v>14</v>
      </c>
      <c r="V607">
        <v>1</v>
      </c>
      <c r="W607" t="s">
        <v>44</v>
      </c>
      <c r="X607">
        <v>3</v>
      </c>
      <c r="Y607">
        <v>0</v>
      </c>
      <c r="Z607">
        <v>7.9</v>
      </c>
    </row>
    <row r="608" spans="1:26">
      <c r="A608" t="s">
        <v>705</v>
      </c>
      <c r="B608" s="21">
        <v>42570</v>
      </c>
      <c r="C608" s="21">
        <v>43689</v>
      </c>
      <c r="D608" t="s">
        <v>57</v>
      </c>
      <c r="E608">
        <v>1</v>
      </c>
      <c r="F608" t="s">
        <v>73</v>
      </c>
      <c r="G608" t="s">
        <v>70</v>
      </c>
      <c r="H608" t="s">
        <v>126</v>
      </c>
      <c r="I608" t="s">
        <v>62</v>
      </c>
      <c r="J608" t="s">
        <v>32</v>
      </c>
      <c r="K608">
        <v>53</v>
      </c>
      <c r="L608" t="s">
        <v>33</v>
      </c>
      <c r="M608" t="s">
        <v>58</v>
      </c>
      <c r="N608" t="s">
        <v>35</v>
      </c>
      <c r="O608">
        <v>712000</v>
      </c>
      <c r="P608">
        <v>59333.33</v>
      </c>
      <c r="Q608">
        <v>37</v>
      </c>
      <c r="R608" t="s">
        <v>55</v>
      </c>
      <c r="S608">
        <v>3</v>
      </c>
      <c r="T608">
        <v>52</v>
      </c>
      <c r="U608">
        <v>7</v>
      </c>
      <c r="V608">
        <v>13</v>
      </c>
      <c r="W608" t="s">
        <v>37</v>
      </c>
      <c r="X608">
        <v>3.3</v>
      </c>
      <c r="Y608">
        <v>2</v>
      </c>
      <c r="Z608">
        <v>9.6</v>
      </c>
    </row>
    <row r="609" spans="1:26">
      <c r="A609" t="s">
        <v>706</v>
      </c>
      <c r="B609" s="21">
        <v>43026</v>
      </c>
      <c r="C609" s="21">
        <v>44247</v>
      </c>
      <c r="D609" t="s">
        <v>57</v>
      </c>
      <c r="E609">
        <v>1</v>
      </c>
      <c r="F609" t="s">
        <v>67</v>
      </c>
      <c r="G609" t="s">
        <v>51</v>
      </c>
      <c r="H609" t="s">
        <v>68</v>
      </c>
      <c r="I609" t="s">
        <v>41</v>
      </c>
      <c r="J609" t="s">
        <v>32</v>
      </c>
      <c r="K609">
        <v>41</v>
      </c>
      <c r="L609" t="s">
        <v>33</v>
      </c>
      <c r="M609" t="s">
        <v>43</v>
      </c>
      <c r="N609" t="s">
        <v>35</v>
      </c>
      <c r="O609">
        <v>716000</v>
      </c>
      <c r="P609">
        <v>59666.67</v>
      </c>
      <c r="Q609">
        <v>40</v>
      </c>
      <c r="R609" t="s">
        <v>55</v>
      </c>
      <c r="S609">
        <v>2.1</v>
      </c>
      <c r="T609">
        <v>18</v>
      </c>
      <c r="U609">
        <v>17</v>
      </c>
      <c r="V609">
        <v>4</v>
      </c>
      <c r="W609" t="s">
        <v>37</v>
      </c>
      <c r="X609">
        <v>3.3</v>
      </c>
      <c r="Y609">
        <v>2</v>
      </c>
      <c r="Z609">
        <v>11.5</v>
      </c>
    </row>
    <row r="610" spans="1:26">
      <c r="A610" t="s">
        <v>707</v>
      </c>
      <c r="B610" s="21">
        <v>42414</v>
      </c>
      <c r="C610" s="21"/>
      <c r="D610" t="s">
        <v>27</v>
      </c>
      <c r="E610">
        <v>0</v>
      </c>
      <c r="F610" t="s">
        <v>98</v>
      </c>
      <c r="G610" t="s">
        <v>88</v>
      </c>
      <c r="H610" t="s">
        <v>99</v>
      </c>
      <c r="I610" t="s">
        <v>31</v>
      </c>
      <c r="J610" t="s">
        <v>54</v>
      </c>
      <c r="K610">
        <v>37</v>
      </c>
      <c r="L610" t="s">
        <v>33</v>
      </c>
      <c r="M610" t="s">
        <v>58</v>
      </c>
      <c r="N610" t="s">
        <v>35</v>
      </c>
      <c r="O610">
        <v>1047000</v>
      </c>
      <c r="P610">
        <v>87250</v>
      </c>
      <c r="Q610">
        <v>118</v>
      </c>
      <c r="R610" t="s">
        <v>36</v>
      </c>
      <c r="S610">
        <v>2.8</v>
      </c>
      <c r="T610">
        <v>32</v>
      </c>
      <c r="U610">
        <v>0</v>
      </c>
      <c r="V610">
        <v>3</v>
      </c>
      <c r="W610" t="s">
        <v>37</v>
      </c>
      <c r="X610">
        <v>2.5</v>
      </c>
      <c r="Y610">
        <v>4</v>
      </c>
      <c r="Z610">
        <v>13.2</v>
      </c>
    </row>
    <row r="611" spans="1:26">
      <c r="A611" t="s">
        <v>708</v>
      </c>
      <c r="B611" s="21">
        <v>44766</v>
      </c>
      <c r="C611" s="21"/>
      <c r="D611" t="s">
        <v>27</v>
      </c>
      <c r="E611">
        <v>0</v>
      </c>
      <c r="F611" t="s">
        <v>67</v>
      </c>
      <c r="G611" t="s">
        <v>51</v>
      </c>
      <c r="H611" t="s">
        <v>68</v>
      </c>
      <c r="I611" t="s">
        <v>31</v>
      </c>
      <c r="J611" t="s">
        <v>149</v>
      </c>
      <c r="K611">
        <v>45</v>
      </c>
      <c r="L611" t="s">
        <v>33</v>
      </c>
      <c r="M611" t="s">
        <v>43</v>
      </c>
      <c r="N611" t="s">
        <v>35</v>
      </c>
      <c r="O611">
        <v>777000</v>
      </c>
      <c r="P611">
        <v>64750</v>
      </c>
      <c r="Q611">
        <v>41</v>
      </c>
      <c r="R611" t="s">
        <v>36</v>
      </c>
      <c r="S611">
        <v>4.5999999999999996</v>
      </c>
      <c r="T611">
        <v>35</v>
      </c>
      <c r="U611">
        <v>18</v>
      </c>
      <c r="V611">
        <v>1</v>
      </c>
      <c r="W611" t="s">
        <v>37</v>
      </c>
      <c r="X611">
        <v>4.7</v>
      </c>
      <c r="Y611">
        <v>4</v>
      </c>
      <c r="Z611">
        <v>14.1</v>
      </c>
    </row>
    <row r="612" spans="1:26">
      <c r="A612" t="s">
        <v>709</v>
      </c>
      <c r="B612" s="21">
        <v>43400</v>
      </c>
      <c r="C612" s="21"/>
      <c r="D612" t="s">
        <v>27</v>
      </c>
      <c r="E612">
        <v>0</v>
      </c>
      <c r="F612" t="s">
        <v>60</v>
      </c>
      <c r="G612" t="s">
        <v>88</v>
      </c>
      <c r="H612" t="s">
        <v>61</v>
      </c>
      <c r="I612" t="s">
        <v>75</v>
      </c>
      <c r="J612" t="s">
        <v>54</v>
      </c>
      <c r="K612">
        <v>39</v>
      </c>
      <c r="L612" t="s">
        <v>42</v>
      </c>
      <c r="M612" t="s">
        <v>78</v>
      </c>
      <c r="N612" t="s">
        <v>35</v>
      </c>
      <c r="O612">
        <v>1120000</v>
      </c>
      <c r="P612">
        <v>93333.33</v>
      </c>
      <c r="Q612">
        <v>86</v>
      </c>
      <c r="R612" t="s">
        <v>103</v>
      </c>
      <c r="S612">
        <v>2.9</v>
      </c>
      <c r="T612">
        <v>72</v>
      </c>
      <c r="U612">
        <v>8</v>
      </c>
      <c r="V612">
        <v>2</v>
      </c>
      <c r="W612" t="s">
        <v>37</v>
      </c>
      <c r="X612">
        <v>3.5</v>
      </c>
      <c r="Y612">
        <v>4</v>
      </c>
      <c r="Z612">
        <v>2.2999999999999998</v>
      </c>
    </row>
    <row r="613" spans="1:26">
      <c r="A613" t="s">
        <v>710</v>
      </c>
      <c r="B613" s="21">
        <v>45104</v>
      </c>
      <c r="C613" s="21"/>
      <c r="D613" t="s">
        <v>27</v>
      </c>
      <c r="E613">
        <v>0</v>
      </c>
      <c r="F613" t="s">
        <v>73</v>
      </c>
      <c r="G613" t="s">
        <v>51</v>
      </c>
      <c r="H613" t="s">
        <v>102</v>
      </c>
      <c r="I613" t="s">
        <v>53</v>
      </c>
      <c r="J613" t="s">
        <v>32</v>
      </c>
      <c r="K613">
        <v>32</v>
      </c>
      <c r="L613" t="s">
        <v>130</v>
      </c>
      <c r="M613" t="s">
        <v>43</v>
      </c>
      <c r="N613" t="s">
        <v>35</v>
      </c>
      <c r="O613">
        <v>825000</v>
      </c>
      <c r="P613">
        <v>68750</v>
      </c>
      <c r="Q613">
        <v>30</v>
      </c>
      <c r="R613" t="s">
        <v>36</v>
      </c>
      <c r="S613">
        <v>4.2</v>
      </c>
      <c r="T613">
        <v>58</v>
      </c>
      <c r="U613">
        <v>0</v>
      </c>
      <c r="V613">
        <v>1</v>
      </c>
      <c r="W613" t="s">
        <v>37</v>
      </c>
      <c r="X613">
        <v>4.5999999999999996</v>
      </c>
      <c r="Y613">
        <v>2</v>
      </c>
      <c r="Z613">
        <v>15.9</v>
      </c>
    </row>
    <row r="614" spans="1:26">
      <c r="A614" t="s">
        <v>711</v>
      </c>
      <c r="B614" s="21">
        <v>44003</v>
      </c>
      <c r="C614" s="21"/>
      <c r="D614" t="s">
        <v>27</v>
      </c>
      <c r="E614">
        <v>0</v>
      </c>
      <c r="F614" t="s">
        <v>28</v>
      </c>
      <c r="G614" t="s">
        <v>51</v>
      </c>
      <c r="H614" t="s">
        <v>30</v>
      </c>
      <c r="I614" t="s">
        <v>31</v>
      </c>
      <c r="J614" t="s">
        <v>54</v>
      </c>
      <c r="K614">
        <v>43</v>
      </c>
      <c r="L614" t="s">
        <v>42</v>
      </c>
      <c r="M614" t="s">
        <v>34</v>
      </c>
      <c r="N614" t="s">
        <v>35</v>
      </c>
      <c r="O614">
        <v>815000</v>
      </c>
      <c r="P614">
        <v>67916.67</v>
      </c>
      <c r="Q614">
        <v>66</v>
      </c>
      <c r="R614" t="s">
        <v>36</v>
      </c>
      <c r="S614">
        <v>2.5</v>
      </c>
      <c r="T614">
        <v>45</v>
      </c>
      <c r="U614">
        <v>14</v>
      </c>
      <c r="V614">
        <v>0</v>
      </c>
      <c r="W614" t="s">
        <v>44</v>
      </c>
      <c r="X614">
        <v>5</v>
      </c>
      <c r="Y614">
        <v>0</v>
      </c>
      <c r="Z614">
        <v>11.2</v>
      </c>
    </row>
    <row r="615" spans="1:26">
      <c r="A615" t="s">
        <v>712</v>
      </c>
      <c r="B615" s="21">
        <v>44196</v>
      </c>
      <c r="C615" s="21"/>
      <c r="D615" t="s">
        <v>27</v>
      </c>
      <c r="E615">
        <v>0</v>
      </c>
      <c r="F615" t="s">
        <v>50</v>
      </c>
      <c r="G615" t="s">
        <v>70</v>
      </c>
      <c r="H615" t="s">
        <v>89</v>
      </c>
      <c r="I615" t="s">
        <v>62</v>
      </c>
      <c r="J615" t="s">
        <v>32</v>
      </c>
      <c r="K615">
        <v>38</v>
      </c>
      <c r="L615" t="s">
        <v>42</v>
      </c>
      <c r="M615" t="s">
        <v>34</v>
      </c>
      <c r="N615" t="s">
        <v>35</v>
      </c>
      <c r="O615">
        <v>536000</v>
      </c>
      <c r="P615">
        <v>44666.67</v>
      </c>
      <c r="Q615">
        <v>60</v>
      </c>
      <c r="R615" t="s">
        <v>36</v>
      </c>
      <c r="S615">
        <v>2.8</v>
      </c>
      <c r="T615">
        <v>29</v>
      </c>
      <c r="U615">
        <v>8</v>
      </c>
      <c r="V615">
        <v>0</v>
      </c>
      <c r="W615" t="s">
        <v>37</v>
      </c>
      <c r="X615">
        <v>2.4</v>
      </c>
      <c r="Y615">
        <v>5</v>
      </c>
      <c r="Z615">
        <v>4.7</v>
      </c>
    </row>
    <row r="616" spans="1:26">
      <c r="A616" t="s">
        <v>713</v>
      </c>
      <c r="B616" s="21">
        <v>45327</v>
      </c>
      <c r="C616" s="21"/>
      <c r="D616" t="s">
        <v>27</v>
      </c>
      <c r="E616">
        <v>0</v>
      </c>
      <c r="F616" t="s">
        <v>73</v>
      </c>
      <c r="G616" t="s">
        <v>70</v>
      </c>
      <c r="H616" t="s">
        <v>74</v>
      </c>
      <c r="I616" t="s">
        <v>62</v>
      </c>
      <c r="J616" t="s">
        <v>54</v>
      </c>
      <c r="K616">
        <v>43</v>
      </c>
      <c r="L616" t="s">
        <v>33</v>
      </c>
      <c r="M616" t="s">
        <v>43</v>
      </c>
      <c r="N616" t="s">
        <v>194</v>
      </c>
      <c r="O616">
        <v>675000</v>
      </c>
      <c r="P616">
        <v>56250</v>
      </c>
      <c r="Q616">
        <v>22</v>
      </c>
      <c r="R616" t="s">
        <v>36</v>
      </c>
      <c r="S616">
        <v>3.9</v>
      </c>
      <c r="T616">
        <v>71</v>
      </c>
      <c r="U616">
        <v>3</v>
      </c>
      <c r="V616">
        <v>1</v>
      </c>
      <c r="W616" t="s">
        <v>37</v>
      </c>
      <c r="X616">
        <v>4.2</v>
      </c>
      <c r="Y616">
        <v>2</v>
      </c>
      <c r="Z616">
        <v>3.6</v>
      </c>
    </row>
    <row r="617" spans="1:26">
      <c r="A617" t="s">
        <v>714</v>
      </c>
      <c r="B617" s="21">
        <v>43098</v>
      </c>
      <c r="C617" s="21"/>
      <c r="D617" t="s">
        <v>27</v>
      </c>
      <c r="E617">
        <v>0</v>
      </c>
      <c r="F617" t="s">
        <v>73</v>
      </c>
      <c r="G617" t="s">
        <v>51</v>
      </c>
      <c r="H617" t="s">
        <v>74</v>
      </c>
      <c r="I617" t="s">
        <v>53</v>
      </c>
      <c r="J617" t="s">
        <v>54</v>
      </c>
      <c r="K617">
        <v>31</v>
      </c>
      <c r="L617" t="s">
        <v>96</v>
      </c>
      <c r="M617" t="s">
        <v>40</v>
      </c>
      <c r="N617" t="s">
        <v>194</v>
      </c>
      <c r="O617">
        <v>707000</v>
      </c>
      <c r="P617">
        <v>58916.67</v>
      </c>
      <c r="Q617">
        <v>96</v>
      </c>
      <c r="R617" t="s">
        <v>55</v>
      </c>
      <c r="S617">
        <v>4.2</v>
      </c>
      <c r="T617">
        <v>37</v>
      </c>
      <c r="U617">
        <v>13</v>
      </c>
      <c r="V617">
        <v>6</v>
      </c>
      <c r="W617" t="s">
        <v>37</v>
      </c>
      <c r="X617">
        <v>3.2</v>
      </c>
      <c r="Y617">
        <v>5</v>
      </c>
      <c r="Z617">
        <v>11.6</v>
      </c>
    </row>
    <row r="618" spans="1:26">
      <c r="A618" t="s">
        <v>715</v>
      </c>
      <c r="B618" s="21">
        <v>43696</v>
      </c>
      <c r="C618" s="21"/>
      <c r="D618" t="s">
        <v>27</v>
      </c>
      <c r="E618">
        <v>0</v>
      </c>
      <c r="F618" t="s">
        <v>28</v>
      </c>
      <c r="G618" t="s">
        <v>105</v>
      </c>
      <c r="H618" t="s">
        <v>64</v>
      </c>
      <c r="I618" t="s">
        <v>62</v>
      </c>
      <c r="J618" t="s">
        <v>54</v>
      </c>
      <c r="K618">
        <v>56</v>
      </c>
      <c r="L618" t="s">
        <v>33</v>
      </c>
      <c r="M618" t="s">
        <v>58</v>
      </c>
      <c r="N618" t="s">
        <v>35</v>
      </c>
      <c r="O618">
        <v>1845000</v>
      </c>
      <c r="P618">
        <v>153750</v>
      </c>
      <c r="Q618">
        <v>76</v>
      </c>
      <c r="R618" t="s">
        <v>36</v>
      </c>
      <c r="S618">
        <v>3.5</v>
      </c>
      <c r="T618">
        <v>61</v>
      </c>
      <c r="U618">
        <v>21</v>
      </c>
      <c r="V618">
        <v>6</v>
      </c>
      <c r="W618" t="s">
        <v>37</v>
      </c>
      <c r="X618">
        <v>2.4</v>
      </c>
      <c r="Y618">
        <v>1</v>
      </c>
      <c r="Z618">
        <v>9.4</v>
      </c>
    </row>
    <row r="619" spans="1:26">
      <c r="A619" t="s">
        <v>716</v>
      </c>
      <c r="B619" s="21">
        <v>44627</v>
      </c>
      <c r="C619" s="21"/>
      <c r="D619" t="s">
        <v>27</v>
      </c>
      <c r="E619">
        <v>0</v>
      </c>
      <c r="F619" t="s">
        <v>60</v>
      </c>
      <c r="G619" t="s">
        <v>51</v>
      </c>
      <c r="H619" t="s">
        <v>109</v>
      </c>
      <c r="I619" t="s">
        <v>53</v>
      </c>
      <c r="J619" t="s">
        <v>54</v>
      </c>
      <c r="K619">
        <v>44</v>
      </c>
      <c r="L619" t="s">
        <v>42</v>
      </c>
      <c r="M619" t="s">
        <v>58</v>
      </c>
      <c r="N619" t="s">
        <v>35</v>
      </c>
      <c r="O619">
        <v>999000</v>
      </c>
      <c r="P619">
        <v>83250</v>
      </c>
      <c r="Q619">
        <v>45</v>
      </c>
      <c r="R619" t="s">
        <v>36</v>
      </c>
      <c r="S619">
        <v>3.5</v>
      </c>
      <c r="T619">
        <v>45</v>
      </c>
      <c r="U619">
        <v>15</v>
      </c>
      <c r="V619">
        <v>9</v>
      </c>
      <c r="W619" t="s">
        <v>37</v>
      </c>
      <c r="X619">
        <v>4.3</v>
      </c>
      <c r="Y619">
        <v>2</v>
      </c>
      <c r="Z619">
        <v>5.6</v>
      </c>
    </row>
    <row r="620" spans="1:26">
      <c r="A620" t="s">
        <v>717</v>
      </c>
      <c r="B620" s="21">
        <v>43687</v>
      </c>
      <c r="C620" s="21"/>
      <c r="D620" t="s">
        <v>27</v>
      </c>
      <c r="E620">
        <v>0</v>
      </c>
      <c r="F620" t="s">
        <v>67</v>
      </c>
      <c r="G620" t="s">
        <v>88</v>
      </c>
      <c r="H620" t="s">
        <v>95</v>
      </c>
      <c r="I620" t="s">
        <v>31</v>
      </c>
      <c r="J620" t="s">
        <v>54</v>
      </c>
      <c r="K620">
        <v>56</v>
      </c>
      <c r="L620" t="s">
        <v>42</v>
      </c>
      <c r="M620" t="s">
        <v>58</v>
      </c>
      <c r="N620" t="s">
        <v>35</v>
      </c>
      <c r="O620">
        <v>1042000</v>
      </c>
      <c r="P620">
        <v>86833.33</v>
      </c>
      <c r="Q620">
        <v>76</v>
      </c>
      <c r="R620" t="s">
        <v>116</v>
      </c>
      <c r="S620">
        <v>1.7</v>
      </c>
      <c r="T620">
        <v>28</v>
      </c>
      <c r="U620">
        <v>12</v>
      </c>
      <c r="V620">
        <v>9</v>
      </c>
      <c r="W620" t="s">
        <v>44</v>
      </c>
      <c r="X620">
        <v>3.9</v>
      </c>
      <c r="Y620">
        <v>3</v>
      </c>
      <c r="Z620">
        <v>2</v>
      </c>
    </row>
    <row r="621" spans="1:26">
      <c r="A621" t="s">
        <v>718</v>
      </c>
      <c r="B621" s="21">
        <v>42587</v>
      </c>
      <c r="C621" s="21"/>
      <c r="D621" t="s">
        <v>27</v>
      </c>
      <c r="E621">
        <v>0</v>
      </c>
      <c r="F621" t="s">
        <v>73</v>
      </c>
      <c r="G621" t="s">
        <v>51</v>
      </c>
      <c r="H621" t="s">
        <v>118</v>
      </c>
      <c r="I621" t="s">
        <v>31</v>
      </c>
      <c r="J621" t="s">
        <v>54</v>
      </c>
      <c r="K621">
        <v>32</v>
      </c>
      <c r="L621" t="s">
        <v>96</v>
      </c>
      <c r="M621" t="s">
        <v>34</v>
      </c>
      <c r="N621" t="s">
        <v>35</v>
      </c>
      <c r="O621">
        <v>824000</v>
      </c>
      <c r="P621">
        <v>68666.67</v>
      </c>
      <c r="Q621">
        <v>112</v>
      </c>
      <c r="R621" t="s">
        <v>103</v>
      </c>
      <c r="S621">
        <v>3.7</v>
      </c>
      <c r="T621">
        <v>3</v>
      </c>
      <c r="U621">
        <v>9</v>
      </c>
      <c r="V621">
        <v>4</v>
      </c>
      <c r="W621" t="s">
        <v>37</v>
      </c>
      <c r="X621">
        <v>2.7</v>
      </c>
      <c r="Y621">
        <v>2</v>
      </c>
      <c r="Z621">
        <v>11.8</v>
      </c>
    </row>
    <row r="622" spans="1:26">
      <c r="A622" t="s">
        <v>719</v>
      </c>
      <c r="B622" s="21">
        <v>45254</v>
      </c>
      <c r="C622" s="21"/>
      <c r="D622" t="s">
        <v>27</v>
      </c>
      <c r="E622">
        <v>0</v>
      </c>
      <c r="F622" t="s">
        <v>98</v>
      </c>
      <c r="G622" t="s">
        <v>51</v>
      </c>
      <c r="H622" t="s">
        <v>106</v>
      </c>
      <c r="I622" t="s">
        <v>41</v>
      </c>
      <c r="J622" t="s">
        <v>134</v>
      </c>
      <c r="K622">
        <v>40</v>
      </c>
      <c r="L622" t="s">
        <v>130</v>
      </c>
      <c r="M622" t="s">
        <v>78</v>
      </c>
      <c r="N622" t="s">
        <v>35</v>
      </c>
      <c r="O622">
        <v>710000</v>
      </c>
      <c r="P622">
        <v>59166.67</v>
      </c>
      <c r="Q622">
        <v>25</v>
      </c>
      <c r="R622" t="s">
        <v>55</v>
      </c>
      <c r="S622">
        <v>3.1</v>
      </c>
      <c r="T622">
        <v>9</v>
      </c>
      <c r="U622">
        <v>2</v>
      </c>
      <c r="V622">
        <v>8</v>
      </c>
      <c r="W622" t="s">
        <v>37</v>
      </c>
      <c r="X622">
        <v>3.5</v>
      </c>
      <c r="Y622">
        <v>4</v>
      </c>
      <c r="Z622">
        <v>13.1</v>
      </c>
    </row>
    <row r="623" spans="1:26">
      <c r="A623" t="s">
        <v>720</v>
      </c>
      <c r="B623" s="21">
        <v>45361</v>
      </c>
      <c r="C623" s="21">
        <v>45542</v>
      </c>
      <c r="D623" t="s">
        <v>57</v>
      </c>
      <c r="E623">
        <v>1</v>
      </c>
      <c r="F623" t="s">
        <v>28</v>
      </c>
      <c r="G623" t="s">
        <v>51</v>
      </c>
      <c r="H623" t="s">
        <v>121</v>
      </c>
      <c r="I623" t="s">
        <v>48</v>
      </c>
      <c r="J623" t="s">
        <v>32</v>
      </c>
      <c r="K623">
        <v>42</v>
      </c>
      <c r="L623" t="s">
        <v>42</v>
      </c>
      <c r="M623" t="s">
        <v>40</v>
      </c>
      <c r="N623" t="s">
        <v>35</v>
      </c>
      <c r="O623">
        <v>709000</v>
      </c>
      <c r="P623">
        <v>59083.33</v>
      </c>
      <c r="Q623">
        <v>6</v>
      </c>
      <c r="R623" t="s">
        <v>55</v>
      </c>
      <c r="S623">
        <v>3.9</v>
      </c>
      <c r="T623">
        <v>60</v>
      </c>
      <c r="U623">
        <v>25</v>
      </c>
      <c r="V623">
        <v>4</v>
      </c>
      <c r="W623" t="s">
        <v>37</v>
      </c>
      <c r="X623">
        <v>5</v>
      </c>
      <c r="Y623">
        <v>5</v>
      </c>
      <c r="Z623">
        <v>11.5</v>
      </c>
    </row>
    <row r="624" spans="1:26">
      <c r="A624" t="s">
        <v>721</v>
      </c>
      <c r="B624" s="21">
        <v>42762</v>
      </c>
      <c r="C624" s="21"/>
      <c r="D624" t="s">
        <v>27</v>
      </c>
      <c r="E624">
        <v>0</v>
      </c>
      <c r="F624" t="s">
        <v>67</v>
      </c>
      <c r="G624" t="s">
        <v>70</v>
      </c>
      <c r="H624" t="s">
        <v>80</v>
      </c>
      <c r="I624" t="s">
        <v>48</v>
      </c>
      <c r="J624" t="s">
        <v>54</v>
      </c>
      <c r="K624">
        <v>35</v>
      </c>
      <c r="L624" t="s">
        <v>42</v>
      </c>
      <c r="M624" t="s">
        <v>65</v>
      </c>
      <c r="N624" t="s">
        <v>35</v>
      </c>
      <c r="O624">
        <v>501000</v>
      </c>
      <c r="P624">
        <v>41750</v>
      </c>
      <c r="Q624">
        <v>107</v>
      </c>
      <c r="R624" t="s">
        <v>36</v>
      </c>
      <c r="S624">
        <v>4</v>
      </c>
      <c r="T624">
        <v>47</v>
      </c>
      <c r="U624">
        <v>6</v>
      </c>
      <c r="V624">
        <v>6</v>
      </c>
      <c r="W624" t="s">
        <v>44</v>
      </c>
      <c r="X624">
        <v>3.9</v>
      </c>
      <c r="Y624">
        <v>5</v>
      </c>
      <c r="Z624">
        <v>14.3</v>
      </c>
    </row>
    <row r="625" spans="1:26">
      <c r="A625" t="s">
        <v>722</v>
      </c>
      <c r="B625" s="21">
        <v>44537</v>
      </c>
      <c r="C625" s="21"/>
      <c r="D625" t="s">
        <v>27</v>
      </c>
      <c r="E625">
        <v>0</v>
      </c>
      <c r="F625" t="s">
        <v>67</v>
      </c>
      <c r="G625" t="s">
        <v>29</v>
      </c>
      <c r="H625" t="s">
        <v>95</v>
      </c>
      <c r="I625" t="s">
        <v>75</v>
      </c>
      <c r="J625" t="s">
        <v>54</v>
      </c>
      <c r="K625">
        <v>40</v>
      </c>
      <c r="L625" t="s">
        <v>42</v>
      </c>
      <c r="M625" t="s">
        <v>65</v>
      </c>
      <c r="N625" t="s">
        <v>35</v>
      </c>
      <c r="O625">
        <v>398000</v>
      </c>
      <c r="P625">
        <v>33166.67</v>
      </c>
      <c r="Q625">
        <v>48</v>
      </c>
      <c r="R625" t="s">
        <v>36</v>
      </c>
      <c r="S625">
        <v>3.6</v>
      </c>
      <c r="T625">
        <v>22</v>
      </c>
      <c r="U625">
        <v>7</v>
      </c>
      <c r="V625">
        <v>11</v>
      </c>
      <c r="W625" t="s">
        <v>37</v>
      </c>
      <c r="X625">
        <v>4.0999999999999996</v>
      </c>
      <c r="Y625">
        <v>5</v>
      </c>
      <c r="Z625">
        <v>10.6</v>
      </c>
    </row>
    <row r="626" spans="1:26">
      <c r="A626" t="s">
        <v>723</v>
      </c>
      <c r="B626" s="21">
        <v>45973</v>
      </c>
      <c r="C626" s="21"/>
      <c r="D626" t="s">
        <v>27</v>
      </c>
      <c r="E626">
        <v>0</v>
      </c>
      <c r="F626" t="s">
        <v>60</v>
      </c>
      <c r="G626" t="s">
        <v>88</v>
      </c>
      <c r="H626" t="s">
        <v>109</v>
      </c>
      <c r="I626" t="s">
        <v>41</v>
      </c>
      <c r="J626" t="s">
        <v>54</v>
      </c>
      <c r="K626">
        <v>44</v>
      </c>
      <c r="L626" t="s">
        <v>33</v>
      </c>
      <c r="M626" t="s">
        <v>43</v>
      </c>
      <c r="N626" t="s">
        <v>194</v>
      </c>
      <c r="O626">
        <v>1039000</v>
      </c>
      <c r="P626">
        <v>86583.33</v>
      </c>
      <c r="Q626">
        <v>1</v>
      </c>
      <c r="R626" t="s">
        <v>116</v>
      </c>
      <c r="S626">
        <v>2.6</v>
      </c>
      <c r="T626">
        <v>63</v>
      </c>
      <c r="U626">
        <v>15</v>
      </c>
      <c r="V626">
        <v>1</v>
      </c>
      <c r="W626" t="s">
        <v>37</v>
      </c>
      <c r="X626">
        <v>4.5999999999999996</v>
      </c>
      <c r="Y626">
        <v>0</v>
      </c>
      <c r="Z626">
        <v>2.1</v>
      </c>
    </row>
    <row r="627" spans="1:26">
      <c r="A627" t="s">
        <v>724</v>
      </c>
      <c r="B627" s="21">
        <v>44881</v>
      </c>
      <c r="C627" s="21"/>
      <c r="D627" t="s">
        <v>27</v>
      </c>
      <c r="E627">
        <v>0</v>
      </c>
      <c r="F627" t="s">
        <v>46</v>
      </c>
      <c r="G627" t="s">
        <v>29</v>
      </c>
      <c r="H627" t="s">
        <v>71</v>
      </c>
      <c r="I627" t="s">
        <v>62</v>
      </c>
      <c r="J627" t="s">
        <v>32</v>
      </c>
      <c r="K627">
        <v>48</v>
      </c>
      <c r="L627" t="s">
        <v>130</v>
      </c>
      <c r="M627" t="s">
        <v>65</v>
      </c>
      <c r="N627" t="s">
        <v>93</v>
      </c>
      <c r="O627">
        <v>452000</v>
      </c>
      <c r="P627">
        <v>37666.67</v>
      </c>
      <c r="Q627">
        <v>37</v>
      </c>
      <c r="R627" t="s">
        <v>36</v>
      </c>
      <c r="S627">
        <v>2.6</v>
      </c>
      <c r="T627">
        <v>61</v>
      </c>
      <c r="U627">
        <v>21</v>
      </c>
      <c r="V627">
        <v>2</v>
      </c>
      <c r="W627" t="s">
        <v>37</v>
      </c>
      <c r="X627">
        <v>4.4000000000000004</v>
      </c>
      <c r="Y627">
        <v>2</v>
      </c>
      <c r="Z627">
        <v>14.1</v>
      </c>
    </row>
    <row r="628" spans="1:26">
      <c r="A628" t="s">
        <v>725</v>
      </c>
      <c r="B628" s="21">
        <v>45268</v>
      </c>
      <c r="C628" s="21"/>
      <c r="D628" t="s">
        <v>27</v>
      </c>
      <c r="E628">
        <v>0</v>
      </c>
      <c r="F628" t="s">
        <v>60</v>
      </c>
      <c r="G628" t="s">
        <v>91</v>
      </c>
      <c r="H628" t="s">
        <v>112</v>
      </c>
      <c r="I628" t="s">
        <v>75</v>
      </c>
      <c r="J628" t="s">
        <v>54</v>
      </c>
      <c r="K628">
        <v>46</v>
      </c>
      <c r="L628" t="s">
        <v>33</v>
      </c>
      <c r="M628" t="s">
        <v>65</v>
      </c>
      <c r="N628" t="s">
        <v>93</v>
      </c>
      <c r="O628">
        <v>1491000</v>
      </c>
      <c r="P628">
        <v>124250</v>
      </c>
      <c r="Q628">
        <v>24</v>
      </c>
      <c r="R628" t="s">
        <v>116</v>
      </c>
      <c r="S628">
        <v>2.4</v>
      </c>
      <c r="T628">
        <v>54</v>
      </c>
      <c r="U628">
        <v>14</v>
      </c>
      <c r="V628">
        <v>3</v>
      </c>
      <c r="W628" t="s">
        <v>37</v>
      </c>
      <c r="X628">
        <v>2.7</v>
      </c>
      <c r="Y628">
        <v>4</v>
      </c>
      <c r="Z628">
        <v>5.4</v>
      </c>
    </row>
    <row r="629" spans="1:26">
      <c r="A629" t="s">
        <v>726</v>
      </c>
      <c r="B629" s="21">
        <v>44378</v>
      </c>
      <c r="C629" s="21">
        <v>44553</v>
      </c>
      <c r="D629" t="s">
        <v>57</v>
      </c>
      <c r="E629">
        <v>1</v>
      </c>
      <c r="F629" t="s">
        <v>73</v>
      </c>
      <c r="G629" t="s">
        <v>70</v>
      </c>
      <c r="H629" t="s">
        <v>118</v>
      </c>
      <c r="I629" t="s">
        <v>75</v>
      </c>
      <c r="J629" t="s">
        <v>32</v>
      </c>
      <c r="K629">
        <v>40</v>
      </c>
      <c r="L629" t="s">
        <v>42</v>
      </c>
      <c r="M629" t="s">
        <v>43</v>
      </c>
      <c r="N629" t="s">
        <v>35</v>
      </c>
      <c r="O629">
        <v>507000</v>
      </c>
      <c r="P629">
        <v>42250</v>
      </c>
      <c r="Q629">
        <v>5</v>
      </c>
      <c r="R629" t="s">
        <v>116</v>
      </c>
      <c r="S629">
        <v>3.6</v>
      </c>
      <c r="T629">
        <v>40</v>
      </c>
      <c r="U629">
        <v>1</v>
      </c>
      <c r="V629">
        <v>2</v>
      </c>
      <c r="W629" t="s">
        <v>37</v>
      </c>
      <c r="X629">
        <v>3.9</v>
      </c>
      <c r="Y629">
        <v>5</v>
      </c>
      <c r="Z629">
        <v>1</v>
      </c>
    </row>
    <row r="630" spans="1:26">
      <c r="A630" t="s">
        <v>727</v>
      </c>
      <c r="B630" s="21">
        <v>42563</v>
      </c>
      <c r="C630" s="21"/>
      <c r="D630" t="s">
        <v>27</v>
      </c>
      <c r="E630">
        <v>0</v>
      </c>
      <c r="F630" t="s">
        <v>39</v>
      </c>
      <c r="G630" t="s">
        <v>51</v>
      </c>
      <c r="H630" t="s">
        <v>85</v>
      </c>
      <c r="I630" t="s">
        <v>62</v>
      </c>
      <c r="J630" t="s">
        <v>54</v>
      </c>
      <c r="K630">
        <v>46</v>
      </c>
      <c r="L630" t="s">
        <v>96</v>
      </c>
      <c r="M630" t="s">
        <v>40</v>
      </c>
      <c r="N630" t="s">
        <v>35</v>
      </c>
      <c r="O630">
        <v>921000</v>
      </c>
      <c r="P630">
        <v>76750</v>
      </c>
      <c r="Q630">
        <v>113</v>
      </c>
      <c r="R630" t="s">
        <v>55</v>
      </c>
      <c r="S630">
        <v>3.3</v>
      </c>
      <c r="T630">
        <v>9</v>
      </c>
      <c r="U630">
        <v>6</v>
      </c>
      <c r="V630">
        <v>8</v>
      </c>
      <c r="W630" t="s">
        <v>37</v>
      </c>
      <c r="X630">
        <v>2.9</v>
      </c>
      <c r="Y630">
        <v>1</v>
      </c>
      <c r="Z630">
        <v>11.9</v>
      </c>
    </row>
    <row r="631" spans="1:26">
      <c r="A631" t="s">
        <v>728</v>
      </c>
      <c r="B631" s="21">
        <v>44709</v>
      </c>
      <c r="C631" s="21"/>
      <c r="D631" t="s">
        <v>27</v>
      </c>
      <c r="E631">
        <v>0</v>
      </c>
      <c r="F631" t="s">
        <v>98</v>
      </c>
      <c r="G631" t="s">
        <v>51</v>
      </c>
      <c r="H631" t="s">
        <v>212</v>
      </c>
      <c r="I631" t="s">
        <v>75</v>
      </c>
      <c r="J631" t="s">
        <v>32</v>
      </c>
      <c r="K631">
        <v>39</v>
      </c>
      <c r="L631" t="s">
        <v>33</v>
      </c>
      <c r="M631" t="s">
        <v>65</v>
      </c>
      <c r="N631" t="s">
        <v>35</v>
      </c>
      <c r="O631">
        <v>963000</v>
      </c>
      <c r="P631">
        <v>80250</v>
      </c>
      <c r="Q631">
        <v>43</v>
      </c>
      <c r="R631" t="s">
        <v>116</v>
      </c>
      <c r="S631">
        <v>3.4</v>
      </c>
      <c r="T631">
        <v>79</v>
      </c>
      <c r="U631">
        <v>16</v>
      </c>
      <c r="V631">
        <v>3</v>
      </c>
      <c r="W631" t="s">
        <v>37</v>
      </c>
      <c r="X631">
        <v>4.2</v>
      </c>
      <c r="Y631">
        <v>2</v>
      </c>
      <c r="Z631">
        <v>9.1</v>
      </c>
    </row>
    <row r="632" spans="1:26">
      <c r="A632" t="s">
        <v>729</v>
      </c>
      <c r="B632" s="21">
        <v>44101</v>
      </c>
      <c r="C632" s="21"/>
      <c r="D632" t="s">
        <v>27</v>
      </c>
      <c r="E632">
        <v>0</v>
      </c>
      <c r="F632" t="s">
        <v>98</v>
      </c>
      <c r="G632" t="s">
        <v>91</v>
      </c>
      <c r="H632" t="s">
        <v>106</v>
      </c>
      <c r="I632" t="s">
        <v>62</v>
      </c>
      <c r="J632" t="s">
        <v>32</v>
      </c>
      <c r="K632">
        <v>41</v>
      </c>
      <c r="L632" t="s">
        <v>33</v>
      </c>
      <c r="M632" t="s">
        <v>43</v>
      </c>
      <c r="N632" t="s">
        <v>35</v>
      </c>
      <c r="O632">
        <v>1379000</v>
      </c>
      <c r="P632">
        <v>114916.67</v>
      </c>
      <c r="Q632">
        <v>63</v>
      </c>
      <c r="R632" t="s">
        <v>55</v>
      </c>
      <c r="S632">
        <v>2.4</v>
      </c>
      <c r="T632">
        <v>50</v>
      </c>
      <c r="U632">
        <v>17</v>
      </c>
      <c r="V632">
        <v>3</v>
      </c>
      <c r="W632" t="s">
        <v>37</v>
      </c>
      <c r="X632">
        <v>4.3</v>
      </c>
      <c r="Y632">
        <v>0</v>
      </c>
      <c r="Z632">
        <v>5.8</v>
      </c>
    </row>
    <row r="633" spans="1:26">
      <c r="A633" t="s">
        <v>730</v>
      </c>
      <c r="B633" s="21">
        <v>42897</v>
      </c>
      <c r="C633" s="21"/>
      <c r="D633" t="s">
        <v>27</v>
      </c>
      <c r="E633">
        <v>0</v>
      </c>
      <c r="F633" t="s">
        <v>67</v>
      </c>
      <c r="G633" t="s">
        <v>88</v>
      </c>
      <c r="H633" t="s">
        <v>68</v>
      </c>
      <c r="I633" t="s">
        <v>75</v>
      </c>
      <c r="J633" t="s">
        <v>32</v>
      </c>
      <c r="K633">
        <v>40</v>
      </c>
      <c r="L633" t="s">
        <v>33</v>
      </c>
      <c r="M633" t="s">
        <v>43</v>
      </c>
      <c r="N633" t="s">
        <v>35</v>
      </c>
      <c r="O633">
        <v>1165000</v>
      </c>
      <c r="P633">
        <v>97083.33</v>
      </c>
      <c r="Q633">
        <v>102</v>
      </c>
      <c r="R633" t="s">
        <v>36</v>
      </c>
      <c r="S633">
        <v>3</v>
      </c>
      <c r="T633">
        <v>15</v>
      </c>
      <c r="U633">
        <v>9</v>
      </c>
      <c r="V633">
        <v>3</v>
      </c>
      <c r="W633" t="s">
        <v>37</v>
      </c>
      <c r="X633">
        <v>4</v>
      </c>
      <c r="Y633">
        <v>5</v>
      </c>
      <c r="Z633">
        <v>13.9</v>
      </c>
    </row>
    <row r="634" spans="1:26">
      <c r="A634" t="s">
        <v>731</v>
      </c>
      <c r="B634" s="21">
        <v>43197</v>
      </c>
      <c r="C634" s="21"/>
      <c r="D634" t="s">
        <v>27</v>
      </c>
      <c r="E634">
        <v>0</v>
      </c>
      <c r="F634" t="s">
        <v>73</v>
      </c>
      <c r="G634" t="s">
        <v>91</v>
      </c>
      <c r="H634" t="s">
        <v>118</v>
      </c>
      <c r="I634" t="s">
        <v>62</v>
      </c>
      <c r="J634" t="s">
        <v>54</v>
      </c>
      <c r="K634">
        <v>54</v>
      </c>
      <c r="L634" t="s">
        <v>33</v>
      </c>
      <c r="M634" t="s">
        <v>78</v>
      </c>
      <c r="N634" t="s">
        <v>35</v>
      </c>
      <c r="O634">
        <v>1672000</v>
      </c>
      <c r="P634">
        <v>139333.32999999999</v>
      </c>
      <c r="Q634">
        <v>92</v>
      </c>
      <c r="R634" t="s">
        <v>36</v>
      </c>
      <c r="S634">
        <v>3.2</v>
      </c>
      <c r="T634">
        <v>5</v>
      </c>
      <c r="U634">
        <v>7</v>
      </c>
      <c r="V634">
        <v>5</v>
      </c>
      <c r="W634" t="s">
        <v>37</v>
      </c>
      <c r="X634">
        <v>4.0999999999999996</v>
      </c>
      <c r="Y634">
        <v>3</v>
      </c>
      <c r="Z634">
        <v>11.7</v>
      </c>
    </row>
    <row r="635" spans="1:26">
      <c r="A635" t="s">
        <v>732</v>
      </c>
      <c r="B635" s="21">
        <v>43144</v>
      </c>
      <c r="C635" s="21"/>
      <c r="D635" t="s">
        <v>27</v>
      </c>
      <c r="E635">
        <v>0</v>
      </c>
      <c r="F635" t="s">
        <v>98</v>
      </c>
      <c r="G635" t="s">
        <v>51</v>
      </c>
      <c r="H635" t="s">
        <v>352</v>
      </c>
      <c r="I635" t="s">
        <v>53</v>
      </c>
      <c r="J635" t="s">
        <v>54</v>
      </c>
      <c r="K635">
        <v>41</v>
      </c>
      <c r="L635" t="s">
        <v>33</v>
      </c>
      <c r="M635" t="s">
        <v>65</v>
      </c>
      <c r="N635" t="s">
        <v>35</v>
      </c>
      <c r="O635">
        <v>872000</v>
      </c>
      <c r="P635">
        <v>72666.67</v>
      </c>
      <c r="Q635">
        <v>94</v>
      </c>
      <c r="R635" t="s">
        <v>55</v>
      </c>
      <c r="S635">
        <v>2.2000000000000002</v>
      </c>
      <c r="T635">
        <v>24</v>
      </c>
      <c r="U635">
        <v>13</v>
      </c>
      <c r="V635">
        <v>5</v>
      </c>
      <c r="W635" t="s">
        <v>44</v>
      </c>
      <c r="X635">
        <v>3.7</v>
      </c>
      <c r="Y635">
        <v>3</v>
      </c>
      <c r="Z635">
        <v>12.7</v>
      </c>
    </row>
    <row r="636" spans="1:26">
      <c r="A636" t="s">
        <v>733</v>
      </c>
      <c r="B636" s="21">
        <v>42473</v>
      </c>
      <c r="C636" s="21">
        <v>42634</v>
      </c>
      <c r="D636" t="s">
        <v>57</v>
      </c>
      <c r="E636">
        <v>1</v>
      </c>
      <c r="F636" t="s">
        <v>73</v>
      </c>
      <c r="G636" t="s">
        <v>88</v>
      </c>
      <c r="H636" t="s">
        <v>74</v>
      </c>
      <c r="I636" t="s">
        <v>31</v>
      </c>
      <c r="J636" t="s">
        <v>32</v>
      </c>
      <c r="K636">
        <v>44</v>
      </c>
      <c r="L636" t="s">
        <v>33</v>
      </c>
      <c r="M636" t="s">
        <v>65</v>
      </c>
      <c r="N636" t="s">
        <v>35</v>
      </c>
      <c r="O636">
        <v>1169000</v>
      </c>
      <c r="P636">
        <v>97416.67</v>
      </c>
      <c r="Q636">
        <v>5</v>
      </c>
      <c r="R636" t="s">
        <v>36</v>
      </c>
      <c r="S636">
        <v>3.3</v>
      </c>
      <c r="T636">
        <v>29</v>
      </c>
      <c r="U636">
        <v>12</v>
      </c>
      <c r="V636">
        <v>9</v>
      </c>
      <c r="W636" t="s">
        <v>37</v>
      </c>
      <c r="X636">
        <v>3.9</v>
      </c>
      <c r="Y636">
        <v>5</v>
      </c>
      <c r="Z636">
        <v>8.5</v>
      </c>
    </row>
    <row r="637" spans="1:26">
      <c r="A637" t="s">
        <v>734</v>
      </c>
      <c r="B637" s="21">
        <v>42609</v>
      </c>
      <c r="C637" s="21"/>
      <c r="D637" t="s">
        <v>27</v>
      </c>
      <c r="E637">
        <v>0</v>
      </c>
      <c r="F637" t="s">
        <v>67</v>
      </c>
      <c r="G637" t="s">
        <v>29</v>
      </c>
      <c r="H637" t="s">
        <v>77</v>
      </c>
      <c r="I637" t="s">
        <v>31</v>
      </c>
      <c r="J637" t="s">
        <v>32</v>
      </c>
      <c r="K637">
        <v>38</v>
      </c>
      <c r="L637" t="s">
        <v>33</v>
      </c>
      <c r="M637" t="s">
        <v>78</v>
      </c>
      <c r="N637" t="s">
        <v>35</v>
      </c>
      <c r="O637">
        <v>455000</v>
      </c>
      <c r="P637">
        <v>37916.67</v>
      </c>
      <c r="Q637">
        <v>112</v>
      </c>
      <c r="R637" t="s">
        <v>36</v>
      </c>
      <c r="S637">
        <v>2.2000000000000002</v>
      </c>
      <c r="T637">
        <v>78</v>
      </c>
      <c r="U637">
        <v>16</v>
      </c>
      <c r="V637">
        <v>6</v>
      </c>
      <c r="W637" t="s">
        <v>37</v>
      </c>
      <c r="X637">
        <v>4.5999999999999996</v>
      </c>
      <c r="Y637">
        <v>3</v>
      </c>
      <c r="Z637">
        <v>12.9</v>
      </c>
    </row>
    <row r="638" spans="1:26">
      <c r="A638" t="s">
        <v>735</v>
      </c>
      <c r="B638" s="21">
        <v>44977</v>
      </c>
      <c r="C638" s="21"/>
      <c r="D638" t="s">
        <v>27</v>
      </c>
      <c r="E638">
        <v>0</v>
      </c>
      <c r="F638" t="s">
        <v>46</v>
      </c>
      <c r="G638" t="s">
        <v>105</v>
      </c>
      <c r="H638" t="s">
        <v>92</v>
      </c>
      <c r="I638" t="s">
        <v>31</v>
      </c>
      <c r="J638" t="s">
        <v>54</v>
      </c>
      <c r="K638">
        <v>33</v>
      </c>
      <c r="L638" t="s">
        <v>42</v>
      </c>
      <c r="M638" t="s">
        <v>65</v>
      </c>
      <c r="N638" t="s">
        <v>35</v>
      </c>
      <c r="O638">
        <v>2181000</v>
      </c>
      <c r="P638">
        <v>181750</v>
      </c>
      <c r="Q638">
        <v>34</v>
      </c>
      <c r="R638" t="s">
        <v>36</v>
      </c>
      <c r="S638">
        <v>4</v>
      </c>
      <c r="T638">
        <v>69</v>
      </c>
      <c r="U638">
        <v>17</v>
      </c>
      <c r="V638">
        <v>9</v>
      </c>
      <c r="W638" t="s">
        <v>37</v>
      </c>
      <c r="X638">
        <v>3.4</v>
      </c>
      <c r="Y638">
        <v>3</v>
      </c>
      <c r="Z638">
        <v>6.2</v>
      </c>
    </row>
    <row r="639" spans="1:26">
      <c r="A639" t="s">
        <v>736</v>
      </c>
      <c r="B639" s="21">
        <v>42882</v>
      </c>
      <c r="C639" s="21"/>
      <c r="D639" t="s">
        <v>27</v>
      </c>
      <c r="E639">
        <v>0</v>
      </c>
      <c r="F639" t="s">
        <v>60</v>
      </c>
      <c r="G639" t="s">
        <v>105</v>
      </c>
      <c r="H639" t="s">
        <v>112</v>
      </c>
      <c r="I639" t="s">
        <v>31</v>
      </c>
      <c r="J639" t="s">
        <v>32</v>
      </c>
      <c r="K639">
        <v>52</v>
      </c>
      <c r="L639" t="s">
        <v>33</v>
      </c>
      <c r="M639" t="s">
        <v>78</v>
      </c>
      <c r="N639" t="s">
        <v>35</v>
      </c>
      <c r="O639">
        <v>2155000</v>
      </c>
      <c r="P639">
        <v>179583.33</v>
      </c>
      <c r="Q639">
        <v>103</v>
      </c>
      <c r="R639" t="s">
        <v>55</v>
      </c>
      <c r="S639">
        <v>2.9</v>
      </c>
      <c r="T639">
        <v>79</v>
      </c>
      <c r="U639">
        <v>19</v>
      </c>
      <c r="V639">
        <v>3</v>
      </c>
      <c r="W639" t="s">
        <v>37</v>
      </c>
      <c r="X639">
        <v>3</v>
      </c>
      <c r="Y639">
        <v>2</v>
      </c>
      <c r="Z639">
        <v>11.1</v>
      </c>
    </row>
    <row r="640" spans="1:26">
      <c r="A640" t="s">
        <v>737</v>
      </c>
      <c r="B640" s="21">
        <v>45902</v>
      </c>
      <c r="C640" s="21"/>
      <c r="D640" t="s">
        <v>27</v>
      </c>
      <c r="E640">
        <v>0</v>
      </c>
      <c r="F640" t="s">
        <v>73</v>
      </c>
      <c r="G640" t="s">
        <v>51</v>
      </c>
      <c r="H640" t="s">
        <v>126</v>
      </c>
      <c r="I640" t="s">
        <v>48</v>
      </c>
      <c r="J640" t="s">
        <v>32</v>
      </c>
      <c r="K640">
        <v>40</v>
      </c>
      <c r="L640" t="s">
        <v>33</v>
      </c>
      <c r="M640" t="s">
        <v>58</v>
      </c>
      <c r="N640" t="s">
        <v>35</v>
      </c>
      <c r="O640">
        <v>727000</v>
      </c>
      <c r="P640">
        <v>60583.33</v>
      </c>
      <c r="Q640">
        <v>3</v>
      </c>
      <c r="R640" t="s">
        <v>36</v>
      </c>
      <c r="S640">
        <v>2.7</v>
      </c>
      <c r="T640">
        <v>56</v>
      </c>
      <c r="U640">
        <v>8</v>
      </c>
      <c r="V640">
        <v>2</v>
      </c>
      <c r="W640" t="s">
        <v>44</v>
      </c>
      <c r="X640">
        <v>3.4</v>
      </c>
      <c r="Y640">
        <v>4</v>
      </c>
      <c r="Z640">
        <v>4.9000000000000004</v>
      </c>
    </row>
    <row r="641" spans="1:26">
      <c r="A641" t="s">
        <v>738</v>
      </c>
      <c r="B641" s="21">
        <v>44694</v>
      </c>
      <c r="C641" s="21"/>
      <c r="D641" t="s">
        <v>27</v>
      </c>
      <c r="E641">
        <v>0</v>
      </c>
      <c r="F641" t="s">
        <v>67</v>
      </c>
      <c r="G641" t="s">
        <v>70</v>
      </c>
      <c r="H641" t="s">
        <v>95</v>
      </c>
      <c r="I641" t="s">
        <v>53</v>
      </c>
      <c r="J641" t="s">
        <v>54</v>
      </c>
      <c r="K641">
        <v>34</v>
      </c>
      <c r="L641" t="s">
        <v>96</v>
      </c>
      <c r="M641" t="s">
        <v>43</v>
      </c>
      <c r="N641" t="s">
        <v>35</v>
      </c>
      <c r="O641">
        <v>474000</v>
      </c>
      <c r="P641">
        <v>39500</v>
      </c>
      <c r="Q641">
        <v>43</v>
      </c>
      <c r="R641" t="s">
        <v>36</v>
      </c>
      <c r="S641">
        <v>2.9</v>
      </c>
      <c r="T641">
        <v>4</v>
      </c>
      <c r="U641">
        <v>11</v>
      </c>
      <c r="V641">
        <v>0</v>
      </c>
      <c r="W641" t="s">
        <v>44</v>
      </c>
      <c r="X641">
        <v>3.8</v>
      </c>
      <c r="Y641">
        <v>3</v>
      </c>
      <c r="Z641">
        <v>5.0999999999999996</v>
      </c>
    </row>
    <row r="642" spans="1:26">
      <c r="A642" t="s">
        <v>739</v>
      </c>
      <c r="B642" s="21">
        <v>42721</v>
      </c>
      <c r="C642" s="21"/>
      <c r="D642" t="s">
        <v>27</v>
      </c>
      <c r="E642">
        <v>0</v>
      </c>
      <c r="F642" t="s">
        <v>98</v>
      </c>
      <c r="G642" t="s">
        <v>88</v>
      </c>
      <c r="H642" t="s">
        <v>106</v>
      </c>
      <c r="I642" t="s">
        <v>48</v>
      </c>
      <c r="J642" t="s">
        <v>32</v>
      </c>
      <c r="K642">
        <v>58</v>
      </c>
      <c r="L642" t="s">
        <v>33</v>
      </c>
      <c r="M642" t="s">
        <v>34</v>
      </c>
      <c r="N642" t="s">
        <v>35</v>
      </c>
      <c r="O642">
        <v>1041000</v>
      </c>
      <c r="P642">
        <v>86750</v>
      </c>
      <c r="Q642">
        <v>108</v>
      </c>
      <c r="R642" t="s">
        <v>116</v>
      </c>
      <c r="S642">
        <v>3.7</v>
      </c>
      <c r="T642">
        <v>38</v>
      </c>
      <c r="U642">
        <v>16</v>
      </c>
      <c r="V642">
        <v>2</v>
      </c>
      <c r="W642" t="s">
        <v>44</v>
      </c>
      <c r="X642">
        <v>3</v>
      </c>
      <c r="Y642">
        <v>1</v>
      </c>
      <c r="Z642">
        <v>16.8</v>
      </c>
    </row>
    <row r="643" spans="1:26">
      <c r="A643" t="s">
        <v>740</v>
      </c>
      <c r="B643" s="21">
        <v>45976</v>
      </c>
      <c r="C643" s="21"/>
      <c r="D643" t="s">
        <v>27</v>
      </c>
      <c r="E643">
        <v>0</v>
      </c>
      <c r="F643" t="s">
        <v>67</v>
      </c>
      <c r="G643" t="s">
        <v>51</v>
      </c>
      <c r="H643" t="s">
        <v>80</v>
      </c>
      <c r="I643" t="s">
        <v>31</v>
      </c>
      <c r="J643" t="s">
        <v>32</v>
      </c>
      <c r="K643">
        <v>44</v>
      </c>
      <c r="L643" t="s">
        <v>42</v>
      </c>
      <c r="M643" t="s">
        <v>65</v>
      </c>
      <c r="N643" t="s">
        <v>35</v>
      </c>
      <c r="O643">
        <v>772000</v>
      </c>
      <c r="P643">
        <v>64333.33</v>
      </c>
      <c r="Q643">
        <v>1</v>
      </c>
      <c r="R643" t="s">
        <v>36</v>
      </c>
      <c r="S643">
        <v>4.2</v>
      </c>
      <c r="T643">
        <v>48</v>
      </c>
      <c r="U643">
        <v>1</v>
      </c>
      <c r="V643">
        <v>3</v>
      </c>
      <c r="W643" t="s">
        <v>44</v>
      </c>
      <c r="X643">
        <v>1.7</v>
      </c>
      <c r="Y643">
        <v>5</v>
      </c>
      <c r="Z643">
        <v>12.3</v>
      </c>
    </row>
    <row r="644" spans="1:26">
      <c r="A644" t="s">
        <v>741</v>
      </c>
      <c r="B644" s="21">
        <v>45512</v>
      </c>
      <c r="C644" s="21"/>
      <c r="D644" t="s">
        <v>27</v>
      </c>
      <c r="E644">
        <v>0</v>
      </c>
      <c r="F644" t="s">
        <v>73</v>
      </c>
      <c r="G644" t="s">
        <v>51</v>
      </c>
      <c r="H644" t="s">
        <v>118</v>
      </c>
      <c r="I644" t="s">
        <v>75</v>
      </c>
      <c r="J644" t="s">
        <v>54</v>
      </c>
      <c r="K644">
        <v>50</v>
      </c>
      <c r="L644" t="s">
        <v>33</v>
      </c>
      <c r="M644" t="s">
        <v>34</v>
      </c>
      <c r="N644" t="s">
        <v>35</v>
      </c>
      <c r="O644">
        <v>1014000</v>
      </c>
      <c r="P644">
        <v>84500</v>
      </c>
      <c r="Q644">
        <v>16</v>
      </c>
      <c r="R644" t="s">
        <v>36</v>
      </c>
      <c r="S644">
        <v>3.7</v>
      </c>
      <c r="T644">
        <v>19</v>
      </c>
      <c r="U644">
        <v>19</v>
      </c>
      <c r="V644">
        <v>0</v>
      </c>
      <c r="W644" t="s">
        <v>37</v>
      </c>
      <c r="X644">
        <v>5</v>
      </c>
      <c r="Y644">
        <v>5</v>
      </c>
      <c r="Z644">
        <v>1</v>
      </c>
    </row>
    <row r="645" spans="1:26">
      <c r="A645" t="s">
        <v>742</v>
      </c>
      <c r="B645" s="21">
        <v>45109</v>
      </c>
      <c r="C645" s="21"/>
      <c r="D645" t="s">
        <v>27</v>
      </c>
      <c r="E645">
        <v>0</v>
      </c>
      <c r="F645" t="s">
        <v>67</v>
      </c>
      <c r="G645" t="s">
        <v>91</v>
      </c>
      <c r="H645" t="s">
        <v>95</v>
      </c>
      <c r="I645" t="s">
        <v>75</v>
      </c>
      <c r="J645" t="s">
        <v>32</v>
      </c>
      <c r="K645">
        <v>49</v>
      </c>
      <c r="L645" t="s">
        <v>33</v>
      </c>
      <c r="M645" t="s">
        <v>34</v>
      </c>
      <c r="N645" t="s">
        <v>35</v>
      </c>
      <c r="O645">
        <v>1442000</v>
      </c>
      <c r="P645">
        <v>120166.67</v>
      </c>
      <c r="Q645">
        <v>29</v>
      </c>
      <c r="R645" t="s">
        <v>36</v>
      </c>
      <c r="S645">
        <v>4.5999999999999996</v>
      </c>
      <c r="T645">
        <v>3</v>
      </c>
      <c r="U645">
        <v>8</v>
      </c>
      <c r="V645">
        <v>11</v>
      </c>
      <c r="W645" t="s">
        <v>37</v>
      </c>
      <c r="X645">
        <v>4.5</v>
      </c>
      <c r="Y645">
        <v>4</v>
      </c>
      <c r="Z645">
        <v>8.3000000000000007</v>
      </c>
    </row>
    <row r="646" spans="1:26">
      <c r="A646" t="s">
        <v>743</v>
      </c>
      <c r="B646" s="21">
        <v>42583</v>
      </c>
      <c r="C646" s="21">
        <v>42801</v>
      </c>
      <c r="D646" t="s">
        <v>57</v>
      </c>
      <c r="E646">
        <v>1</v>
      </c>
      <c r="F646" t="s">
        <v>73</v>
      </c>
      <c r="G646" t="s">
        <v>91</v>
      </c>
      <c r="H646" t="s">
        <v>118</v>
      </c>
      <c r="I646" t="s">
        <v>31</v>
      </c>
      <c r="J646" t="s">
        <v>32</v>
      </c>
      <c r="K646">
        <v>39</v>
      </c>
      <c r="L646" t="s">
        <v>33</v>
      </c>
      <c r="M646" t="s">
        <v>65</v>
      </c>
      <c r="N646" t="s">
        <v>35</v>
      </c>
      <c r="O646">
        <v>1206000</v>
      </c>
      <c r="P646">
        <v>100500</v>
      </c>
      <c r="Q646">
        <v>7</v>
      </c>
      <c r="R646" t="s">
        <v>36</v>
      </c>
      <c r="S646">
        <v>2.5</v>
      </c>
      <c r="T646">
        <v>49</v>
      </c>
      <c r="U646">
        <v>9</v>
      </c>
      <c r="V646">
        <v>18</v>
      </c>
      <c r="W646" t="s">
        <v>37</v>
      </c>
      <c r="X646">
        <v>4.7</v>
      </c>
      <c r="Y646">
        <v>5</v>
      </c>
      <c r="Z646">
        <v>8.6999999999999993</v>
      </c>
    </row>
    <row r="647" spans="1:26">
      <c r="A647" t="s">
        <v>744</v>
      </c>
      <c r="B647" s="21">
        <v>45224</v>
      </c>
      <c r="C647" s="21"/>
      <c r="D647" t="s">
        <v>27</v>
      </c>
      <c r="E647">
        <v>0</v>
      </c>
      <c r="F647" t="s">
        <v>67</v>
      </c>
      <c r="G647" t="s">
        <v>88</v>
      </c>
      <c r="H647" t="s">
        <v>77</v>
      </c>
      <c r="I647" t="s">
        <v>41</v>
      </c>
      <c r="J647" t="s">
        <v>32</v>
      </c>
      <c r="K647">
        <v>38</v>
      </c>
      <c r="L647" t="s">
        <v>42</v>
      </c>
      <c r="M647" t="s">
        <v>65</v>
      </c>
      <c r="N647" t="s">
        <v>35</v>
      </c>
      <c r="O647">
        <v>1069000</v>
      </c>
      <c r="P647">
        <v>89083.33</v>
      </c>
      <c r="Q647">
        <v>26</v>
      </c>
      <c r="R647" t="s">
        <v>55</v>
      </c>
      <c r="S647">
        <v>4</v>
      </c>
      <c r="T647">
        <v>40</v>
      </c>
      <c r="U647">
        <v>0</v>
      </c>
      <c r="V647">
        <v>3</v>
      </c>
      <c r="W647" t="s">
        <v>37</v>
      </c>
      <c r="X647">
        <v>4.0999999999999996</v>
      </c>
      <c r="Y647">
        <v>2</v>
      </c>
      <c r="Z647">
        <v>13.1</v>
      </c>
    </row>
    <row r="648" spans="1:26">
      <c r="A648" t="s">
        <v>745</v>
      </c>
      <c r="B648" s="21">
        <v>42464</v>
      </c>
      <c r="C648" s="21">
        <v>42609</v>
      </c>
      <c r="D648" t="s">
        <v>57</v>
      </c>
      <c r="E648">
        <v>1</v>
      </c>
      <c r="F648" t="s">
        <v>60</v>
      </c>
      <c r="G648" t="s">
        <v>91</v>
      </c>
      <c r="H648" t="s">
        <v>109</v>
      </c>
      <c r="I648" t="s">
        <v>48</v>
      </c>
      <c r="J648" t="s">
        <v>54</v>
      </c>
      <c r="K648">
        <v>50</v>
      </c>
      <c r="L648" t="s">
        <v>33</v>
      </c>
      <c r="M648" t="s">
        <v>58</v>
      </c>
      <c r="N648" t="s">
        <v>93</v>
      </c>
      <c r="O648">
        <v>1627000</v>
      </c>
      <c r="P648">
        <v>135583.32999999999</v>
      </c>
      <c r="Q648">
        <v>4</v>
      </c>
      <c r="R648" t="s">
        <v>36</v>
      </c>
      <c r="S648">
        <v>2.2000000000000002</v>
      </c>
      <c r="T648">
        <v>80</v>
      </c>
      <c r="U648">
        <v>14</v>
      </c>
      <c r="V648">
        <v>5</v>
      </c>
      <c r="W648" t="s">
        <v>37</v>
      </c>
      <c r="X648">
        <v>4.0999999999999996</v>
      </c>
      <c r="Y648">
        <v>0</v>
      </c>
      <c r="Z648">
        <v>1</v>
      </c>
    </row>
    <row r="649" spans="1:26">
      <c r="A649" t="s">
        <v>746</v>
      </c>
      <c r="B649" s="21">
        <v>42803</v>
      </c>
      <c r="C649" s="21"/>
      <c r="D649" t="s">
        <v>27</v>
      </c>
      <c r="E649">
        <v>0</v>
      </c>
      <c r="F649" t="s">
        <v>60</v>
      </c>
      <c r="G649" t="s">
        <v>88</v>
      </c>
      <c r="H649" t="s">
        <v>112</v>
      </c>
      <c r="I649" t="s">
        <v>31</v>
      </c>
      <c r="J649" t="s">
        <v>54</v>
      </c>
      <c r="K649">
        <v>41</v>
      </c>
      <c r="L649" t="s">
        <v>33</v>
      </c>
      <c r="M649" t="s">
        <v>43</v>
      </c>
      <c r="N649" t="s">
        <v>35</v>
      </c>
      <c r="O649">
        <v>984000</v>
      </c>
      <c r="P649">
        <v>82000</v>
      </c>
      <c r="Q649">
        <v>105</v>
      </c>
      <c r="R649" t="s">
        <v>36</v>
      </c>
      <c r="S649">
        <v>3.3</v>
      </c>
      <c r="T649">
        <v>25</v>
      </c>
      <c r="U649">
        <v>23</v>
      </c>
      <c r="V649">
        <v>11</v>
      </c>
      <c r="W649" t="s">
        <v>37</v>
      </c>
      <c r="X649">
        <v>3.6</v>
      </c>
      <c r="Y649">
        <v>3</v>
      </c>
      <c r="Z649">
        <v>6.4</v>
      </c>
    </row>
    <row r="650" spans="1:26">
      <c r="A650" t="s">
        <v>747</v>
      </c>
      <c r="B650" s="21">
        <v>45262</v>
      </c>
      <c r="C650" s="21"/>
      <c r="D650" t="s">
        <v>27</v>
      </c>
      <c r="E650">
        <v>0</v>
      </c>
      <c r="F650" t="s">
        <v>98</v>
      </c>
      <c r="G650" t="s">
        <v>51</v>
      </c>
      <c r="H650" t="s">
        <v>212</v>
      </c>
      <c r="I650" t="s">
        <v>31</v>
      </c>
      <c r="J650" t="s">
        <v>54</v>
      </c>
      <c r="K650">
        <v>42</v>
      </c>
      <c r="L650" t="s">
        <v>42</v>
      </c>
      <c r="M650" t="s">
        <v>65</v>
      </c>
      <c r="N650" t="s">
        <v>35</v>
      </c>
      <c r="O650">
        <v>952000</v>
      </c>
      <c r="P650">
        <v>79333.33</v>
      </c>
      <c r="Q650">
        <v>24</v>
      </c>
      <c r="R650" t="s">
        <v>36</v>
      </c>
      <c r="S650">
        <v>4.0999999999999996</v>
      </c>
      <c r="T650">
        <v>29</v>
      </c>
      <c r="U650">
        <v>4</v>
      </c>
      <c r="V650">
        <v>0</v>
      </c>
      <c r="W650" t="s">
        <v>44</v>
      </c>
      <c r="X650">
        <v>4.0999999999999996</v>
      </c>
      <c r="Y650">
        <v>1</v>
      </c>
      <c r="Z650">
        <v>9.1</v>
      </c>
    </row>
    <row r="651" spans="1:26">
      <c r="A651" t="s">
        <v>748</v>
      </c>
      <c r="B651" s="21">
        <v>44796</v>
      </c>
      <c r="C651" s="21"/>
      <c r="D651" t="s">
        <v>27</v>
      </c>
      <c r="E651">
        <v>0</v>
      </c>
      <c r="F651" t="s">
        <v>67</v>
      </c>
      <c r="G651" t="s">
        <v>51</v>
      </c>
      <c r="H651" t="s">
        <v>80</v>
      </c>
      <c r="I651" t="s">
        <v>41</v>
      </c>
      <c r="J651" t="s">
        <v>54</v>
      </c>
      <c r="K651">
        <v>37</v>
      </c>
      <c r="L651" t="s">
        <v>33</v>
      </c>
      <c r="M651" t="s">
        <v>78</v>
      </c>
      <c r="N651" t="s">
        <v>35</v>
      </c>
      <c r="O651">
        <v>876000</v>
      </c>
      <c r="P651">
        <v>73000</v>
      </c>
      <c r="Q651">
        <v>40</v>
      </c>
      <c r="R651" t="s">
        <v>36</v>
      </c>
      <c r="S651">
        <v>4.3</v>
      </c>
      <c r="T651">
        <v>55</v>
      </c>
      <c r="U651">
        <v>8</v>
      </c>
      <c r="V651">
        <v>2</v>
      </c>
      <c r="W651" t="s">
        <v>37</v>
      </c>
      <c r="X651">
        <v>3.7</v>
      </c>
      <c r="Y651">
        <v>5</v>
      </c>
      <c r="Z651">
        <v>9.6999999999999993</v>
      </c>
    </row>
    <row r="652" spans="1:26">
      <c r="A652" t="s">
        <v>749</v>
      </c>
      <c r="B652" s="21">
        <v>45303</v>
      </c>
      <c r="C652" s="21"/>
      <c r="D652" t="s">
        <v>27</v>
      </c>
      <c r="E652">
        <v>0</v>
      </c>
      <c r="F652" t="s">
        <v>67</v>
      </c>
      <c r="G652" t="s">
        <v>88</v>
      </c>
      <c r="H652" t="s">
        <v>77</v>
      </c>
      <c r="I652" t="s">
        <v>53</v>
      </c>
      <c r="J652" t="s">
        <v>54</v>
      </c>
      <c r="K652">
        <v>24</v>
      </c>
      <c r="L652" t="s">
        <v>42</v>
      </c>
      <c r="M652" t="s">
        <v>34</v>
      </c>
      <c r="N652" t="s">
        <v>35</v>
      </c>
      <c r="O652">
        <v>1065000</v>
      </c>
      <c r="P652">
        <v>88750</v>
      </c>
      <c r="Q652">
        <v>23</v>
      </c>
      <c r="R652" t="s">
        <v>116</v>
      </c>
      <c r="S652">
        <v>4.2</v>
      </c>
      <c r="T652">
        <v>62</v>
      </c>
      <c r="U652">
        <v>8</v>
      </c>
      <c r="V652">
        <v>1</v>
      </c>
      <c r="W652" t="s">
        <v>37</v>
      </c>
      <c r="X652">
        <v>3.4</v>
      </c>
      <c r="Y652">
        <v>0</v>
      </c>
      <c r="Z652">
        <v>1.2</v>
      </c>
    </row>
    <row r="653" spans="1:26">
      <c r="A653" t="s">
        <v>750</v>
      </c>
      <c r="B653" s="21">
        <v>43149</v>
      </c>
      <c r="C653" s="21"/>
      <c r="D653" t="s">
        <v>27</v>
      </c>
      <c r="E653">
        <v>0</v>
      </c>
      <c r="F653" t="s">
        <v>73</v>
      </c>
      <c r="G653" t="s">
        <v>105</v>
      </c>
      <c r="H653" t="s">
        <v>102</v>
      </c>
      <c r="I653" t="s">
        <v>62</v>
      </c>
      <c r="J653" t="s">
        <v>54</v>
      </c>
      <c r="K653">
        <v>49</v>
      </c>
      <c r="L653" t="s">
        <v>42</v>
      </c>
      <c r="M653" t="s">
        <v>34</v>
      </c>
      <c r="N653" t="s">
        <v>35</v>
      </c>
      <c r="O653">
        <v>2314000</v>
      </c>
      <c r="P653">
        <v>192833.33</v>
      </c>
      <c r="Q653">
        <v>94</v>
      </c>
      <c r="R653" t="s">
        <v>36</v>
      </c>
      <c r="S653">
        <v>4</v>
      </c>
      <c r="T653">
        <v>17</v>
      </c>
      <c r="U653">
        <v>9</v>
      </c>
      <c r="V653">
        <v>1</v>
      </c>
      <c r="W653" t="s">
        <v>37</v>
      </c>
      <c r="X653">
        <v>4.2</v>
      </c>
      <c r="Y653">
        <v>3</v>
      </c>
      <c r="Z653">
        <v>1</v>
      </c>
    </row>
    <row r="654" spans="1:26">
      <c r="A654" t="s">
        <v>751</v>
      </c>
      <c r="B654" s="21">
        <v>45934</v>
      </c>
      <c r="C654" s="21"/>
      <c r="D654" t="s">
        <v>27</v>
      </c>
      <c r="E654">
        <v>0</v>
      </c>
      <c r="F654" t="s">
        <v>39</v>
      </c>
      <c r="G654" t="s">
        <v>51</v>
      </c>
      <c r="H654" t="s">
        <v>40</v>
      </c>
      <c r="I654" t="s">
        <v>75</v>
      </c>
      <c r="J654" t="s">
        <v>54</v>
      </c>
      <c r="K654">
        <v>35</v>
      </c>
      <c r="L654" t="s">
        <v>33</v>
      </c>
      <c r="M654" t="s">
        <v>65</v>
      </c>
      <c r="N654" t="s">
        <v>35</v>
      </c>
      <c r="O654">
        <v>774000</v>
      </c>
      <c r="P654">
        <v>64500</v>
      </c>
      <c r="Q654">
        <v>2</v>
      </c>
      <c r="R654" t="s">
        <v>36</v>
      </c>
      <c r="S654">
        <v>2.9</v>
      </c>
      <c r="T654">
        <v>70</v>
      </c>
      <c r="U654">
        <v>26</v>
      </c>
      <c r="V654">
        <v>5</v>
      </c>
      <c r="W654" t="s">
        <v>37</v>
      </c>
      <c r="X654">
        <v>3.3</v>
      </c>
      <c r="Y654">
        <v>0</v>
      </c>
      <c r="Z654">
        <v>6.9</v>
      </c>
    </row>
    <row r="655" spans="1:26">
      <c r="A655" t="s">
        <v>752</v>
      </c>
      <c r="B655" s="21">
        <v>44855</v>
      </c>
      <c r="C655" s="21"/>
      <c r="D655" t="s">
        <v>27</v>
      </c>
      <c r="E655">
        <v>0</v>
      </c>
      <c r="F655" t="s">
        <v>46</v>
      </c>
      <c r="G655" t="s">
        <v>70</v>
      </c>
      <c r="H655" t="s">
        <v>162</v>
      </c>
      <c r="I655" t="s">
        <v>62</v>
      </c>
      <c r="J655" t="s">
        <v>32</v>
      </c>
      <c r="K655">
        <v>35</v>
      </c>
      <c r="L655" t="s">
        <v>33</v>
      </c>
      <c r="M655" t="s">
        <v>65</v>
      </c>
      <c r="N655" t="s">
        <v>35</v>
      </c>
      <c r="O655">
        <v>556000</v>
      </c>
      <c r="P655">
        <v>46333.33</v>
      </c>
      <c r="Q655">
        <v>38</v>
      </c>
      <c r="R655" t="s">
        <v>103</v>
      </c>
      <c r="S655">
        <v>2.7</v>
      </c>
      <c r="T655">
        <v>39</v>
      </c>
      <c r="U655">
        <v>16</v>
      </c>
      <c r="V655">
        <v>4</v>
      </c>
      <c r="W655" t="s">
        <v>37</v>
      </c>
      <c r="X655">
        <v>4</v>
      </c>
      <c r="Y655">
        <v>2</v>
      </c>
      <c r="Z655">
        <v>8.5</v>
      </c>
    </row>
    <row r="656" spans="1:26">
      <c r="A656" t="s">
        <v>753</v>
      </c>
      <c r="B656" s="21">
        <v>43642</v>
      </c>
      <c r="C656" s="21"/>
      <c r="D656" t="s">
        <v>27</v>
      </c>
      <c r="E656">
        <v>0</v>
      </c>
      <c r="F656" t="s">
        <v>28</v>
      </c>
      <c r="G656" t="s">
        <v>70</v>
      </c>
      <c r="H656" t="s">
        <v>30</v>
      </c>
      <c r="I656" t="s">
        <v>53</v>
      </c>
      <c r="J656" t="s">
        <v>54</v>
      </c>
      <c r="K656">
        <v>34</v>
      </c>
      <c r="L656" t="s">
        <v>33</v>
      </c>
      <c r="M656" t="s">
        <v>58</v>
      </c>
      <c r="N656" t="s">
        <v>35</v>
      </c>
      <c r="O656">
        <v>521000</v>
      </c>
      <c r="P656">
        <v>43416.67</v>
      </c>
      <c r="Q656">
        <v>78</v>
      </c>
      <c r="R656" t="s">
        <v>55</v>
      </c>
      <c r="S656">
        <v>2.7</v>
      </c>
      <c r="T656">
        <v>40</v>
      </c>
      <c r="U656">
        <v>15</v>
      </c>
      <c r="V656">
        <v>6</v>
      </c>
      <c r="W656" t="s">
        <v>37</v>
      </c>
      <c r="X656">
        <v>4.2</v>
      </c>
      <c r="Y656">
        <v>2</v>
      </c>
      <c r="Z656">
        <v>1</v>
      </c>
    </row>
    <row r="657" spans="1:26">
      <c r="A657" t="s">
        <v>754</v>
      </c>
      <c r="B657" s="21">
        <v>44320</v>
      </c>
      <c r="C657" s="21"/>
      <c r="D657" t="s">
        <v>27</v>
      </c>
      <c r="E657">
        <v>0</v>
      </c>
      <c r="F657" t="s">
        <v>28</v>
      </c>
      <c r="G657" t="s">
        <v>91</v>
      </c>
      <c r="H657" t="s">
        <v>30</v>
      </c>
      <c r="I657" t="s">
        <v>53</v>
      </c>
      <c r="J657" t="s">
        <v>32</v>
      </c>
      <c r="K657">
        <v>48</v>
      </c>
      <c r="L657" t="s">
        <v>42</v>
      </c>
      <c r="M657" t="s">
        <v>34</v>
      </c>
      <c r="N657" t="s">
        <v>194</v>
      </c>
      <c r="O657">
        <v>1541000</v>
      </c>
      <c r="P657">
        <v>128416.67</v>
      </c>
      <c r="Q657">
        <v>55</v>
      </c>
      <c r="R657" t="s">
        <v>36</v>
      </c>
      <c r="S657">
        <v>2.5</v>
      </c>
      <c r="T657">
        <v>49</v>
      </c>
      <c r="U657">
        <v>5</v>
      </c>
      <c r="V657">
        <v>3</v>
      </c>
      <c r="W657" t="s">
        <v>44</v>
      </c>
      <c r="X657">
        <v>3.3</v>
      </c>
      <c r="Y657">
        <v>1</v>
      </c>
      <c r="Z657">
        <v>16.600000000000001</v>
      </c>
    </row>
    <row r="658" spans="1:26">
      <c r="A658" t="s">
        <v>755</v>
      </c>
      <c r="B658" s="21">
        <v>42703</v>
      </c>
      <c r="C658" s="21"/>
      <c r="D658" t="s">
        <v>27</v>
      </c>
      <c r="E658">
        <v>0</v>
      </c>
      <c r="F658" t="s">
        <v>39</v>
      </c>
      <c r="G658" t="s">
        <v>51</v>
      </c>
      <c r="H658" t="s">
        <v>85</v>
      </c>
      <c r="I658" t="s">
        <v>53</v>
      </c>
      <c r="J658" t="s">
        <v>54</v>
      </c>
      <c r="K658">
        <v>32</v>
      </c>
      <c r="L658" t="s">
        <v>33</v>
      </c>
      <c r="M658" t="s">
        <v>34</v>
      </c>
      <c r="N658" t="s">
        <v>35</v>
      </c>
      <c r="O658">
        <v>718000</v>
      </c>
      <c r="P658">
        <v>59833.33</v>
      </c>
      <c r="Q658">
        <v>109</v>
      </c>
      <c r="R658" t="s">
        <v>103</v>
      </c>
      <c r="S658">
        <v>3.3</v>
      </c>
      <c r="T658">
        <v>61</v>
      </c>
      <c r="U658">
        <v>27</v>
      </c>
      <c r="V658">
        <v>0</v>
      </c>
      <c r="W658" t="s">
        <v>37</v>
      </c>
      <c r="X658">
        <v>3.3</v>
      </c>
      <c r="Y658">
        <v>2</v>
      </c>
      <c r="Z658">
        <v>11.5</v>
      </c>
    </row>
    <row r="659" spans="1:26">
      <c r="A659" t="s">
        <v>756</v>
      </c>
      <c r="B659" s="21">
        <v>43680</v>
      </c>
      <c r="C659" s="21"/>
      <c r="D659" t="s">
        <v>27</v>
      </c>
      <c r="E659">
        <v>0</v>
      </c>
      <c r="F659" t="s">
        <v>28</v>
      </c>
      <c r="G659" t="s">
        <v>88</v>
      </c>
      <c r="H659" t="s">
        <v>30</v>
      </c>
      <c r="I659" t="s">
        <v>48</v>
      </c>
      <c r="J659" t="s">
        <v>32</v>
      </c>
      <c r="K659">
        <v>36</v>
      </c>
      <c r="L659" t="s">
        <v>33</v>
      </c>
      <c r="M659" t="s">
        <v>40</v>
      </c>
      <c r="N659" t="s">
        <v>35</v>
      </c>
      <c r="O659">
        <v>1158000</v>
      </c>
      <c r="P659">
        <v>96500</v>
      </c>
      <c r="Q659">
        <v>76</v>
      </c>
      <c r="R659" t="s">
        <v>36</v>
      </c>
      <c r="S659">
        <v>3.6</v>
      </c>
      <c r="T659">
        <v>1</v>
      </c>
      <c r="U659">
        <v>15</v>
      </c>
      <c r="V659">
        <v>3</v>
      </c>
      <c r="W659" t="s">
        <v>37</v>
      </c>
      <c r="X659">
        <v>4.5</v>
      </c>
      <c r="Y659">
        <v>2</v>
      </c>
      <c r="Z659">
        <v>5.2</v>
      </c>
    </row>
    <row r="660" spans="1:26">
      <c r="A660" t="s">
        <v>757</v>
      </c>
      <c r="B660" s="21">
        <v>43582</v>
      </c>
      <c r="C660" s="21"/>
      <c r="D660" t="s">
        <v>27</v>
      </c>
      <c r="E660">
        <v>0</v>
      </c>
      <c r="F660" t="s">
        <v>73</v>
      </c>
      <c r="G660" t="s">
        <v>70</v>
      </c>
      <c r="H660" t="s">
        <v>126</v>
      </c>
      <c r="I660" t="s">
        <v>41</v>
      </c>
      <c r="J660" t="s">
        <v>32</v>
      </c>
      <c r="K660">
        <v>47</v>
      </c>
      <c r="L660" t="s">
        <v>33</v>
      </c>
      <c r="M660" t="s">
        <v>65</v>
      </c>
      <c r="N660" t="s">
        <v>35</v>
      </c>
      <c r="O660">
        <v>612000</v>
      </c>
      <c r="P660">
        <v>51000</v>
      </c>
      <c r="Q660">
        <v>80</v>
      </c>
      <c r="R660" t="s">
        <v>55</v>
      </c>
      <c r="S660">
        <v>3.7</v>
      </c>
      <c r="T660">
        <v>36</v>
      </c>
      <c r="U660">
        <v>12</v>
      </c>
      <c r="V660">
        <v>3</v>
      </c>
      <c r="W660" t="s">
        <v>37</v>
      </c>
      <c r="X660">
        <v>4.3</v>
      </c>
      <c r="Y660">
        <v>4</v>
      </c>
      <c r="Z660">
        <v>15.7</v>
      </c>
    </row>
    <row r="661" spans="1:26">
      <c r="A661" t="s">
        <v>758</v>
      </c>
      <c r="B661" s="21">
        <v>42439</v>
      </c>
      <c r="C661" s="21"/>
      <c r="D661" t="s">
        <v>27</v>
      </c>
      <c r="E661">
        <v>0</v>
      </c>
      <c r="F661" t="s">
        <v>67</v>
      </c>
      <c r="G661" t="s">
        <v>29</v>
      </c>
      <c r="H661" t="s">
        <v>80</v>
      </c>
      <c r="I661" t="s">
        <v>31</v>
      </c>
      <c r="J661" t="s">
        <v>54</v>
      </c>
      <c r="K661">
        <v>44</v>
      </c>
      <c r="L661" t="s">
        <v>33</v>
      </c>
      <c r="M661" t="s">
        <v>43</v>
      </c>
      <c r="N661" t="s">
        <v>194</v>
      </c>
      <c r="O661">
        <v>427000</v>
      </c>
      <c r="P661">
        <v>35583.33</v>
      </c>
      <c r="Q661">
        <v>117</v>
      </c>
      <c r="R661" t="s">
        <v>55</v>
      </c>
      <c r="S661">
        <v>4.5999999999999996</v>
      </c>
      <c r="T661">
        <v>7</v>
      </c>
      <c r="U661">
        <v>4</v>
      </c>
      <c r="V661">
        <v>3</v>
      </c>
      <c r="W661" t="s">
        <v>37</v>
      </c>
      <c r="X661">
        <v>2.8</v>
      </c>
      <c r="Y661">
        <v>5</v>
      </c>
      <c r="Z661">
        <v>6.4</v>
      </c>
    </row>
    <row r="662" spans="1:26">
      <c r="A662" t="s">
        <v>759</v>
      </c>
      <c r="B662" s="21">
        <v>44404</v>
      </c>
      <c r="C662" s="21"/>
      <c r="D662" t="s">
        <v>27</v>
      </c>
      <c r="E662">
        <v>0</v>
      </c>
      <c r="F662" t="s">
        <v>98</v>
      </c>
      <c r="G662" t="s">
        <v>88</v>
      </c>
      <c r="H662" t="s">
        <v>99</v>
      </c>
      <c r="I662" t="s">
        <v>53</v>
      </c>
      <c r="J662" t="s">
        <v>54</v>
      </c>
      <c r="K662">
        <v>45</v>
      </c>
      <c r="L662" t="s">
        <v>130</v>
      </c>
      <c r="M662" t="s">
        <v>34</v>
      </c>
      <c r="N662" t="s">
        <v>35</v>
      </c>
      <c r="O662">
        <v>1060000</v>
      </c>
      <c r="P662">
        <v>88333.33</v>
      </c>
      <c r="Q662">
        <v>53</v>
      </c>
      <c r="R662" t="s">
        <v>36</v>
      </c>
      <c r="S662">
        <v>3.6</v>
      </c>
      <c r="T662">
        <v>19</v>
      </c>
      <c r="U662">
        <v>17</v>
      </c>
      <c r="V662">
        <v>8</v>
      </c>
      <c r="W662" t="s">
        <v>37</v>
      </c>
      <c r="X662">
        <v>3.8</v>
      </c>
      <c r="Y662">
        <v>2</v>
      </c>
      <c r="Z662">
        <v>1</v>
      </c>
    </row>
    <row r="663" spans="1:26">
      <c r="A663" t="s">
        <v>760</v>
      </c>
      <c r="B663" s="21">
        <v>43218</v>
      </c>
      <c r="C663" s="21"/>
      <c r="D663" t="s">
        <v>27</v>
      </c>
      <c r="E663">
        <v>0</v>
      </c>
      <c r="F663" t="s">
        <v>28</v>
      </c>
      <c r="G663" t="s">
        <v>29</v>
      </c>
      <c r="H663" t="s">
        <v>30</v>
      </c>
      <c r="I663" t="s">
        <v>62</v>
      </c>
      <c r="J663" t="s">
        <v>32</v>
      </c>
      <c r="K663">
        <v>30</v>
      </c>
      <c r="L663" t="s">
        <v>96</v>
      </c>
      <c r="M663" t="s">
        <v>65</v>
      </c>
      <c r="N663" t="s">
        <v>35</v>
      </c>
      <c r="O663">
        <v>301000</v>
      </c>
      <c r="P663">
        <v>25083.33</v>
      </c>
      <c r="Q663">
        <v>92</v>
      </c>
      <c r="R663" t="s">
        <v>55</v>
      </c>
      <c r="S663">
        <v>3.6</v>
      </c>
      <c r="T663">
        <v>49</v>
      </c>
      <c r="U663">
        <v>17</v>
      </c>
      <c r="V663">
        <v>3</v>
      </c>
      <c r="W663" t="s">
        <v>37</v>
      </c>
      <c r="X663">
        <v>3.5</v>
      </c>
      <c r="Y663">
        <v>5</v>
      </c>
      <c r="Z663">
        <v>8.3000000000000007</v>
      </c>
    </row>
    <row r="664" spans="1:26">
      <c r="A664" t="s">
        <v>761</v>
      </c>
      <c r="B664" s="21">
        <v>42448</v>
      </c>
      <c r="C664" s="21"/>
      <c r="D664" t="s">
        <v>27</v>
      </c>
      <c r="E664">
        <v>0</v>
      </c>
      <c r="F664" t="s">
        <v>39</v>
      </c>
      <c r="G664" t="s">
        <v>88</v>
      </c>
      <c r="H664" t="s">
        <v>204</v>
      </c>
      <c r="I664" t="s">
        <v>41</v>
      </c>
      <c r="J664" t="s">
        <v>32</v>
      </c>
      <c r="K664">
        <v>37</v>
      </c>
      <c r="L664" t="s">
        <v>33</v>
      </c>
      <c r="M664" t="s">
        <v>40</v>
      </c>
      <c r="N664" t="s">
        <v>35</v>
      </c>
      <c r="O664">
        <v>859000</v>
      </c>
      <c r="P664">
        <v>71583.33</v>
      </c>
      <c r="Q664">
        <v>117</v>
      </c>
      <c r="R664" t="s">
        <v>103</v>
      </c>
      <c r="S664">
        <v>3.5</v>
      </c>
      <c r="T664">
        <v>27</v>
      </c>
      <c r="U664">
        <v>24</v>
      </c>
      <c r="V664">
        <v>5</v>
      </c>
      <c r="W664" t="s">
        <v>37</v>
      </c>
      <c r="X664">
        <v>3.8</v>
      </c>
      <c r="Y664">
        <v>1</v>
      </c>
      <c r="Z664">
        <v>10.5</v>
      </c>
    </row>
    <row r="665" spans="1:26">
      <c r="A665" t="s">
        <v>762</v>
      </c>
      <c r="B665" s="21">
        <v>44940</v>
      </c>
      <c r="C665" s="21"/>
      <c r="D665" t="s">
        <v>27</v>
      </c>
      <c r="E665">
        <v>0</v>
      </c>
      <c r="F665" t="s">
        <v>67</v>
      </c>
      <c r="G665" t="s">
        <v>29</v>
      </c>
      <c r="H665" t="s">
        <v>77</v>
      </c>
      <c r="I665" t="s">
        <v>53</v>
      </c>
      <c r="J665" t="s">
        <v>54</v>
      </c>
      <c r="K665">
        <v>33</v>
      </c>
      <c r="L665" t="s">
        <v>33</v>
      </c>
      <c r="M665" t="s">
        <v>43</v>
      </c>
      <c r="N665" t="s">
        <v>35</v>
      </c>
      <c r="O665">
        <v>378000</v>
      </c>
      <c r="P665">
        <v>31500</v>
      </c>
      <c r="Q665">
        <v>35</v>
      </c>
      <c r="R665" t="s">
        <v>36</v>
      </c>
      <c r="S665">
        <v>2.9</v>
      </c>
      <c r="T665">
        <v>51</v>
      </c>
      <c r="U665">
        <v>3</v>
      </c>
      <c r="V665">
        <v>3</v>
      </c>
      <c r="W665" t="s">
        <v>44</v>
      </c>
      <c r="X665">
        <v>3.2</v>
      </c>
      <c r="Y665">
        <v>2</v>
      </c>
      <c r="Z665">
        <v>5.6</v>
      </c>
    </row>
    <row r="666" spans="1:26">
      <c r="A666" t="s">
        <v>763</v>
      </c>
      <c r="B666" s="21">
        <v>43957</v>
      </c>
      <c r="C666" s="21"/>
      <c r="D666" t="s">
        <v>27</v>
      </c>
      <c r="E666">
        <v>0</v>
      </c>
      <c r="F666" t="s">
        <v>46</v>
      </c>
      <c r="G666" t="s">
        <v>29</v>
      </c>
      <c r="H666" t="s">
        <v>47</v>
      </c>
      <c r="I666" t="s">
        <v>31</v>
      </c>
      <c r="J666" t="s">
        <v>32</v>
      </c>
      <c r="K666">
        <v>37</v>
      </c>
      <c r="L666" t="s">
        <v>33</v>
      </c>
      <c r="M666" t="s">
        <v>40</v>
      </c>
      <c r="N666" t="s">
        <v>35</v>
      </c>
      <c r="O666">
        <v>403000</v>
      </c>
      <c r="P666">
        <v>33583.33</v>
      </c>
      <c r="Q666">
        <v>67</v>
      </c>
      <c r="R666" t="s">
        <v>55</v>
      </c>
      <c r="S666">
        <v>2.2999999999999998</v>
      </c>
      <c r="T666">
        <v>65</v>
      </c>
      <c r="U666">
        <v>15</v>
      </c>
      <c r="V666">
        <v>3</v>
      </c>
      <c r="W666" t="s">
        <v>37</v>
      </c>
      <c r="X666">
        <v>4.2</v>
      </c>
      <c r="Y666">
        <v>4</v>
      </c>
      <c r="Z666">
        <v>1.2</v>
      </c>
    </row>
    <row r="667" spans="1:26">
      <c r="A667" t="s">
        <v>764</v>
      </c>
      <c r="B667" s="21">
        <v>45767</v>
      </c>
      <c r="C667" s="21"/>
      <c r="D667" t="s">
        <v>27</v>
      </c>
      <c r="E667">
        <v>0</v>
      </c>
      <c r="F667" t="s">
        <v>67</v>
      </c>
      <c r="G667" t="s">
        <v>29</v>
      </c>
      <c r="H667" t="s">
        <v>95</v>
      </c>
      <c r="I667" t="s">
        <v>41</v>
      </c>
      <c r="J667" t="s">
        <v>32</v>
      </c>
      <c r="K667">
        <v>36</v>
      </c>
      <c r="L667" t="s">
        <v>42</v>
      </c>
      <c r="M667" t="s">
        <v>40</v>
      </c>
      <c r="N667" t="s">
        <v>35</v>
      </c>
      <c r="O667">
        <v>432000</v>
      </c>
      <c r="P667">
        <v>36000</v>
      </c>
      <c r="Q667">
        <v>8</v>
      </c>
      <c r="R667" t="s">
        <v>36</v>
      </c>
      <c r="S667">
        <v>4.2</v>
      </c>
      <c r="T667">
        <v>1</v>
      </c>
      <c r="U667">
        <v>0</v>
      </c>
      <c r="V667">
        <v>5</v>
      </c>
      <c r="W667" t="s">
        <v>37</v>
      </c>
      <c r="X667">
        <v>2.8</v>
      </c>
      <c r="Y667">
        <v>3</v>
      </c>
      <c r="Z667">
        <v>15.4</v>
      </c>
    </row>
    <row r="668" spans="1:26">
      <c r="A668" t="s">
        <v>765</v>
      </c>
      <c r="B668" s="21">
        <v>43612</v>
      </c>
      <c r="C668" s="21">
        <v>45412</v>
      </c>
      <c r="D668" t="s">
        <v>57</v>
      </c>
      <c r="E668">
        <v>1</v>
      </c>
      <c r="F668" t="s">
        <v>50</v>
      </c>
      <c r="G668" t="s">
        <v>91</v>
      </c>
      <c r="H668" t="s">
        <v>89</v>
      </c>
      <c r="I668" t="s">
        <v>41</v>
      </c>
      <c r="J668" t="s">
        <v>32</v>
      </c>
      <c r="K668">
        <v>35</v>
      </c>
      <c r="L668" t="s">
        <v>33</v>
      </c>
      <c r="M668" t="s">
        <v>34</v>
      </c>
      <c r="N668" t="s">
        <v>93</v>
      </c>
      <c r="O668">
        <v>1468000</v>
      </c>
      <c r="P668">
        <v>122333.33</v>
      </c>
      <c r="Q668">
        <v>59</v>
      </c>
      <c r="R668" t="s">
        <v>55</v>
      </c>
      <c r="S668">
        <v>3.9</v>
      </c>
      <c r="T668">
        <v>26</v>
      </c>
      <c r="U668">
        <v>15</v>
      </c>
      <c r="V668">
        <v>4</v>
      </c>
      <c r="W668" t="s">
        <v>37</v>
      </c>
      <c r="X668">
        <v>4.8</v>
      </c>
      <c r="Y668">
        <v>2</v>
      </c>
      <c r="Z668">
        <v>7.2</v>
      </c>
    </row>
    <row r="669" spans="1:26">
      <c r="A669" t="s">
        <v>766</v>
      </c>
      <c r="B669" s="21">
        <v>45162</v>
      </c>
      <c r="C669" s="21"/>
      <c r="D669" t="s">
        <v>27</v>
      </c>
      <c r="E669">
        <v>0</v>
      </c>
      <c r="F669" t="s">
        <v>67</v>
      </c>
      <c r="G669" t="s">
        <v>51</v>
      </c>
      <c r="H669" t="s">
        <v>68</v>
      </c>
      <c r="I669" t="s">
        <v>41</v>
      </c>
      <c r="J669" t="s">
        <v>32</v>
      </c>
      <c r="K669">
        <v>43</v>
      </c>
      <c r="L669" t="s">
        <v>33</v>
      </c>
      <c r="M669" t="s">
        <v>65</v>
      </c>
      <c r="N669" t="s">
        <v>35</v>
      </c>
      <c r="O669">
        <v>771000</v>
      </c>
      <c r="P669">
        <v>64250</v>
      </c>
      <c r="Q669">
        <v>28</v>
      </c>
      <c r="R669" t="s">
        <v>55</v>
      </c>
      <c r="S669">
        <v>1.9</v>
      </c>
      <c r="T669">
        <v>3</v>
      </c>
      <c r="U669">
        <v>16</v>
      </c>
      <c r="V669">
        <v>3</v>
      </c>
      <c r="W669" t="s">
        <v>44</v>
      </c>
      <c r="X669">
        <v>2.2999999999999998</v>
      </c>
      <c r="Y669">
        <v>5</v>
      </c>
      <c r="Z669">
        <v>12.5</v>
      </c>
    </row>
    <row r="670" spans="1:26">
      <c r="A670" t="s">
        <v>767</v>
      </c>
      <c r="B670" s="21">
        <v>44277</v>
      </c>
      <c r="C670" s="21"/>
      <c r="D670" t="s">
        <v>27</v>
      </c>
      <c r="E670">
        <v>0</v>
      </c>
      <c r="F670" t="s">
        <v>67</v>
      </c>
      <c r="G670" t="s">
        <v>51</v>
      </c>
      <c r="H670" t="s">
        <v>77</v>
      </c>
      <c r="I670" t="s">
        <v>62</v>
      </c>
      <c r="J670" t="s">
        <v>54</v>
      </c>
      <c r="K670">
        <v>23</v>
      </c>
      <c r="L670" t="s">
        <v>33</v>
      </c>
      <c r="M670" t="s">
        <v>65</v>
      </c>
      <c r="N670" t="s">
        <v>35</v>
      </c>
      <c r="O670">
        <v>620000</v>
      </c>
      <c r="P670">
        <v>51666.67</v>
      </c>
      <c r="Q670">
        <v>57</v>
      </c>
      <c r="R670" t="s">
        <v>55</v>
      </c>
      <c r="S670">
        <v>4.5999999999999996</v>
      </c>
      <c r="T670">
        <v>72</v>
      </c>
      <c r="U670">
        <v>9</v>
      </c>
      <c r="V670">
        <v>4</v>
      </c>
      <c r="W670" t="s">
        <v>44</v>
      </c>
      <c r="X670">
        <v>3.6</v>
      </c>
      <c r="Y670">
        <v>3</v>
      </c>
      <c r="Z670">
        <v>13.8</v>
      </c>
    </row>
    <row r="671" spans="1:26">
      <c r="A671" t="s">
        <v>768</v>
      </c>
      <c r="B671" s="21">
        <v>45249</v>
      </c>
      <c r="C671" s="21"/>
      <c r="D671" t="s">
        <v>27</v>
      </c>
      <c r="E671">
        <v>0</v>
      </c>
      <c r="F671" t="s">
        <v>60</v>
      </c>
      <c r="G671" t="s">
        <v>51</v>
      </c>
      <c r="H671" t="s">
        <v>61</v>
      </c>
      <c r="I671" t="s">
        <v>48</v>
      </c>
      <c r="J671" t="s">
        <v>32</v>
      </c>
      <c r="K671">
        <v>34</v>
      </c>
      <c r="L671" t="s">
        <v>33</v>
      </c>
      <c r="M671" t="s">
        <v>43</v>
      </c>
      <c r="N671" t="s">
        <v>35</v>
      </c>
      <c r="O671">
        <v>899000</v>
      </c>
      <c r="P671">
        <v>74916.67</v>
      </c>
      <c r="Q671">
        <v>25</v>
      </c>
      <c r="R671" t="s">
        <v>36</v>
      </c>
      <c r="S671">
        <v>3.5</v>
      </c>
      <c r="T671">
        <v>74</v>
      </c>
      <c r="U671">
        <v>13</v>
      </c>
      <c r="V671">
        <v>3</v>
      </c>
      <c r="W671" t="s">
        <v>37</v>
      </c>
      <c r="X671">
        <v>2.9</v>
      </c>
      <c r="Y671">
        <v>1</v>
      </c>
      <c r="Z671">
        <v>10.8</v>
      </c>
    </row>
    <row r="672" spans="1:26">
      <c r="A672" t="s">
        <v>769</v>
      </c>
      <c r="B672" s="21">
        <v>43793</v>
      </c>
      <c r="C672" s="21"/>
      <c r="D672" t="s">
        <v>27</v>
      </c>
      <c r="E672">
        <v>0</v>
      </c>
      <c r="F672" t="s">
        <v>73</v>
      </c>
      <c r="G672" t="s">
        <v>51</v>
      </c>
      <c r="H672" t="s">
        <v>126</v>
      </c>
      <c r="I672" t="s">
        <v>31</v>
      </c>
      <c r="J672" t="s">
        <v>54</v>
      </c>
      <c r="K672">
        <v>40</v>
      </c>
      <c r="L672" t="s">
        <v>42</v>
      </c>
      <c r="M672" t="s">
        <v>40</v>
      </c>
      <c r="N672" t="s">
        <v>35</v>
      </c>
      <c r="O672">
        <v>768000</v>
      </c>
      <c r="P672">
        <v>64000</v>
      </c>
      <c r="Q672">
        <v>73</v>
      </c>
      <c r="R672" t="s">
        <v>36</v>
      </c>
      <c r="S672">
        <v>3.1</v>
      </c>
      <c r="T672">
        <v>5</v>
      </c>
      <c r="U672">
        <v>4</v>
      </c>
      <c r="V672">
        <v>0</v>
      </c>
      <c r="W672" t="s">
        <v>37</v>
      </c>
      <c r="X672">
        <v>4</v>
      </c>
      <c r="Y672">
        <v>2</v>
      </c>
      <c r="Z672">
        <v>8.4</v>
      </c>
    </row>
    <row r="673" spans="1:26">
      <c r="A673" t="s">
        <v>770</v>
      </c>
      <c r="B673" s="21">
        <v>44930</v>
      </c>
      <c r="C673" s="21"/>
      <c r="D673" t="s">
        <v>27</v>
      </c>
      <c r="E673">
        <v>0</v>
      </c>
      <c r="F673" t="s">
        <v>73</v>
      </c>
      <c r="G673" t="s">
        <v>91</v>
      </c>
      <c r="H673" t="s">
        <v>118</v>
      </c>
      <c r="I673" t="s">
        <v>48</v>
      </c>
      <c r="J673" t="s">
        <v>32</v>
      </c>
      <c r="K673">
        <v>49</v>
      </c>
      <c r="L673" t="s">
        <v>33</v>
      </c>
      <c r="M673" t="s">
        <v>43</v>
      </c>
      <c r="N673" t="s">
        <v>35</v>
      </c>
      <c r="O673">
        <v>1668000</v>
      </c>
      <c r="P673">
        <v>139000</v>
      </c>
      <c r="Q673">
        <v>35</v>
      </c>
      <c r="R673" t="s">
        <v>36</v>
      </c>
      <c r="S673">
        <v>4.0999999999999996</v>
      </c>
      <c r="T673">
        <v>70</v>
      </c>
      <c r="U673">
        <v>3</v>
      </c>
      <c r="V673">
        <v>0</v>
      </c>
      <c r="W673" t="s">
        <v>37</v>
      </c>
      <c r="X673">
        <v>4.9000000000000004</v>
      </c>
      <c r="Y673">
        <v>5</v>
      </c>
      <c r="Z673">
        <v>7.5</v>
      </c>
    </row>
    <row r="674" spans="1:26">
      <c r="A674" t="s">
        <v>771</v>
      </c>
      <c r="B674" s="21">
        <v>43298</v>
      </c>
      <c r="C674" s="21">
        <v>44826</v>
      </c>
      <c r="D674" t="s">
        <v>57</v>
      </c>
      <c r="E674">
        <v>1</v>
      </c>
      <c r="F674" t="s">
        <v>98</v>
      </c>
      <c r="G674" t="s">
        <v>70</v>
      </c>
      <c r="H674" t="s">
        <v>99</v>
      </c>
      <c r="I674" t="s">
        <v>62</v>
      </c>
      <c r="J674" t="s">
        <v>32</v>
      </c>
      <c r="K674">
        <v>32</v>
      </c>
      <c r="L674" t="s">
        <v>33</v>
      </c>
      <c r="M674" t="s">
        <v>40</v>
      </c>
      <c r="N674" t="s">
        <v>194</v>
      </c>
      <c r="O674">
        <v>563000</v>
      </c>
      <c r="P674">
        <v>46916.67</v>
      </c>
      <c r="Q674">
        <v>50</v>
      </c>
      <c r="R674" t="s">
        <v>36</v>
      </c>
      <c r="S674">
        <v>2.2000000000000002</v>
      </c>
      <c r="T674">
        <v>24</v>
      </c>
      <c r="U674">
        <v>4</v>
      </c>
      <c r="V674">
        <v>5</v>
      </c>
      <c r="W674" t="s">
        <v>37</v>
      </c>
      <c r="X674">
        <v>4.5</v>
      </c>
      <c r="Y674">
        <v>3</v>
      </c>
      <c r="Z674">
        <v>6.2</v>
      </c>
    </row>
    <row r="675" spans="1:26">
      <c r="A675" t="s">
        <v>772</v>
      </c>
      <c r="B675" s="21">
        <v>44436</v>
      </c>
      <c r="C675" s="21">
        <v>44917</v>
      </c>
      <c r="D675" t="s">
        <v>57</v>
      </c>
      <c r="E675">
        <v>1</v>
      </c>
      <c r="F675" t="s">
        <v>98</v>
      </c>
      <c r="G675" t="s">
        <v>91</v>
      </c>
      <c r="H675" t="s">
        <v>99</v>
      </c>
      <c r="I675" t="s">
        <v>75</v>
      </c>
      <c r="J675" t="s">
        <v>54</v>
      </c>
      <c r="K675">
        <v>48</v>
      </c>
      <c r="L675" t="s">
        <v>33</v>
      </c>
      <c r="M675" t="s">
        <v>40</v>
      </c>
      <c r="N675" t="s">
        <v>35</v>
      </c>
      <c r="O675">
        <v>1214000</v>
      </c>
      <c r="P675">
        <v>101166.67</v>
      </c>
      <c r="Q675">
        <v>16</v>
      </c>
      <c r="R675" t="s">
        <v>55</v>
      </c>
      <c r="S675">
        <v>2.6</v>
      </c>
      <c r="T675">
        <v>32</v>
      </c>
      <c r="U675">
        <v>22</v>
      </c>
      <c r="V675">
        <v>1</v>
      </c>
      <c r="W675" t="s">
        <v>37</v>
      </c>
      <c r="X675">
        <v>3.5</v>
      </c>
      <c r="Y675">
        <v>5</v>
      </c>
      <c r="Z675">
        <v>12.9</v>
      </c>
    </row>
    <row r="676" spans="1:26">
      <c r="A676" t="s">
        <v>773</v>
      </c>
      <c r="B676" s="21">
        <v>43834</v>
      </c>
      <c r="C676" s="21"/>
      <c r="D676" t="s">
        <v>27</v>
      </c>
      <c r="E676">
        <v>0</v>
      </c>
      <c r="F676" t="s">
        <v>73</v>
      </c>
      <c r="G676" t="s">
        <v>29</v>
      </c>
      <c r="H676" t="s">
        <v>102</v>
      </c>
      <c r="I676" t="s">
        <v>41</v>
      </c>
      <c r="J676" t="s">
        <v>32</v>
      </c>
      <c r="K676">
        <v>33</v>
      </c>
      <c r="L676" t="s">
        <v>33</v>
      </c>
      <c r="M676" t="s">
        <v>34</v>
      </c>
      <c r="N676" t="s">
        <v>35</v>
      </c>
      <c r="O676">
        <v>324000</v>
      </c>
      <c r="P676">
        <v>27000</v>
      </c>
      <c r="Q676">
        <v>71</v>
      </c>
      <c r="R676" t="s">
        <v>36</v>
      </c>
      <c r="S676">
        <v>3.4</v>
      </c>
      <c r="T676">
        <v>49</v>
      </c>
      <c r="U676">
        <v>6</v>
      </c>
      <c r="V676">
        <v>2</v>
      </c>
      <c r="W676" t="s">
        <v>37</v>
      </c>
      <c r="X676">
        <v>2.5</v>
      </c>
      <c r="Y676">
        <v>5</v>
      </c>
      <c r="Z676">
        <v>1</v>
      </c>
    </row>
    <row r="677" spans="1:26">
      <c r="A677" t="s">
        <v>774</v>
      </c>
      <c r="B677" s="21">
        <v>44101</v>
      </c>
      <c r="C677" s="21"/>
      <c r="D677" t="s">
        <v>27</v>
      </c>
      <c r="E677">
        <v>0</v>
      </c>
      <c r="F677" t="s">
        <v>39</v>
      </c>
      <c r="G677" t="s">
        <v>88</v>
      </c>
      <c r="H677" t="s">
        <v>85</v>
      </c>
      <c r="I677" t="s">
        <v>62</v>
      </c>
      <c r="J677" t="s">
        <v>32</v>
      </c>
      <c r="K677">
        <v>39</v>
      </c>
      <c r="L677" t="s">
        <v>42</v>
      </c>
      <c r="M677" t="s">
        <v>58</v>
      </c>
      <c r="N677" t="s">
        <v>35</v>
      </c>
      <c r="O677">
        <v>1100000</v>
      </c>
      <c r="P677">
        <v>91666.67</v>
      </c>
      <c r="Q677">
        <v>63</v>
      </c>
      <c r="R677" t="s">
        <v>103</v>
      </c>
      <c r="S677">
        <v>2.5</v>
      </c>
      <c r="T677">
        <v>43</v>
      </c>
      <c r="U677">
        <v>0</v>
      </c>
      <c r="V677">
        <v>13</v>
      </c>
      <c r="W677" t="s">
        <v>37</v>
      </c>
      <c r="X677">
        <v>4.5</v>
      </c>
      <c r="Y677">
        <v>0</v>
      </c>
      <c r="Z677">
        <v>10.7</v>
      </c>
    </row>
    <row r="678" spans="1:26">
      <c r="A678" t="s">
        <v>775</v>
      </c>
      <c r="B678" s="21">
        <v>42510</v>
      </c>
      <c r="C678" s="21"/>
      <c r="D678" t="s">
        <v>27</v>
      </c>
      <c r="E678">
        <v>0</v>
      </c>
      <c r="F678" t="s">
        <v>46</v>
      </c>
      <c r="G678" t="s">
        <v>105</v>
      </c>
      <c r="H678" t="s">
        <v>71</v>
      </c>
      <c r="I678" t="s">
        <v>41</v>
      </c>
      <c r="J678" t="s">
        <v>32</v>
      </c>
      <c r="K678">
        <v>45</v>
      </c>
      <c r="L678" t="s">
        <v>33</v>
      </c>
      <c r="M678" t="s">
        <v>43</v>
      </c>
      <c r="N678" t="s">
        <v>35</v>
      </c>
      <c r="O678">
        <v>2312000</v>
      </c>
      <c r="P678">
        <v>192666.67</v>
      </c>
      <c r="Q678">
        <v>115</v>
      </c>
      <c r="R678" t="s">
        <v>36</v>
      </c>
      <c r="S678">
        <v>4.4000000000000004</v>
      </c>
      <c r="T678">
        <v>68</v>
      </c>
      <c r="U678">
        <v>9</v>
      </c>
      <c r="V678">
        <v>0</v>
      </c>
      <c r="W678" t="s">
        <v>37</v>
      </c>
      <c r="X678">
        <v>3.3</v>
      </c>
      <c r="Y678">
        <v>5</v>
      </c>
      <c r="Z678">
        <v>1.6</v>
      </c>
    </row>
    <row r="679" spans="1:26">
      <c r="A679" t="s">
        <v>776</v>
      </c>
      <c r="B679" s="21">
        <v>44768</v>
      </c>
      <c r="C679" s="21"/>
      <c r="D679" t="s">
        <v>27</v>
      </c>
      <c r="E679">
        <v>0</v>
      </c>
      <c r="F679" t="s">
        <v>98</v>
      </c>
      <c r="G679" t="s">
        <v>29</v>
      </c>
      <c r="H679" t="s">
        <v>212</v>
      </c>
      <c r="I679" t="s">
        <v>53</v>
      </c>
      <c r="J679" t="s">
        <v>32</v>
      </c>
      <c r="K679">
        <v>40</v>
      </c>
      <c r="L679" t="s">
        <v>130</v>
      </c>
      <c r="M679" t="s">
        <v>40</v>
      </c>
      <c r="N679" t="s">
        <v>35</v>
      </c>
      <c r="O679">
        <v>499000</v>
      </c>
      <c r="P679">
        <v>41583.33</v>
      </c>
      <c r="Q679">
        <v>41</v>
      </c>
      <c r="R679" t="s">
        <v>103</v>
      </c>
      <c r="S679">
        <v>4.2</v>
      </c>
      <c r="T679">
        <v>22</v>
      </c>
      <c r="U679">
        <v>16</v>
      </c>
      <c r="V679">
        <v>8</v>
      </c>
      <c r="W679" t="s">
        <v>37</v>
      </c>
      <c r="X679">
        <v>3.1</v>
      </c>
      <c r="Y679">
        <v>5</v>
      </c>
      <c r="Z679">
        <v>5.2</v>
      </c>
    </row>
    <row r="680" spans="1:26">
      <c r="A680" t="s">
        <v>777</v>
      </c>
      <c r="B680" s="21">
        <v>43118</v>
      </c>
      <c r="C680" s="21"/>
      <c r="D680" t="s">
        <v>27</v>
      </c>
      <c r="E680">
        <v>0</v>
      </c>
      <c r="F680" t="s">
        <v>39</v>
      </c>
      <c r="G680" t="s">
        <v>29</v>
      </c>
      <c r="H680" t="s">
        <v>204</v>
      </c>
      <c r="I680" t="s">
        <v>48</v>
      </c>
      <c r="J680" t="s">
        <v>54</v>
      </c>
      <c r="K680">
        <v>36</v>
      </c>
      <c r="L680" t="s">
        <v>33</v>
      </c>
      <c r="M680" t="s">
        <v>40</v>
      </c>
      <c r="N680" t="s">
        <v>35</v>
      </c>
      <c r="O680">
        <v>454000</v>
      </c>
      <c r="P680">
        <v>37833.33</v>
      </c>
      <c r="Q680">
        <v>95</v>
      </c>
      <c r="R680" t="s">
        <v>55</v>
      </c>
      <c r="S680">
        <v>5</v>
      </c>
      <c r="T680">
        <v>67</v>
      </c>
      <c r="U680">
        <v>3</v>
      </c>
      <c r="V680">
        <v>2</v>
      </c>
      <c r="W680" t="s">
        <v>37</v>
      </c>
      <c r="X680">
        <v>4</v>
      </c>
      <c r="Y680">
        <v>1</v>
      </c>
      <c r="Z680">
        <v>8</v>
      </c>
    </row>
    <row r="681" spans="1:26">
      <c r="A681" t="s">
        <v>778</v>
      </c>
      <c r="B681" s="21">
        <v>44596</v>
      </c>
      <c r="C681" s="21"/>
      <c r="D681" t="s">
        <v>27</v>
      </c>
      <c r="E681">
        <v>0</v>
      </c>
      <c r="F681" t="s">
        <v>60</v>
      </c>
      <c r="G681" t="s">
        <v>70</v>
      </c>
      <c r="H681" t="s">
        <v>112</v>
      </c>
      <c r="I681" t="s">
        <v>62</v>
      </c>
      <c r="J681" t="s">
        <v>54</v>
      </c>
      <c r="K681">
        <v>43</v>
      </c>
      <c r="L681" t="s">
        <v>33</v>
      </c>
      <c r="M681" t="s">
        <v>43</v>
      </c>
      <c r="N681" t="s">
        <v>35</v>
      </c>
      <c r="O681">
        <v>595000</v>
      </c>
      <c r="P681">
        <v>49583.33</v>
      </c>
      <c r="Q681">
        <v>46</v>
      </c>
      <c r="R681" t="s">
        <v>103</v>
      </c>
      <c r="S681">
        <v>4.0999999999999996</v>
      </c>
      <c r="T681">
        <v>57</v>
      </c>
      <c r="U681">
        <v>10</v>
      </c>
      <c r="V681">
        <v>10</v>
      </c>
      <c r="W681" t="s">
        <v>37</v>
      </c>
      <c r="X681">
        <v>3.6</v>
      </c>
      <c r="Y681">
        <v>2</v>
      </c>
      <c r="Z681">
        <v>23.6</v>
      </c>
    </row>
    <row r="682" spans="1:26">
      <c r="A682" t="s">
        <v>779</v>
      </c>
      <c r="B682" s="21">
        <v>44652</v>
      </c>
      <c r="C682" s="21"/>
      <c r="D682" t="s">
        <v>27</v>
      </c>
      <c r="E682">
        <v>0</v>
      </c>
      <c r="F682" t="s">
        <v>98</v>
      </c>
      <c r="G682" t="s">
        <v>51</v>
      </c>
      <c r="H682" t="s">
        <v>106</v>
      </c>
      <c r="I682" t="s">
        <v>41</v>
      </c>
      <c r="J682" t="s">
        <v>32</v>
      </c>
      <c r="K682">
        <v>39</v>
      </c>
      <c r="L682" t="s">
        <v>130</v>
      </c>
      <c r="M682" t="s">
        <v>43</v>
      </c>
      <c r="N682" t="s">
        <v>35</v>
      </c>
      <c r="O682">
        <v>778000</v>
      </c>
      <c r="P682">
        <v>64833.33</v>
      </c>
      <c r="Q682">
        <v>44</v>
      </c>
      <c r="R682" t="s">
        <v>36</v>
      </c>
      <c r="S682">
        <v>3.8</v>
      </c>
      <c r="T682">
        <v>67</v>
      </c>
      <c r="U682">
        <v>13</v>
      </c>
      <c r="V682">
        <v>2</v>
      </c>
      <c r="W682" t="s">
        <v>37</v>
      </c>
      <c r="X682">
        <v>3.7</v>
      </c>
      <c r="Y682">
        <v>1</v>
      </c>
      <c r="Z682">
        <v>12.4</v>
      </c>
    </row>
    <row r="683" spans="1:26">
      <c r="A683" t="s">
        <v>780</v>
      </c>
      <c r="B683" s="21">
        <v>42931</v>
      </c>
      <c r="C683" s="21"/>
      <c r="D683" t="s">
        <v>27</v>
      </c>
      <c r="E683">
        <v>0</v>
      </c>
      <c r="F683" t="s">
        <v>67</v>
      </c>
      <c r="G683" t="s">
        <v>91</v>
      </c>
      <c r="H683" t="s">
        <v>80</v>
      </c>
      <c r="I683" t="s">
        <v>62</v>
      </c>
      <c r="J683" t="s">
        <v>32</v>
      </c>
      <c r="K683">
        <v>43</v>
      </c>
      <c r="L683" t="s">
        <v>42</v>
      </c>
      <c r="M683" t="s">
        <v>65</v>
      </c>
      <c r="N683" t="s">
        <v>35</v>
      </c>
      <c r="O683">
        <v>1466000</v>
      </c>
      <c r="P683">
        <v>122166.67</v>
      </c>
      <c r="Q683">
        <v>101</v>
      </c>
      <c r="R683" t="s">
        <v>36</v>
      </c>
      <c r="S683">
        <v>4</v>
      </c>
      <c r="T683">
        <v>61</v>
      </c>
      <c r="U683">
        <v>6</v>
      </c>
      <c r="V683">
        <v>5</v>
      </c>
      <c r="W683" t="s">
        <v>37</v>
      </c>
      <c r="X683">
        <v>3.8</v>
      </c>
      <c r="Y683">
        <v>4</v>
      </c>
      <c r="Z683">
        <v>12.6</v>
      </c>
    </row>
    <row r="684" spans="1:26">
      <c r="A684" t="s">
        <v>781</v>
      </c>
      <c r="B684" s="21">
        <v>44688</v>
      </c>
      <c r="C684" s="21"/>
      <c r="D684" t="s">
        <v>27</v>
      </c>
      <c r="E684">
        <v>0</v>
      </c>
      <c r="F684" t="s">
        <v>28</v>
      </c>
      <c r="G684" t="s">
        <v>105</v>
      </c>
      <c r="H684" t="s">
        <v>30</v>
      </c>
      <c r="I684" t="s">
        <v>62</v>
      </c>
      <c r="J684" t="s">
        <v>32</v>
      </c>
      <c r="K684">
        <v>54</v>
      </c>
      <c r="L684" t="s">
        <v>96</v>
      </c>
      <c r="M684" t="s">
        <v>34</v>
      </c>
      <c r="N684" t="s">
        <v>35</v>
      </c>
      <c r="O684">
        <v>2260000</v>
      </c>
      <c r="P684">
        <v>188333.33</v>
      </c>
      <c r="Q684">
        <v>43</v>
      </c>
      <c r="R684" t="s">
        <v>55</v>
      </c>
      <c r="S684">
        <v>4.5</v>
      </c>
      <c r="T684">
        <v>28</v>
      </c>
      <c r="U684">
        <v>2</v>
      </c>
      <c r="V684">
        <v>7</v>
      </c>
      <c r="W684" t="s">
        <v>37</v>
      </c>
      <c r="X684">
        <v>2.7</v>
      </c>
      <c r="Y684">
        <v>0</v>
      </c>
      <c r="Z684">
        <v>14.6</v>
      </c>
    </row>
    <row r="685" spans="1:26">
      <c r="A685" t="s">
        <v>782</v>
      </c>
      <c r="B685" s="21">
        <v>44888</v>
      </c>
      <c r="C685" s="21"/>
      <c r="D685" t="s">
        <v>27</v>
      </c>
      <c r="E685">
        <v>0</v>
      </c>
      <c r="F685" t="s">
        <v>39</v>
      </c>
      <c r="G685" t="s">
        <v>29</v>
      </c>
      <c r="H685" t="s">
        <v>85</v>
      </c>
      <c r="I685" t="s">
        <v>48</v>
      </c>
      <c r="J685" t="s">
        <v>54</v>
      </c>
      <c r="K685">
        <v>41</v>
      </c>
      <c r="L685" t="s">
        <v>42</v>
      </c>
      <c r="M685" t="s">
        <v>65</v>
      </c>
      <c r="N685" t="s">
        <v>35</v>
      </c>
      <c r="O685">
        <v>382000</v>
      </c>
      <c r="P685">
        <v>31833.33</v>
      </c>
      <c r="Q685">
        <v>37</v>
      </c>
      <c r="R685" t="s">
        <v>36</v>
      </c>
      <c r="S685">
        <v>3.2</v>
      </c>
      <c r="T685">
        <v>47</v>
      </c>
      <c r="U685">
        <v>0</v>
      </c>
      <c r="V685">
        <v>9</v>
      </c>
      <c r="W685" t="s">
        <v>37</v>
      </c>
      <c r="X685">
        <v>2.9</v>
      </c>
      <c r="Y685">
        <v>0</v>
      </c>
      <c r="Z685">
        <v>8.1</v>
      </c>
    </row>
    <row r="686" spans="1:26">
      <c r="A686" t="s">
        <v>783</v>
      </c>
      <c r="B686" s="21">
        <v>45033</v>
      </c>
      <c r="C686" s="21"/>
      <c r="D686" t="s">
        <v>27</v>
      </c>
      <c r="E686">
        <v>0</v>
      </c>
      <c r="F686" t="s">
        <v>46</v>
      </c>
      <c r="G686" t="s">
        <v>70</v>
      </c>
      <c r="H686" t="s">
        <v>162</v>
      </c>
      <c r="I686" t="s">
        <v>53</v>
      </c>
      <c r="J686" t="s">
        <v>54</v>
      </c>
      <c r="K686">
        <v>42</v>
      </c>
      <c r="L686" t="s">
        <v>42</v>
      </c>
      <c r="M686" t="s">
        <v>58</v>
      </c>
      <c r="N686" t="s">
        <v>35</v>
      </c>
      <c r="O686">
        <v>656000</v>
      </c>
      <c r="P686">
        <v>54666.67</v>
      </c>
      <c r="Q686">
        <v>32</v>
      </c>
      <c r="R686" t="s">
        <v>36</v>
      </c>
      <c r="S686">
        <v>1.8</v>
      </c>
      <c r="T686">
        <v>78</v>
      </c>
      <c r="U686">
        <v>8</v>
      </c>
      <c r="V686">
        <v>9</v>
      </c>
      <c r="W686" t="s">
        <v>37</v>
      </c>
      <c r="X686">
        <v>4.5</v>
      </c>
      <c r="Y686">
        <v>3</v>
      </c>
      <c r="Z686">
        <v>6.7</v>
      </c>
    </row>
    <row r="687" spans="1:26">
      <c r="A687" t="s">
        <v>784</v>
      </c>
      <c r="B687" s="21">
        <v>43468</v>
      </c>
      <c r="C687" s="21"/>
      <c r="D687" t="s">
        <v>27</v>
      </c>
      <c r="E687">
        <v>0</v>
      </c>
      <c r="F687" t="s">
        <v>28</v>
      </c>
      <c r="G687" t="s">
        <v>70</v>
      </c>
      <c r="H687" t="s">
        <v>64</v>
      </c>
      <c r="I687" t="s">
        <v>53</v>
      </c>
      <c r="J687" t="s">
        <v>54</v>
      </c>
      <c r="K687">
        <v>50</v>
      </c>
      <c r="L687" t="s">
        <v>33</v>
      </c>
      <c r="M687" t="s">
        <v>43</v>
      </c>
      <c r="N687" t="s">
        <v>35</v>
      </c>
      <c r="O687">
        <v>612000</v>
      </c>
      <c r="P687">
        <v>51000</v>
      </c>
      <c r="Q687">
        <v>83</v>
      </c>
      <c r="R687" t="s">
        <v>36</v>
      </c>
      <c r="S687">
        <v>2.8</v>
      </c>
      <c r="T687">
        <v>78</v>
      </c>
      <c r="U687">
        <v>7</v>
      </c>
      <c r="V687">
        <v>3</v>
      </c>
      <c r="W687" t="s">
        <v>37</v>
      </c>
      <c r="X687">
        <v>3.7</v>
      </c>
      <c r="Y687">
        <v>2</v>
      </c>
      <c r="Z687">
        <v>12.9</v>
      </c>
    </row>
    <row r="688" spans="1:26">
      <c r="A688" t="s">
        <v>785</v>
      </c>
      <c r="B688" s="21">
        <v>45523</v>
      </c>
      <c r="C688" s="21"/>
      <c r="D688" t="s">
        <v>27</v>
      </c>
      <c r="E688">
        <v>0</v>
      </c>
      <c r="F688" t="s">
        <v>60</v>
      </c>
      <c r="G688" t="s">
        <v>29</v>
      </c>
      <c r="H688" t="s">
        <v>61</v>
      </c>
      <c r="I688" t="s">
        <v>62</v>
      </c>
      <c r="J688" t="s">
        <v>54</v>
      </c>
      <c r="K688">
        <v>32</v>
      </c>
      <c r="L688" t="s">
        <v>42</v>
      </c>
      <c r="M688" t="s">
        <v>40</v>
      </c>
      <c r="N688" t="s">
        <v>35</v>
      </c>
      <c r="O688">
        <v>445000</v>
      </c>
      <c r="P688">
        <v>37083.33</v>
      </c>
      <c r="Q688">
        <v>16</v>
      </c>
      <c r="R688" t="s">
        <v>36</v>
      </c>
      <c r="S688">
        <v>3</v>
      </c>
      <c r="T688">
        <v>63</v>
      </c>
      <c r="U688">
        <v>7</v>
      </c>
      <c r="V688">
        <v>0</v>
      </c>
      <c r="W688" t="s">
        <v>37</v>
      </c>
      <c r="X688">
        <v>2.9</v>
      </c>
      <c r="Y688">
        <v>0</v>
      </c>
      <c r="Z688">
        <v>10.7</v>
      </c>
    </row>
    <row r="689" spans="1:26">
      <c r="A689" t="s">
        <v>786</v>
      </c>
      <c r="B689" s="21">
        <v>45307</v>
      </c>
      <c r="C689" s="21">
        <v>45590</v>
      </c>
      <c r="D689" t="s">
        <v>57</v>
      </c>
      <c r="E689">
        <v>1</v>
      </c>
      <c r="F689" t="s">
        <v>73</v>
      </c>
      <c r="G689" t="s">
        <v>51</v>
      </c>
      <c r="H689" t="s">
        <v>126</v>
      </c>
      <c r="I689" t="s">
        <v>53</v>
      </c>
      <c r="J689" t="s">
        <v>54</v>
      </c>
      <c r="K689">
        <v>38</v>
      </c>
      <c r="L689" t="s">
        <v>82</v>
      </c>
      <c r="M689" t="s">
        <v>43</v>
      </c>
      <c r="N689" t="s">
        <v>35</v>
      </c>
      <c r="O689">
        <v>901000</v>
      </c>
      <c r="P689">
        <v>75083.33</v>
      </c>
      <c r="Q689">
        <v>9</v>
      </c>
      <c r="R689" t="s">
        <v>36</v>
      </c>
      <c r="S689">
        <v>4.5</v>
      </c>
      <c r="T689">
        <v>72</v>
      </c>
      <c r="U689">
        <v>7</v>
      </c>
      <c r="V689">
        <v>4</v>
      </c>
      <c r="W689" t="s">
        <v>37</v>
      </c>
      <c r="X689">
        <v>5</v>
      </c>
      <c r="Y689">
        <v>3</v>
      </c>
      <c r="Z689">
        <v>6.7</v>
      </c>
    </row>
    <row r="690" spans="1:26">
      <c r="A690" t="s">
        <v>787</v>
      </c>
      <c r="B690" s="21">
        <v>44121</v>
      </c>
      <c r="C690" s="21">
        <v>44354</v>
      </c>
      <c r="D690" t="s">
        <v>57</v>
      </c>
      <c r="E690">
        <v>1</v>
      </c>
      <c r="F690" t="s">
        <v>73</v>
      </c>
      <c r="G690" t="s">
        <v>70</v>
      </c>
      <c r="H690" t="s">
        <v>126</v>
      </c>
      <c r="I690" t="s">
        <v>62</v>
      </c>
      <c r="J690" t="s">
        <v>32</v>
      </c>
      <c r="K690">
        <v>31</v>
      </c>
      <c r="L690" t="s">
        <v>42</v>
      </c>
      <c r="M690" t="s">
        <v>43</v>
      </c>
      <c r="N690" t="s">
        <v>35</v>
      </c>
      <c r="O690">
        <v>458000</v>
      </c>
      <c r="P690">
        <v>38166.67</v>
      </c>
      <c r="Q690">
        <v>8</v>
      </c>
      <c r="R690" t="s">
        <v>36</v>
      </c>
      <c r="S690">
        <v>2.8</v>
      </c>
      <c r="T690">
        <v>72</v>
      </c>
      <c r="U690">
        <v>18</v>
      </c>
      <c r="V690">
        <v>7</v>
      </c>
      <c r="W690" t="s">
        <v>37</v>
      </c>
      <c r="X690">
        <v>4.5</v>
      </c>
      <c r="Y690">
        <v>0</v>
      </c>
      <c r="Z690">
        <v>16.100000000000001</v>
      </c>
    </row>
    <row r="691" spans="1:26">
      <c r="A691" t="s">
        <v>788</v>
      </c>
      <c r="B691" s="21">
        <v>44927</v>
      </c>
      <c r="C691" s="21"/>
      <c r="D691" t="s">
        <v>27</v>
      </c>
      <c r="E691">
        <v>0</v>
      </c>
      <c r="F691" t="s">
        <v>67</v>
      </c>
      <c r="G691" t="s">
        <v>29</v>
      </c>
      <c r="H691" t="s">
        <v>77</v>
      </c>
      <c r="I691" t="s">
        <v>62</v>
      </c>
      <c r="J691" t="s">
        <v>54</v>
      </c>
      <c r="K691">
        <v>32</v>
      </c>
      <c r="L691" t="s">
        <v>82</v>
      </c>
      <c r="M691" t="s">
        <v>34</v>
      </c>
      <c r="N691" t="s">
        <v>35</v>
      </c>
      <c r="O691">
        <v>395000</v>
      </c>
      <c r="P691">
        <v>32916.67</v>
      </c>
      <c r="Q691">
        <v>35</v>
      </c>
      <c r="R691" t="s">
        <v>55</v>
      </c>
      <c r="S691">
        <v>2.9</v>
      </c>
      <c r="T691">
        <v>2</v>
      </c>
      <c r="U691">
        <v>12</v>
      </c>
      <c r="V691">
        <v>7</v>
      </c>
      <c r="W691" t="s">
        <v>37</v>
      </c>
      <c r="X691">
        <v>4.3</v>
      </c>
      <c r="Y691">
        <v>1</v>
      </c>
      <c r="Z691">
        <v>6.5</v>
      </c>
    </row>
    <row r="692" spans="1:26">
      <c r="A692" t="s">
        <v>789</v>
      </c>
      <c r="B692" s="21">
        <v>45402</v>
      </c>
      <c r="C692" s="21"/>
      <c r="D692" t="s">
        <v>27</v>
      </c>
      <c r="E692">
        <v>0</v>
      </c>
      <c r="F692" t="s">
        <v>50</v>
      </c>
      <c r="G692" t="s">
        <v>29</v>
      </c>
      <c r="H692" t="s">
        <v>124</v>
      </c>
      <c r="I692" t="s">
        <v>62</v>
      </c>
      <c r="J692" t="s">
        <v>32</v>
      </c>
      <c r="K692">
        <v>20</v>
      </c>
      <c r="L692" t="s">
        <v>33</v>
      </c>
      <c r="M692" t="s">
        <v>40</v>
      </c>
      <c r="N692" t="s">
        <v>35</v>
      </c>
      <c r="O692">
        <v>263000</v>
      </c>
      <c r="P692">
        <v>21916.67</v>
      </c>
      <c r="Q692">
        <v>20</v>
      </c>
      <c r="R692" t="s">
        <v>36</v>
      </c>
      <c r="S692">
        <v>2.1</v>
      </c>
      <c r="T692">
        <v>57</v>
      </c>
      <c r="U692">
        <v>13</v>
      </c>
      <c r="V692">
        <v>3</v>
      </c>
      <c r="W692" t="s">
        <v>37</v>
      </c>
      <c r="X692">
        <v>3.7</v>
      </c>
      <c r="Y692">
        <v>1</v>
      </c>
      <c r="Z692">
        <v>17.2</v>
      </c>
    </row>
    <row r="693" spans="1:26">
      <c r="A693" t="s">
        <v>790</v>
      </c>
      <c r="B693" s="21">
        <v>42705</v>
      </c>
      <c r="C693" s="21"/>
      <c r="D693" t="s">
        <v>27</v>
      </c>
      <c r="E693">
        <v>0</v>
      </c>
      <c r="F693" t="s">
        <v>46</v>
      </c>
      <c r="G693" t="s">
        <v>29</v>
      </c>
      <c r="H693" t="s">
        <v>92</v>
      </c>
      <c r="I693" t="s">
        <v>75</v>
      </c>
      <c r="J693" t="s">
        <v>54</v>
      </c>
      <c r="K693">
        <v>27</v>
      </c>
      <c r="L693" t="s">
        <v>33</v>
      </c>
      <c r="M693" t="s">
        <v>34</v>
      </c>
      <c r="N693" t="s">
        <v>35</v>
      </c>
      <c r="O693">
        <v>348000</v>
      </c>
      <c r="P693">
        <v>29000</v>
      </c>
      <c r="Q693">
        <v>108</v>
      </c>
      <c r="R693" t="s">
        <v>55</v>
      </c>
      <c r="S693">
        <v>4</v>
      </c>
      <c r="T693">
        <v>26</v>
      </c>
      <c r="U693">
        <v>21</v>
      </c>
      <c r="V693">
        <v>11</v>
      </c>
      <c r="W693" t="s">
        <v>37</v>
      </c>
      <c r="X693">
        <v>4.9000000000000004</v>
      </c>
      <c r="Y693">
        <v>1</v>
      </c>
      <c r="Z693">
        <v>10.5</v>
      </c>
    </row>
    <row r="694" spans="1:26">
      <c r="A694" t="s">
        <v>791</v>
      </c>
      <c r="B694" s="21">
        <v>44831</v>
      </c>
      <c r="C694" s="21"/>
      <c r="D694" t="s">
        <v>27</v>
      </c>
      <c r="E694">
        <v>0</v>
      </c>
      <c r="F694" t="s">
        <v>73</v>
      </c>
      <c r="G694" t="s">
        <v>88</v>
      </c>
      <c r="H694" t="s">
        <v>118</v>
      </c>
      <c r="I694" t="s">
        <v>31</v>
      </c>
      <c r="J694" t="s">
        <v>32</v>
      </c>
      <c r="K694">
        <v>48</v>
      </c>
      <c r="L694" t="s">
        <v>33</v>
      </c>
      <c r="M694" t="s">
        <v>43</v>
      </c>
      <c r="N694" t="s">
        <v>35</v>
      </c>
      <c r="O694">
        <v>1308000</v>
      </c>
      <c r="P694">
        <v>109000</v>
      </c>
      <c r="Q694">
        <v>39</v>
      </c>
      <c r="R694" t="s">
        <v>36</v>
      </c>
      <c r="S694">
        <v>2.5</v>
      </c>
      <c r="T694">
        <v>2</v>
      </c>
      <c r="U694">
        <v>15</v>
      </c>
      <c r="V694">
        <v>8</v>
      </c>
      <c r="W694" t="s">
        <v>44</v>
      </c>
      <c r="X694">
        <v>3.5</v>
      </c>
      <c r="Y694">
        <v>1</v>
      </c>
      <c r="Z694">
        <v>18.399999999999999</v>
      </c>
    </row>
    <row r="695" spans="1:26">
      <c r="A695" t="s">
        <v>792</v>
      </c>
      <c r="B695" s="21">
        <v>43930</v>
      </c>
      <c r="C695" s="21"/>
      <c r="D695" t="s">
        <v>27</v>
      </c>
      <c r="E695">
        <v>0</v>
      </c>
      <c r="F695" t="s">
        <v>73</v>
      </c>
      <c r="G695" t="s">
        <v>70</v>
      </c>
      <c r="H695" t="s">
        <v>74</v>
      </c>
      <c r="I695" t="s">
        <v>41</v>
      </c>
      <c r="J695" t="s">
        <v>134</v>
      </c>
      <c r="K695">
        <v>44</v>
      </c>
      <c r="L695" t="s">
        <v>33</v>
      </c>
      <c r="M695" t="s">
        <v>40</v>
      </c>
      <c r="N695" t="s">
        <v>35</v>
      </c>
      <c r="O695">
        <v>533000</v>
      </c>
      <c r="P695">
        <v>44416.67</v>
      </c>
      <c r="Q695">
        <v>68</v>
      </c>
      <c r="R695" t="s">
        <v>36</v>
      </c>
      <c r="S695">
        <v>3.6</v>
      </c>
      <c r="T695">
        <v>20</v>
      </c>
      <c r="U695">
        <v>4</v>
      </c>
      <c r="V695">
        <v>6</v>
      </c>
      <c r="W695" t="s">
        <v>37</v>
      </c>
      <c r="X695">
        <v>3.5</v>
      </c>
      <c r="Y695">
        <v>2</v>
      </c>
      <c r="Z695">
        <v>22.1</v>
      </c>
    </row>
    <row r="696" spans="1:26">
      <c r="A696" t="s">
        <v>793</v>
      </c>
      <c r="B696" s="21">
        <v>42575</v>
      </c>
      <c r="C696" s="21"/>
      <c r="D696" t="s">
        <v>27</v>
      </c>
      <c r="E696">
        <v>0</v>
      </c>
      <c r="F696" t="s">
        <v>67</v>
      </c>
      <c r="G696" t="s">
        <v>88</v>
      </c>
      <c r="H696" t="s">
        <v>95</v>
      </c>
      <c r="I696" t="s">
        <v>41</v>
      </c>
      <c r="J696" t="s">
        <v>32</v>
      </c>
      <c r="K696">
        <v>42</v>
      </c>
      <c r="L696" t="s">
        <v>33</v>
      </c>
      <c r="M696" t="s">
        <v>40</v>
      </c>
      <c r="N696" t="s">
        <v>35</v>
      </c>
      <c r="O696">
        <v>1112000</v>
      </c>
      <c r="P696">
        <v>92666.67</v>
      </c>
      <c r="Q696">
        <v>113</v>
      </c>
      <c r="R696" t="s">
        <v>36</v>
      </c>
      <c r="S696">
        <v>4.5</v>
      </c>
      <c r="T696">
        <v>22</v>
      </c>
      <c r="U696">
        <v>11</v>
      </c>
      <c r="V696">
        <v>7</v>
      </c>
      <c r="W696" t="s">
        <v>44</v>
      </c>
      <c r="X696">
        <v>4</v>
      </c>
      <c r="Y696">
        <v>3</v>
      </c>
      <c r="Z696">
        <v>6.2</v>
      </c>
    </row>
    <row r="697" spans="1:26">
      <c r="A697" t="s">
        <v>794</v>
      </c>
      <c r="B697" s="21">
        <v>44103</v>
      </c>
      <c r="C697" s="21"/>
      <c r="D697" t="s">
        <v>27</v>
      </c>
      <c r="E697">
        <v>0</v>
      </c>
      <c r="F697" t="s">
        <v>73</v>
      </c>
      <c r="G697" t="s">
        <v>51</v>
      </c>
      <c r="H697" t="s">
        <v>126</v>
      </c>
      <c r="I697" t="s">
        <v>31</v>
      </c>
      <c r="J697" t="s">
        <v>54</v>
      </c>
      <c r="K697">
        <v>44</v>
      </c>
      <c r="L697" t="s">
        <v>33</v>
      </c>
      <c r="M697" t="s">
        <v>65</v>
      </c>
      <c r="N697" t="s">
        <v>35</v>
      </c>
      <c r="O697">
        <v>936000</v>
      </c>
      <c r="P697">
        <v>78000</v>
      </c>
      <c r="Q697">
        <v>63</v>
      </c>
      <c r="R697" t="s">
        <v>103</v>
      </c>
      <c r="S697">
        <v>3.1</v>
      </c>
      <c r="T697">
        <v>41</v>
      </c>
      <c r="U697">
        <v>13</v>
      </c>
      <c r="V697">
        <v>2</v>
      </c>
      <c r="W697" t="s">
        <v>37</v>
      </c>
      <c r="X697">
        <v>4.7</v>
      </c>
      <c r="Y697">
        <v>1</v>
      </c>
      <c r="Z697">
        <v>15.6</v>
      </c>
    </row>
    <row r="698" spans="1:26">
      <c r="A698" t="s">
        <v>795</v>
      </c>
      <c r="B698" s="21">
        <v>44472</v>
      </c>
      <c r="C698" s="21"/>
      <c r="D698" t="s">
        <v>27</v>
      </c>
      <c r="E698">
        <v>0</v>
      </c>
      <c r="F698" t="s">
        <v>60</v>
      </c>
      <c r="G698" t="s">
        <v>88</v>
      </c>
      <c r="H698" t="s">
        <v>109</v>
      </c>
      <c r="I698" t="s">
        <v>53</v>
      </c>
      <c r="J698" t="s">
        <v>54</v>
      </c>
      <c r="K698">
        <v>46</v>
      </c>
      <c r="L698" t="s">
        <v>33</v>
      </c>
      <c r="M698" t="s">
        <v>65</v>
      </c>
      <c r="N698" t="s">
        <v>35</v>
      </c>
      <c r="O698">
        <v>1165000</v>
      </c>
      <c r="P698">
        <v>97083.33</v>
      </c>
      <c r="Q698">
        <v>50</v>
      </c>
      <c r="R698" t="s">
        <v>36</v>
      </c>
      <c r="S698">
        <v>2.6</v>
      </c>
      <c r="T698">
        <v>77</v>
      </c>
      <c r="U698">
        <v>18</v>
      </c>
      <c r="V698">
        <v>2</v>
      </c>
      <c r="W698" t="s">
        <v>44</v>
      </c>
      <c r="X698">
        <v>4</v>
      </c>
      <c r="Y698">
        <v>4</v>
      </c>
      <c r="Z698">
        <v>5.3</v>
      </c>
    </row>
    <row r="699" spans="1:26">
      <c r="A699" t="s">
        <v>796</v>
      </c>
      <c r="B699" s="21">
        <v>43915</v>
      </c>
      <c r="C699" s="21"/>
      <c r="D699" t="s">
        <v>27</v>
      </c>
      <c r="E699">
        <v>0</v>
      </c>
      <c r="F699" t="s">
        <v>39</v>
      </c>
      <c r="G699" t="s">
        <v>29</v>
      </c>
      <c r="H699" t="s">
        <v>40</v>
      </c>
      <c r="I699" t="s">
        <v>48</v>
      </c>
      <c r="J699" t="s">
        <v>32</v>
      </c>
      <c r="K699">
        <v>37</v>
      </c>
      <c r="L699" t="s">
        <v>42</v>
      </c>
      <c r="M699" t="s">
        <v>34</v>
      </c>
      <c r="N699" t="s">
        <v>35</v>
      </c>
      <c r="O699">
        <v>493000</v>
      </c>
      <c r="P699">
        <v>41083.33</v>
      </c>
      <c r="Q699">
        <v>69</v>
      </c>
      <c r="R699" t="s">
        <v>36</v>
      </c>
      <c r="S699">
        <v>4</v>
      </c>
      <c r="T699">
        <v>52</v>
      </c>
      <c r="U699">
        <v>2</v>
      </c>
      <c r="V699">
        <v>4</v>
      </c>
      <c r="W699" t="s">
        <v>37</v>
      </c>
      <c r="X699">
        <v>3.5</v>
      </c>
      <c r="Y699">
        <v>3</v>
      </c>
      <c r="Z699">
        <v>1</v>
      </c>
    </row>
    <row r="700" spans="1:26">
      <c r="A700" t="s">
        <v>797</v>
      </c>
      <c r="B700" s="21">
        <v>42887</v>
      </c>
      <c r="C700" s="21">
        <v>44972</v>
      </c>
      <c r="D700" t="s">
        <v>57</v>
      </c>
      <c r="E700">
        <v>1</v>
      </c>
      <c r="F700" t="s">
        <v>67</v>
      </c>
      <c r="G700" t="s">
        <v>88</v>
      </c>
      <c r="H700" t="s">
        <v>80</v>
      </c>
      <c r="I700" t="s">
        <v>62</v>
      </c>
      <c r="J700" t="s">
        <v>54</v>
      </c>
      <c r="K700">
        <v>44</v>
      </c>
      <c r="L700" t="s">
        <v>33</v>
      </c>
      <c r="M700" t="s">
        <v>65</v>
      </c>
      <c r="N700" t="s">
        <v>35</v>
      </c>
      <c r="O700">
        <v>992000</v>
      </c>
      <c r="P700">
        <v>82666.67</v>
      </c>
      <c r="Q700">
        <v>68</v>
      </c>
      <c r="R700" t="s">
        <v>36</v>
      </c>
      <c r="S700">
        <v>3</v>
      </c>
      <c r="T700">
        <v>17</v>
      </c>
      <c r="U700">
        <v>5</v>
      </c>
      <c r="V700">
        <v>2</v>
      </c>
      <c r="W700" t="s">
        <v>37</v>
      </c>
      <c r="X700">
        <v>3.1</v>
      </c>
      <c r="Y700">
        <v>2</v>
      </c>
      <c r="Z700">
        <v>12</v>
      </c>
    </row>
    <row r="701" spans="1:26">
      <c r="A701" t="s">
        <v>798</v>
      </c>
      <c r="B701" s="21">
        <v>43371</v>
      </c>
      <c r="C701" s="21"/>
      <c r="D701" t="s">
        <v>27</v>
      </c>
      <c r="E701">
        <v>0</v>
      </c>
      <c r="F701" t="s">
        <v>28</v>
      </c>
      <c r="G701" t="s">
        <v>70</v>
      </c>
      <c r="H701" t="s">
        <v>30</v>
      </c>
      <c r="I701" t="s">
        <v>31</v>
      </c>
      <c r="J701" t="s">
        <v>32</v>
      </c>
      <c r="K701">
        <v>46</v>
      </c>
      <c r="L701" t="s">
        <v>33</v>
      </c>
      <c r="M701" t="s">
        <v>65</v>
      </c>
      <c r="N701" t="s">
        <v>35</v>
      </c>
      <c r="O701">
        <v>524000</v>
      </c>
      <c r="P701">
        <v>43666.67</v>
      </c>
      <c r="Q701">
        <v>87</v>
      </c>
      <c r="R701" t="s">
        <v>55</v>
      </c>
      <c r="S701">
        <v>4.8</v>
      </c>
      <c r="T701">
        <v>49</v>
      </c>
      <c r="U701">
        <v>17</v>
      </c>
      <c r="V701">
        <v>3</v>
      </c>
      <c r="W701" t="s">
        <v>37</v>
      </c>
      <c r="X701">
        <v>3.4</v>
      </c>
      <c r="Y701">
        <v>1</v>
      </c>
      <c r="Z701">
        <v>11.9</v>
      </c>
    </row>
  </sheetData>
  <conditionalFormatting sqref="S2:S70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U2:U701">
    <cfRule type="dataBar" priority="3">
      <dataBar>
        <cfvo type="min"/>
        <cfvo type="max"/>
        <color rgb="FFF59E0B"/>
      </dataBar>
    </cfRule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{533CCADC-42DA-2EC6-896E-D81439DA58CE}</x14:id>
        </ext>
      </extLst>
    </cfRule>
  </conditionalFormatting>
  <dataValidations count="5">
    <dataValidation type="list" sqref="D2:D701" xr:uid="{00000000-0002-0000-0000-000000000000}">
      <formula1>"Active,Terminated"</formula1>
    </dataValidation>
    <dataValidation type="list" sqref="F2:F701" xr:uid="{00000000-0002-0000-0000-000001000000}">
      <formula1>"Sales,Marketing,Engineering,Customer Support,Finance,Human Resources,Operations,Product"</formula1>
    </dataValidation>
    <dataValidation type="list" sqref="G2:G701" xr:uid="{00000000-0002-0000-0000-000002000000}">
      <formula1>"Entry,Associate,Mid,Senior,Manager,Director"</formula1>
    </dataValidation>
    <dataValidation type="list" sqref="R2:R701" xr:uid="{00000000-0002-0000-0000-000003000000}">
      <formula1>"Needs Improvement,Meets Expectations,Exceeds Expectations,Outstanding"</formula1>
    </dataValidation>
    <dataValidation type="list" sqref="W2:W701" xr:uid="{00000000-0002-0000-0000-000004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3CCADC-42DA-2EC6-896E-D81439DA58CE}">
            <x14:dataBar>
              <x14:cfvo type="min"/>
              <x14:cfvo type="max"/>
              <x14:negativeFillColor auto="1"/>
              <x14:axisColor auto="1"/>
            </x14:dataBar>
          </x14:cfRule>
          <xm:sqref>U2:U701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BF2B-B9D5-4743-B792-12BC40C60936}">
  <dimension ref="A1:G25"/>
  <sheetViews>
    <sheetView workbookViewId="0">
      <selection activeCell="H10" sqref="H10"/>
    </sheetView>
  </sheetViews>
  <sheetFormatPr defaultRowHeight="14.25"/>
  <cols>
    <col min="1" max="1" width="19.25" bestFit="1" customWidth="1"/>
    <col min="2" max="2" width="10.5" bestFit="1" customWidth="1"/>
    <col min="3" max="3" width="15.375" bestFit="1" customWidth="1"/>
    <col min="4" max="4" width="12.5" bestFit="1" customWidth="1"/>
  </cols>
  <sheetData>
    <row r="1" spans="1:7" ht="15">
      <c r="A1" s="9" t="s">
        <v>799</v>
      </c>
      <c r="B1" s="10" t="s">
        <v>800</v>
      </c>
    </row>
    <row r="2" spans="1:7">
      <c r="A2" s="37" t="s">
        <v>801</v>
      </c>
      <c r="B2">
        <f>COUNTA(EmployeeData[Employee_ID])</f>
        <v>700</v>
      </c>
    </row>
    <row r="3" spans="1:7">
      <c r="A3" s="37" t="s">
        <v>802</v>
      </c>
      <c r="B3">
        <f>COUNTIF(EmployeeData[Active_Status],"Active")</f>
        <v>628</v>
      </c>
    </row>
    <row r="4" spans="1:7">
      <c r="A4" s="37" t="s">
        <v>803</v>
      </c>
      <c r="B4" s="31" cm="1">
        <f t="array" ref="B4">SUM(EmployeeData[Attrition_Flag]/COUNTA(EmployeeData[Employee_ID]))</f>
        <v>0.10285714285714302</v>
      </c>
    </row>
    <row r="5" spans="1:7">
      <c r="A5" s="37" t="s">
        <v>804</v>
      </c>
      <c r="B5" s="12">
        <f>AVERAGE(EmployeeData[Engagement_Score])</f>
        <v>3.4935714285714274</v>
      </c>
    </row>
    <row r="6" spans="1:7">
      <c r="A6" s="37" t="s">
        <v>805</v>
      </c>
      <c r="B6" s="13">
        <f>AVERAGE(EmployeeData[Annual_Salary])</f>
        <v>864442.85714285716</v>
      </c>
    </row>
    <row r="7" spans="1:7">
      <c r="A7" s="37" t="s">
        <v>806</v>
      </c>
      <c r="B7" s="15">
        <f>AVERAGE(EmployeeData[Tenure_Months])</f>
        <v>56</v>
      </c>
    </row>
    <row r="8" spans="1:7">
      <c r="A8" s="34"/>
      <c r="B8" s="35"/>
    </row>
    <row r="9" spans="1:7">
      <c r="A9" s="34"/>
      <c r="B9" s="35"/>
    </row>
    <row r="10" spans="1:7" ht="15">
      <c r="A10" s="17" t="s">
        <v>819</v>
      </c>
      <c r="B10" s="17" t="s">
        <v>807</v>
      </c>
      <c r="C10" s="17" t="s">
        <v>821</v>
      </c>
      <c r="D10" s="17" t="s">
        <v>803</v>
      </c>
    </row>
    <row r="11" spans="1:7">
      <c r="A11" t="str" cm="1">
        <f t="array" ref="A11:A14">_xlfn.UNIQUE([1]!EmployeeData[Performance_Rating])</f>
        <v>Meets Expectations</v>
      </c>
      <c r="B11" cm="1">
        <f t="array" ref="B11:B14">COUNTIFS([1]!EmployeeData[Performance_Rating],_xlfn.ANCHORARRAY(A11))</f>
        <v>381</v>
      </c>
      <c r="C11" cm="1">
        <f t="array" ref="C11:C14">COUNTIFS(EmployeeData[Performance_Rating],_xlfn.ANCHORARRAY(A11),EmployeeData[Attrition_Flag],1)</f>
        <v>35</v>
      </c>
      <c r="D11" s="31">
        <f>C11/B11</f>
        <v>9.1863517060367453E-2</v>
      </c>
    </row>
    <row r="12" spans="1:7">
      <c r="A12" t="str">
        <v>Exceeds Expectations</v>
      </c>
      <c r="B12">
        <v>199</v>
      </c>
      <c r="C12">
        <v>19</v>
      </c>
      <c r="D12" s="31">
        <f t="shared" ref="D12:D14" si="0">C12/B12</f>
        <v>9.5477386934673364E-2</v>
      </c>
    </row>
    <row r="13" spans="1:7">
      <c r="A13" t="str">
        <v>Needs Improvement</v>
      </c>
      <c r="B13">
        <v>55</v>
      </c>
      <c r="C13">
        <v>10</v>
      </c>
      <c r="D13" s="31">
        <f t="shared" si="0"/>
        <v>0.18181818181818182</v>
      </c>
    </row>
    <row r="14" spans="1:7">
      <c r="A14" t="str">
        <v>Outstanding</v>
      </c>
      <c r="B14">
        <v>65</v>
      </c>
      <c r="C14">
        <v>8</v>
      </c>
      <c r="D14" s="31">
        <f t="shared" si="0"/>
        <v>0.12307692307692308</v>
      </c>
      <c r="G14" s="33"/>
    </row>
    <row r="17" spans="1:4" ht="15">
      <c r="A17" s="17" t="s">
        <v>820</v>
      </c>
      <c r="B17" s="17" t="s">
        <v>807</v>
      </c>
      <c r="C17" s="17" t="s">
        <v>821</v>
      </c>
      <c r="D17" s="17" t="s">
        <v>803</v>
      </c>
    </row>
    <row r="18" spans="1:4">
      <c r="A18" s="32" t="str" cm="1">
        <f t="array" ref="A18:A20">_xlfn.UNIQUE([1]!EmployeeData[Employment_Type])</f>
        <v>Full-time</v>
      </c>
      <c r="B18" cm="1">
        <f t="array" ref="B18:B20">COUNTIFS([1]!EmployeeData[Employment_Type],_xlfn.ANCHORARRAY(A18))</f>
        <v>623</v>
      </c>
      <c r="C18">
        <f>COUNTIFS(EmployeeData[Employment_Type],A18,EmployeeData[Attrition_Flag],1)</f>
        <v>59</v>
      </c>
      <c r="D18" s="31">
        <f>C18/B18</f>
        <v>9.4703049759229538E-2</v>
      </c>
    </row>
    <row r="19" spans="1:4">
      <c r="A19" s="32" t="str">
        <v>Contract</v>
      </c>
      <c r="B19">
        <v>50</v>
      </c>
      <c r="C19">
        <f>COUNTIFS([1]!EmployeeData[Employment_Type],A19,[1]!EmployeeData[Attrition_Flag],1)</f>
        <v>9</v>
      </c>
      <c r="D19" s="31">
        <f t="shared" ref="D19:D20" si="1">C19/B19</f>
        <v>0.18</v>
      </c>
    </row>
    <row r="20" spans="1:4">
      <c r="A20" s="32" t="str">
        <v>Part-time</v>
      </c>
      <c r="B20">
        <v>27</v>
      </c>
      <c r="C20">
        <f>COUNTIFS([1]!EmployeeData[Employment_Type],A20,[1]!EmployeeData[Attrition_Flag],1)</f>
        <v>4</v>
      </c>
      <c r="D20" s="31">
        <f t="shared" si="1"/>
        <v>0.14814814814814814</v>
      </c>
    </row>
    <row r="23" spans="1:4" ht="15">
      <c r="B23" s="17" t="s">
        <v>807</v>
      </c>
      <c r="C23" s="17" t="s">
        <v>822</v>
      </c>
    </row>
    <row r="24" spans="1:4">
      <c r="A24" s="52" t="s">
        <v>27</v>
      </c>
      <c r="B24">
        <f>COUNTIF([1]!EmployeeData[Active_Status],"Active")</f>
        <v>628</v>
      </c>
      <c r="C24" s="8">
        <f>AVERAGEIF([1]!EmployeeData[Active_Status],"Active",[1]!EmployeeData[Tenure_Months])</f>
        <v>59.522292993630572</v>
      </c>
    </row>
    <row r="25" spans="1:4">
      <c r="A25" s="52" t="s">
        <v>823</v>
      </c>
      <c r="B25">
        <f>COUNTIF([1]!EmployeeData[Active_Status],"Terminated")</f>
        <v>72</v>
      </c>
      <c r="C25" s="8">
        <f>AVERAGEIF([1]!EmployeeData[Active_Status],"Terminated",[1]!EmployeeData[Tenure_Months])</f>
        <v>25.277777777777779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9"/>
  <sheetViews>
    <sheetView workbookViewId="0">
      <selection activeCell="J10" sqref="J10"/>
    </sheetView>
  </sheetViews>
  <sheetFormatPr defaultRowHeight="14.25"/>
  <cols>
    <col min="1" max="1" width="24" customWidth="1"/>
  </cols>
  <sheetData>
    <row r="1" spans="1:1" ht="20.25">
      <c r="A1" s="6" t="s">
        <v>811</v>
      </c>
    </row>
    <row r="3" spans="1:1" ht="15">
      <c r="A3" s="7" t="s">
        <v>812</v>
      </c>
    </row>
    <row r="4" spans="1:1">
      <c r="A4" t="s">
        <v>67</v>
      </c>
    </row>
    <row r="5" spans="1:1">
      <c r="A5" t="s">
        <v>46</v>
      </c>
    </row>
    <row r="6" spans="1:1">
      <c r="A6" t="s">
        <v>73</v>
      </c>
    </row>
    <row r="7" spans="1:1">
      <c r="A7" t="s">
        <v>28</v>
      </c>
    </row>
    <row r="8" spans="1:1">
      <c r="A8" t="s">
        <v>98</v>
      </c>
    </row>
    <row r="9" spans="1:1">
      <c r="A9" t="s">
        <v>39</v>
      </c>
    </row>
    <row r="10" spans="1:1">
      <c r="A10" t="s">
        <v>60</v>
      </c>
    </row>
    <row r="11" spans="1:1">
      <c r="A11" t="s">
        <v>50</v>
      </c>
    </row>
    <row r="14" spans="1:1" ht="15">
      <c r="A14" s="7" t="s">
        <v>813</v>
      </c>
    </row>
    <row r="15" spans="1:1">
      <c r="A15" t="s">
        <v>29</v>
      </c>
    </row>
    <row r="16" spans="1:1">
      <c r="A16" t="s">
        <v>70</v>
      </c>
    </row>
    <row r="17" spans="1:1">
      <c r="A17" t="s">
        <v>51</v>
      </c>
    </row>
    <row r="18" spans="1:1">
      <c r="A18" t="s">
        <v>88</v>
      </c>
    </row>
    <row r="19" spans="1:1">
      <c r="A19" t="s">
        <v>91</v>
      </c>
    </row>
    <row r="20" spans="1:1">
      <c r="A20" t="s">
        <v>105</v>
      </c>
    </row>
    <row r="23" spans="1:1" ht="15">
      <c r="A23" s="7" t="s">
        <v>814</v>
      </c>
    </row>
    <row r="24" spans="1:1">
      <c r="A24" t="s">
        <v>41</v>
      </c>
    </row>
    <row r="25" spans="1:1">
      <c r="A25" t="s">
        <v>62</v>
      </c>
    </row>
    <row r="26" spans="1:1">
      <c r="A26" t="s">
        <v>75</v>
      </c>
    </row>
    <row r="27" spans="1:1">
      <c r="A27" t="s">
        <v>53</v>
      </c>
    </row>
    <row r="28" spans="1:1">
      <c r="A28" t="s">
        <v>48</v>
      </c>
    </row>
    <row r="29" spans="1:1">
      <c r="A29" t="s">
        <v>31</v>
      </c>
    </row>
    <row r="32" spans="1:1" ht="15">
      <c r="A32" s="7" t="s">
        <v>815</v>
      </c>
    </row>
    <row r="33" spans="1:1">
      <c r="A33" t="s">
        <v>130</v>
      </c>
    </row>
    <row r="34" spans="1:1">
      <c r="A34" t="s">
        <v>33</v>
      </c>
    </row>
    <row r="35" spans="1:1">
      <c r="A35" t="s">
        <v>42</v>
      </c>
    </row>
    <row r="36" spans="1:1">
      <c r="A36" t="s">
        <v>96</v>
      </c>
    </row>
    <row r="37" spans="1:1">
      <c r="A37" t="s">
        <v>82</v>
      </c>
    </row>
    <row r="40" spans="1:1" ht="15">
      <c r="A40" s="7" t="s">
        <v>816</v>
      </c>
    </row>
    <row r="41" spans="1:1">
      <c r="A41" t="s">
        <v>103</v>
      </c>
    </row>
    <row r="42" spans="1:1">
      <c r="A42" t="s">
        <v>36</v>
      </c>
    </row>
    <row r="43" spans="1:1">
      <c r="A43" t="s">
        <v>55</v>
      </c>
    </row>
    <row r="44" spans="1:1">
      <c r="A44" t="s">
        <v>116</v>
      </c>
    </row>
    <row r="47" spans="1:1" ht="15">
      <c r="A47" s="7" t="s">
        <v>817</v>
      </c>
    </row>
    <row r="48" spans="1:1">
      <c r="A48" t="s">
        <v>65</v>
      </c>
    </row>
    <row r="49" spans="1:1">
      <c r="A49" t="s">
        <v>34</v>
      </c>
    </row>
    <row r="50" spans="1:1">
      <c r="A50" t="s">
        <v>43</v>
      </c>
    </row>
    <row r="51" spans="1:1">
      <c r="A51" t="s">
        <v>78</v>
      </c>
    </row>
    <row r="52" spans="1:1">
      <c r="A52" t="s">
        <v>40</v>
      </c>
    </row>
    <row r="53" spans="1:1">
      <c r="A53" t="s">
        <v>58</v>
      </c>
    </row>
    <row r="56" spans="1:1" ht="15">
      <c r="A56" s="7" t="s">
        <v>818</v>
      </c>
    </row>
    <row r="57" spans="1:1">
      <c r="A57" t="s">
        <v>35</v>
      </c>
    </row>
    <row r="58" spans="1:1">
      <c r="A58" t="s">
        <v>194</v>
      </c>
    </row>
    <row r="59" spans="1:1">
      <c r="A5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Employee_Data</vt:lpstr>
      <vt:lpstr>Metrics</vt:lpstr>
      <vt:lpstr>Lookup_Lists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NCOL</dc:creator>
  <cp:lastModifiedBy>Nichole Munlawin</cp:lastModifiedBy>
  <dcterms:created xsi:type="dcterms:W3CDTF">2026-05-14T08:49:30Z</dcterms:created>
  <dcterms:modified xsi:type="dcterms:W3CDTF">2026-05-20T14:02:28Z</dcterms:modified>
</cp:coreProperties>
</file>