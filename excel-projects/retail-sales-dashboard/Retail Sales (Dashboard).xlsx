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Data Analytics\Data\Excel\"/>
    </mc:Choice>
  </mc:AlternateContent>
  <xr:revisionPtr revIDLastSave="0" documentId="13_ncr:1_{A58E8539-E213-4827-821C-2C9832065C3E}" xr6:coauthVersionLast="47" xr6:coauthVersionMax="47" xr10:uidLastSave="{00000000-0000-0000-0000-000000000000}"/>
  <bookViews>
    <workbookView xWindow="-120" yWindow="-120" windowWidth="29040" windowHeight="16440" activeTab="1" xr2:uid="{A5AAC728-A5BD-4018-A171-CF109707DDC3}"/>
  </bookViews>
  <sheets>
    <sheet name="Dashboard" sheetId="7" r:id="rId1"/>
    <sheet name="Analysis" sheetId="12" r:id="rId2"/>
    <sheet name="Sales_Data" sheetId="1" r:id="rId3"/>
    <sheet name="Lookup_Lists" sheetId="11" r:id="rId4"/>
    <sheet name="Sales and Profit by Category" sheetId="5" r:id="rId5"/>
    <sheet name="Sales and Profit by Region" sheetId="10" r:id="rId6"/>
    <sheet name="Monthly Sales and Profit Trend" sheetId="9" r:id="rId7"/>
  </sheets>
  <definedNames>
    <definedName name="Slicer_Region">#N/A</definedName>
  </definedNames>
  <calcPr calcId="191029"/>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8" i="9" l="1"/>
  <c r="A13" i="7" s="1"/>
  <c r="G29" i="9"/>
  <c r="A14" i="7" s="1"/>
  <c r="G30" i="9"/>
  <c r="A15" i="7" s="1"/>
  <c r="G31" i="9"/>
  <c r="A16" i="7" s="1"/>
  <c r="G32" i="9"/>
  <c r="A17" i="7" s="1"/>
  <c r="G33" i="9"/>
  <c r="A18" i="7" s="1"/>
  <c r="G34" i="9"/>
  <c r="A19" i="7" s="1"/>
  <c r="G35" i="9"/>
  <c r="A20" i="7" s="1"/>
  <c r="G36" i="9"/>
  <c r="A21" i="7" s="1"/>
  <c r="G37" i="9"/>
  <c r="A22" i="7" s="1"/>
  <c r="G38" i="9"/>
  <c r="A23" i="7" s="1"/>
  <c r="G27" i="9"/>
  <c r="A12" i="7" s="1"/>
  <c r="H28" i="9"/>
  <c r="B13" i="7" s="1"/>
  <c r="I28" i="9"/>
  <c r="C13" i="7" s="1"/>
  <c r="J28" i="9"/>
  <c r="D13" i="7" s="1"/>
  <c r="H29" i="9"/>
  <c r="B14" i="7" s="1"/>
  <c r="I29" i="9"/>
  <c r="C14" i="7" s="1"/>
  <c r="J29" i="9"/>
  <c r="D14" i="7" s="1"/>
  <c r="H30" i="9"/>
  <c r="B15" i="7" s="1"/>
  <c r="I30" i="9"/>
  <c r="C15" i="7" s="1"/>
  <c r="J30" i="9"/>
  <c r="D15" i="7" s="1"/>
  <c r="H31" i="9"/>
  <c r="B16" i="7" s="1"/>
  <c r="I31" i="9"/>
  <c r="C16" i="7" s="1"/>
  <c r="J31" i="9"/>
  <c r="D16" i="7" s="1"/>
  <c r="H32" i="9"/>
  <c r="B17" i="7" s="1"/>
  <c r="I32" i="9"/>
  <c r="C17" i="7" s="1"/>
  <c r="J32" i="9"/>
  <c r="D17" i="7" s="1"/>
  <c r="H33" i="9"/>
  <c r="B18" i="7" s="1"/>
  <c r="I33" i="9"/>
  <c r="C18" i="7" s="1"/>
  <c r="J33" i="9"/>
  <c r="D18" i="7" s="1"/>
  <c r="H34" i="9"/>
  <c r="B19" i="7" s="1"/>
  <c r="I34" i="9"/>
  <c r="C19" i="7" s="1"/>
  <c r="J34" i="9"/>
  <c r="D19" i="7" s="1"/>
  <c r="H35" i="9"/>
  <c r="B20" i="7" s="1"/>
  <c r="I35" i="9"/>
  <c r="C20" i="7" s="1"/>
  <c r="J35" i="9"/>
  <c r="D20" i="7" s="1"/>
  <c r="H36" i="9"/>
  <c r="B21" i="7" s="1"/>
  <c r="I36" i="9"/>
  <c r="C21" i="7" s="1"/>
  <c r="J36" i="9"/>
  <c r="D21" i="7" s="1"/>
  <c r="H37" i="9"/>
  <c r="B22" i="7" s="1"/>
  <c r="I37" i="9"/>
  <c r="C22" i="7" s="1"/>
  <c r="J37" i="9"/>
  <c r="D22" i="7" s="1"/>
  <c r="H38" i="9"/>
  <c r="B23" i="7" s="1"/>
  <c r="I38" i="9"/>
  <c r="C23" i="7" s="1"/>
  <c r="J38" i="9"/>
  <c r="D23" i="7" s="1"/>
  <c r="H27" i="9"/>
  <c r="B12" i="7" s="1"/>
  <c r="I27" i="9"/>
  <c r="C12" i="7" s="1"/>
  <c r="J27" i="9"/>
  <c r="D12" i="7" s="1"/>
  <c r="G20" i="7"/>
  <c r="H20" i="7"/>
  <c r="I20" i="7"/>
  <c r="F21" i="7"/>
  <c r="G21" i="7"/>
  <c r="H21" i="7"/>
  <c r="I21" i="7"/>
  <c r="F22" i="7"/>
  <c r="G22" i="7"/>
  <c r="H22" i="7"/>
  <c r="I22" i="7"/>
  <c r="F23" i="7"/>
  <c r="G23" i="7"/>
  <c r="H23" i="7"/>
  <c r="I23" i="7"/>
  <c r="F20" i="7"/>
  <c r="F13" i="7"/>
  <c r="I13" i="7" s="1"/>
  <c r="G13" i="7"/>
  <c r="H13" i="7"/>
  <c r="F14" i="7"/>
  <c r="I14" i="7" s="1"/>
  <c r="G14" i="7"/>
  <c r="H14" i="7"/>
  <c r="F15" i="7"/>
  <c r="I15" i="7" s="1"/>
  <c r="G15" i="7"/>
  <c r="H15" i="7"/>
  <c r="G12" i="7"/>
  <c r="H12" i="7"/>
  <c r="F12" i="7"/>
  <c r="I12" i="7"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501" i="1"/>
  <c r="R501" i="1"/>
  <c r="V500" i="1"/>
  <c r="R500" i="1"/>
  <c r="V499" i="1"/>
  <c r="R499" i="1"/>
  <c r="V498" i="1"/>
  <c r="R498" i="1"/>
  <c r="V497" i="1"/>
  <c r="R497" i="1"/>
  <c r="V496" i="1"/>
  <c r="R496" i="1"/>
  <c r="V495" i="1"/>
  <c r="R495" i="1"/>
  <c r="V494" i="1"/>
  <c r="R494" i="1"/>
  <c r="V493" i="1"/>
  <c r="R493" i="1"/>
  <c r="V492" i="1"/>
  <c r="R492" i="1"/>
  <c r="V491" i="1"/>
  <c r="R491" i="1"/>
  <c r="V490" i="1"/>
  <c r="R490" i="1"/>
  <c r="V489" i="1"/>
  <c r="R489" i="1"/>
  <c r="V488" i="1"/>
  <c r="R488" i="1"/>
  <c r="V487" i="1"/>
  <c r="R487" i="1"/>
  <c r="V486" i="1"/>
  <c r="R486" i="1"/>
  <c r="V485" i="1"/>
  <c r="R485" i="1"/>
  <c r="V484" i="1"/>
  <c r="R484" i="1"/>
  <c r="V483" i="1"/>
  <c r="R483" i="1"/>
  <c r="V482" i="1"/>
  <c r="R482" i="1"/>
  <c r="V481" i="1"/>
  <c r="R481" i="1"/>
  <c r="V480" i="1"/>
  <c r="R480" i="1"/>
  <c r="V479" i="1"/>
  <c r="R479" i="1"/>
  <c r="V478" i="1"/>
  <c r="R478" i="1"/>
  <c r="V477" i="1"/>
  <c r="R477" i="1"/>
  <c r="V476" i="1"/>
  <c r="R476" i="1"/>
  <c r="V475" i="1"/>
  <c r="R475" i="1"/>
  <c r="V474" i="1"/>
  <c r="R474" i="1"/>
  <c r="V473" i="1"/>
  <c r="R473" i="1"/>
  <c r="V472" i="1"/>
  <c r="R472" i="1"/>
  <c r="V471" i="1"/>
  <c r="R471" i="1"/>
  <c r="V470" i="1"/>
  <c r="R470" i="1"/>
  <c r="V469" i="1"/>
  <c r="R469" i="1"/>
  <c r="V468" i="1"/>
  <c r="R468" i="1"/>
  <c r="V467" i="1"/>
  <c r="R467" i="1"/>
  <c r="V466" i="1"/>
  <c r="R466" i="1"/>
  <c r="V465" i="1"/>
  <c r="R465" i="1"/>
  <c r="V464" i="1"/>
  <c r="R464" i="1"/>
  <c r="V463" i="1"/>
  <c r="R463" i="1"/>
  <c r="V462" i="1"/>
  <c r="R462" i="1"/>
  <c r="V461" i="1"/>
  <c r="R461" i="1"/>
  <c r="V460" i="1"/>
  <c r="R460" i="1"/>
  <c r="V459" i="1"/>
  <c r="R459" i="1"/>
  <c r="V458" i="1"/>
  <c r="R458" i="1"/>
  <c r="V457" i="1"/>
  <c r="R457" i="1"/>
  <c r="V456" i="1"/>
  <c r="R456" i="1"/>
  <c r="V455" i="1"/>
  <c r="R455" i="1"/>
  <c r="V454" i="1"/>
  <c r="R454" i="1"/>
  <c r="V453" i="1"/>
  <c r="R453" i="1"/>
  <c r="V452" i="1"/>
  <c r="R452" i="1"/>
  <c r="V451" i="1"/>
  <c r="R451" i="1"/>
  <c r="V450" i="1"/>
  <c r="R450" i="1"/>
  <c r="V449" i="1"/>
  <c r="R449" i="1"/>
  <c r="V448" i="1"/>
  <c r="R448" i="1"/>
  <c r="V447" i="1"/>
  <c r="R447" i="1"/>
  <c r="V446" i="1"/>
  <c r="R446" i="1"/>
  <c r="V445" i="1"/>
  <c r="R445" i="1"/>
  <c r="V444" i="1"/>
  <c r="R444" i="1"/>
  <c r="V443" i="1"/>
  <c r="R443" i="1"/>
  <c r="V442" i="1"/>
  <c r="R442" i="1"/>
  <c r="V441" i="1"/>
  <c r="R441" i="1"/>
  <c r="V440" i="1"/>
  <c r="R440" i="1"/>
  <c r="V439" i="1"/>
  <c r="R439" i="1"/>
  <c r="V438" i="1"/>
  <c r="R438" i="1"/>
  <c r="V437" i="1"/>
  <c r="R437" i="1"/>
  <c r="V436" i="1"/>
  <c r="R436" i="1"/>
  <c r="V435" i="1"/>
  <c r="R435" i="1"/>
  <c r="V434" i="1"/>
  <c r="R434" i="1"/>
  <c r="V433" i="1"/>
  <c r="R433" i="1"/>
  <c r="V432" i="1"/>
  <c r="R432" i="1"/>
  <c r="V431" i="1"/>
  <c r="R431" i="1"/>
  <c r="V430" i="1"/>
  <c r="R430" i="1"/>
  <c r="V429" i="1"/>
  <c r="R429" i="1"/>
  <c r="V428" i="1"/>
  <c r="R428" i="1"/>
  <c r="V427" i="1"/>
  <c r="R427" i="1"/>
  <c r="V426" i="1"/>
  <c r="R426" i="1"/>
  <c r="V425" i="1"/>
  <c r="R425" i="1"/>
  <c r="V424" i="1"/>
  <c r="R424" i="1"/>
  <c r="V423" i="1"/>
  <c r="R423" i="1"/>
  <c r="V422" i="1"/>
  <c r="R422" i="1"/>
  <c r="V421" i="1"/>
  <c r="R421" i="1"/>
  <c r="V420" i="1"/>
  <c r="R420" i="1"/>
  <c r="V419" i="1"/>
  <c r="R419" i="1"/>
  <c r="V418" i="1"/>
  <c r="R418" i="1"/>
  <c r="V417" i="1"/>
  <c r="R417" i="1"/>
  <c r="V416" i="1"/>
  <c r="R416" i="1"/>
  <c r="V415" i="1"/>
  <c r="R415" i="1"/>
  <c r="V414" i="1"/>
  <c r="R414" i="1"/>
  <c r="V413" i="1"/>
  <c r="R413" i="1"/>
  <c r="V412" i="1"/>
  <c r="R412" i="1"/>
  <c r="V411" i="1"/>
  <c r="R411" i="1"/>
  <c r="V410" i="1"/>
  <c r="R410" i="1"/>
  <c r="V409" i="1"/>
  <c r="R409" i="1"/>
  <c r="V408" i="1"/>
  <c r="R408" i="1"/>
  <c r="V407" i="1"/>
  <c r="R407" i="1"/>
  <c r="V406" i="1"/>
  <c r="R406" i="1"/>
  <c r="V405" i="1"/>
  <c r="R405" i="1"/>
  <c r="V404" i="1"/>
  <c r="R404" i="1"/>
  <c r="V403" i="1"/>
  <c r="R403" i="1"/>
  <c r="V402" i="1"/>
  <c r="R402" i="1"/>
  <c r="V401" i="1"/>
  <c r="R401" i="1"/>
  <c r="V400" i="1"/>
  <c r="R400" i="1"/>
  <c r="V399" i="1"/>
  <c r="R399" i="1"/>
  <c r="V398" i="1"/>
  <c r="R398" i="1"/>
  <c r="V397" i="1"/>
  <c r="R397" i="1"/>
  <c r="V396" i="1"/>
  <c r="R396" i="1"/>
  <c r="V395" i="1"/>
  <c r="R395" i="1"/>
  <c r="V394" i="1"/>
  <c r="R394" i="1"/>
  <c r="V393" i="1"/>
  <c r="R393" i="1"/>
  <c r="V392" i="1"/>
  <c r="R392" i="1"/>
  <c r="V391" i="1"/>
  <c r="R391" i="1"/>
  <c r="V390" i="1"/>
  <c r="R390" i="1"/>
  <c r="V389" i="1"/>
  <c r="R389" i="1"/>
  <c r="V388" i="1"/>
  <c r="R388" i="1"/>
  <c r="V387" i="1"/>
  <c r="R387" i="1"/>
  <c r="V386" i="1"/>
  <c r="R386" i="1"/>
  <c r="V385" i="1"/>
  <c r="R385" i="1"/>
  <c r="V384" i="1"/>
  <c r="R384" i="1"/>
  <c r="V383" i="1"/>
  <c r="R383" i="1"/>
  <c r="V382" i="1"/>
  <c r="R382" i="1"/>
  <c r="V381" i="1"/>
  <c r="R381" i="1"/>
  <c r="V380" i="1"/>
  <c r="R380" i="1"/>
  <c r="V379" i="1"/>
  <c r="R379" i="1"/>
  <c r="V378" i="1"/>
  <c r="R378" i="1"/>
  <c r="V377" i="1"/>
  <c r="R377" i="1"/>
  <c r="V376" i="1"/>
  <c r="R376" i="1"/>
  <c r="V375" i="1"/>
  <c r="R375" i="1"/>
  <c r="V374" i="1"/>
  <c r="R374" i="1"/>
  <c r="V373" i="1"/>
  <c r="R373" i="1"/>
  <c r="V372" i="1"/>
  <c r="R372" i="1"/>
  <c r="V371" i="1"/>
  <c r="R371" i="1"/>
  <c r="V370" i="1"/>
  <c r="R370" i="1"/>
  <c r="V369" i="1"/>
  <c r="R369" i="1"/>
  <c r="V368" i="1"/>
  <c r="R368" i="1"/>
  <c r="V367" i="1"/>
  <c r="R367" i="1"/>
  <c r="V366" i="1"/>
  <c r="R366" i="1"/>
  <c r="V365" i="1"/>
  <c r="R365" i="1"/>
  <c r="V364" i="1"/>
  <c r="R364" i="1"/>
  <c r="V363" i="1"/>
  <c r="R363" i="1"/>
  <c r="V362" i="1"/>
  <c r="R362" i="1"/>
  <c r="V361" i="1"/>
  <c r="R361" i="1"/>
  <c r="V360" i="1"/>
  <c r="R360" i="1"/>
  <c r="V359" i="1"/>
  <c r="R359" i="1"/>
  <c r="V358" i="1"/>
  <c r="R358" i="1"/>
  <c r="V357" i="1"/>
  <c r="R357" i="1"/>
  <c r="V356" i="1"/>
  <c r="R356" i="1"/>
  <c r="V355" i="1"/>
  <c r="R355" i="1"/>
  <c r="V354" i="1"/>
  <c r="R354" i="1"/>
  <c r="V353" i="1"/>
  <c r="R353" i="1"/>
  <c r="V352" i="1"/>
  <c r="R352" i="1"/>
  <c r="V351" i="1"/>
  <c r="R351" i="1"/>
  <c r="V350" i="1"/>
  <c r="R350" i="1"/>
  <c r="V349" i="1"/>
  <c r="R349" i="1"/>
  <c r="V348" i="1"/>
  <c r="R348" i="1"/>
  <c r="V347" i="1"/>
  <c r="R347" i="1"/>
  <c r="V346" i="1"/>
  <c r="R346" i="1"/>
  <c r="V345" i="1"/>
  <c r="R345" i="1"/>
  <c r="V344" i="1"/>
  <c r="R344" i="1"/>
  <c r="V343" i="1"/>
  <c r="R343" i="1"/>
  <c r="V342" i="1"/>
  <c r="R342" i="1"/>
  <c r="V341" i="1"/>
  <c r="R341" i="1"/>
  <c r="V340" i="1"/>
  <c r="R340" i="1"/>
  <c r="V339" i="1"/>
  <c r="R339" i="1"/>
  <c r="V338" i="1"/>
  <c r="R338" i="1"/>
  <c r="V337" i="1"/>
  <c r="R337" i="1"/>
  <c r="V336" i="1"/>
  <c r="R336" i="1"/>
  <c r="V335" i="1"/>
  <c r="R335" i="1"/>
  <c r="V334" i="1"/>
  <c r="R334" i="1"/>
  <c r="V333" i="1"/>
  <c r="R333" i="1"/>
  <c r="V332" i="1"/>
  <c r="R332" i="1"/>
  <c r="V331" i="1"/>
  <c r="R331" i="1"/>
  <c r="V330" i="1"/>
  <c r="R330" i="1"/>
  <c r="V329" i="1"/>
  <c r="R329" i="1"/>
  <c r="V328" i="1"/>
  <c r="R328" i="1"/>
  <c r="V327" i="1"/>
  <c r="R327" i="1"/>
  <c r="V326" i="1"/>
  <c r="R326" i="1"/>
  <c r="V325" i="1"/>
  <c r="R325" i="1"/>
  <c r="V324" i="1"/>
  <c r="R324" i="1"/>
  <c r="V323" i="1"/>
  <c r="R323" i="1"/>
  <c r="V322" i="1"/>
  <c r="R322" i="1"/>
  <c r="V321" i="1"/>
  <c r="R321" i="1"/>
  <c r="V320" i="1"/>
  <c r="R320" i="1"/>
  <c r="V319" i="1"/>
  <c r="R319" i="1"/>
  <c r="V318" i="1"/>
  <c r="R318" i="1"/>
  <c r="V317" i="1"/>
  <c r="R317" i="1"/>
  <c r="V316" i="1"/>
  <c r="R316" i="1"/>
  <c r="V315" i="1"/>
  <c r="R315" i="1"/>
  <c r="V314" i="1"/>
  <c r="R314" i="1"/>
  <c r="V313" i="1"/>
  <c r="R313" i="1"/>
  <c r="V312" i="1"/>
  <c r="R312" i="1"/>
  <c r="V311" i="1"/>
  <c r="R311" i="1"/>
  <c r="V310" i="1"/>
  <c r="R310" i="1"/>
  <c r="V309" i="1"/>
  <c r="R309" i="1"/>
  <c r="V308" i="1"/>
  <c r="R308" i="1"/>
  <c r="V307" i="1"/>
  <c r="R307" i="1"/>
  <c r="V306" i="1"/>
  <c r="R306" i="1"/>
  <c r="V305" i="1"/>
  <c r="R305" i="1"/>
  <c r="V304" i="1"/>
  <c r="R304" i="1"/>
  <c r="V303" i="1"/>
  <c r="R303" i="1"/>
  <c r="V302" i="1"/>
  <c r="R302" i="1"/>
  <c r="V301" i="1"/>
  <c r="R301" i="1"/>
  <c r="V300" i="1"/>
  <c r="R300" i="1"/>
  <c r="V299" i="1"/>
  <c r="R299" i="1"/>
  <c r="V298" i="1"/>
  <c r="R298" i="1"/>
  <c r="V297" i="1"/>
  <c r="R297" i="1"/>
  <c r="V296" i="1"/>
  <c r="R296" i="1"/>
  <c r="V295" i="1"/>
  <c r="R295" i="1"/>
  <c r="V294" i="1"/>
  <c r="R294" i="1"/>
  <c r="V293" i="1"/>
  <c r="R293" i="1"/>
  <c r="V292" i="1"/>
  <c r="R292" i="1"/>
  <c r="V291" i="1"/>
  <c r="R291" i="1"/>
  <c r="V290" i="1"/>
  <c r="R290" i="1"/>
  <c r="V289" i="1"/>
  <c r="R289" i="1"/>
  <c r="V288" i="1"/>
  <c r="R288" i="1"/>
  <c r="V287" i="1"/>
  <c r="R287" i="1"/>
  <c r="V286" i="1"/>
  <c r="R286" i="1"/>
  <c r="V285" i="1"/>
  <c r="R285" i="1"/>
  <c r="V284" i="1"/>
  <c r="R284" i="1"/>
  <c r="V283" i="1"/>
  <c r="R283" i="1"/>
  <c r="V282" i="1"/>
  <c r="R282" i="1"/>
  <c r="V281" i="1"/>
  <c r="R281" i="1"/>
  <c r="V280" i="1"/>
  <c r="R280" i="1"/>
  <c r="V279" i="1"/>
  <c r="R279" i="1"/>
  <c r="V278" i="1"/>
  <c r="R278" i="1"/>
  <c r="V277" i="1"/>
  <c r="R277" i="1"/>
  <c r="V276" i="1"/>
  <c r="R276" i="1"/>
  <c r="V275" i="1"/>
  <c r="R275" i="1"/>
  <c r="V274" i="1"/>
  <c r="R274" i="1"/>
  <c r="V273" i="1"/>
  <c r="R273" i="1"/>
  <c r="V272" i="1"/>
  <c r="R272" i="1"/>
  <c r="V271" i="1"/>
  <c r="R271" i="1"/>
  <c r="V270" i="1"/>
  <c r="R270" i="1"/>
  <c r="V269" i="1"/>
  <c r="R269" i="1"/>
  <c r="V268" i="1"/>
  <c r="R268" i="1"/>
  <c r="V267" i="1"/>
  <c r="R267" i="1"/>
  <c r="V266" i="1"/>
  <c r="R266" i="1"/>
  <c r="V265" i="1"/>
  <c r="R265" i="1"/>
  <c r="V264" i="1"/>
  <c r="R264" i="1"/>
  <c r="V263" i="1"/>
  <c r="R263" i="1"/>
  <c r="V262" i="1"/>
  <c r="R262" i="1"/>
  <c r="V261" i="1"/>
  <c r="R261" i="1"/>
  <c r="V260" i="1"/>
  <c r="R260" i="1"/>
  <c r="V259" i="1"/>
  <c r="R259" i="1"/>
  <c r="V258" i="1"/>
  <c r="R258" i="1"/>
  <c r="V257" i="1"/>
  <c r="R257" i="1"/>
  <c r="V256" i="1"/>
  <c r="R256" i="1"/>
  <c r="V255" i="1"/>
  <c r="R255" i="1"/>
  <c r="V254" i="1"/>
  <c r="R254" i="1"/>
  <c r="V253" i="1"/>
  <c r="R253" i="1"/>
  <c r="V252" i="1"/>
  <c r="R252" i="1"/>
  <c r="V251" i="1"/>
  <c r="R251" i="1"/>
  <c r="V250" i="1"/>
  <c r="R250" i="1"/>
  <c r="V249" i="1"/>
  <c r="R249" i="1"/>
  <c r="V248" i="1"/>
  <c r="R248" i="1"/>
  <c r="V247" i="1"/>
  <c r="R247" i="1"/>
  <c r="V246" i="1"/>
  <c r="R246" i="1"/>
  <c r="V245" i="1"/>
  <c r="R245" i="1"/>
  <c r="V244" i="1"/>
  <c r="R244" i="1"/>
  <c r="V243" i="1"/>
  <c r="R243" i="1"/>
  <c r="V242" i="1"/>
  <c r="R242" i="1"/>
  <c r="V241" i="1"/>
  <c r="R241" i="1"/>
  <c r="V240" i="1"/>
  <c r="R240" i="1"/>
  <c r="V239" i="1"/>
  <c r="R239" i="1"/>
  <c r="V238" i="1"/>
  <c r="R238" i="1"/>
  <c r="V237" i="1"/>
  <c r="R237" i="1"/>
  <c r="V236" i="1"/>
  <c r="R236" i="1"/>
  <c r="V235" i="1"/>
  <c r="R235" i="1"/>
  <c r="V234" i="1"/>
  <c r="R234" i="1"/>
  <c r="V233" i="1"/>
  <c r="R233" i="1"/>
  <c r="V232" i="1"/>
  <c r="R232" i="1"/>
  <c r="V231" i="1"/>
  <c r="R231" i="1"/>
  <c r="V230" i="1"/>
  <c r="R230" i="1"/>
  <c r="V229" i="1"/>
  <c r="R229" i="1"/>
  <c r="V228" i="1"/>
  <c r="R228" i="1"/>
  <c r="V227" i="1"/>
  <c r="R227" i="1"/>
  <c r="V226" i="1"/>
  <c r="R226" i="1"/>
  <c r="V225" i="1"/>
  <c r="R225" i="1"/>
  <c r="V224" i="1"/>
  <c r="R224" i="1"/>
  <c r="V223" i="1"/>
  <c r="R223" i="1"/>
  <c r="V222" i="1"/>
  <c r="R222" i="1"/>
  <c r="V221" i="1"/>
  <c r="R221" i="1"/>
  <c r="V220" i="1"/>
  <c r="R220" i="1"/>
  <c r="V219" i="1"/>
  <c r="R219" i="1"/>
  <c r="V218" i="1"/>
  <c r="R218" i="1"/>
  <c r="V217" i="1"/>
  <c r="R217" i="1"/>
  <c r="V216" i="1"/>
  <c r="R216" i="1"/>
  <c r="V215" i="1"/>
  <c r="R215" i="1"/>
  <c r="V214" i="1"/>
  <c r="R214" i="1"/>
  <c r="V213" i="1"/>
  <c r="R213" i="1"/>
  <c r="V212" i="1"/>
  <c r="R212" i="1"/>
  <c r="V211" i="1"/>
  <c r="R211" i="1"/>
  <c r="V210" i="1"/>
  <c r="R210" i="1"/>
  <c r="V209" i="1"/>
  <c r="R209" i="1"/>
  <c r="V208" i="1"/>
  <c r="R208" i="1"/>
  <c r="V207" i="1"/>
  <c r="R207" i="1"/>
  <c r="V206" i="1"/>
  <c r="R206" i="1"/>
  <c r="V205" i="1"/>
  <c r="R205" i="1"/>
  <c r="V204" i="1"/>
  <c r="R204" i="1"/>
  <c r="V203" i="1"/>
  <c r="R203" i="1"/>
  <c r="V202" i="1"/>
  <c r="R202" i="1"/>
  <c r="V201" i="1"/>
  <c r="R201" i="1"/>
  <c r="V200" i="1"/>
  <c r="R200" i="1"/>
  <c r="V199" i="1"/>
  <c r="R199" i="1"/>
  <c r="V198" i="1"/>
  <c r="R198" i="1"/>
  <c r="V197" i="1"/>
  <c r="R197" i="1"/>
  <c r="V196" i="1"/>
  <c r="R196" i="1"/>
  <c r="V195" i="1"/>
  <c r="R195" i="1"/>
  <c r="V194" i="1"/>
  <c r="R194" i="1"/>
  <c r="V193" i="1"/>
  <c r="R193" i="1"/>
  <c r="V192" i="1"/>
  <c r="R192" i="1"/>
  <c r="V191" i="1"/>
  <c r="R191" i="1"/>
  <c r="V190" i="1"/>
  <c r="R190" i="1"/>
  <c r="V189" i="1"/>
  <c r="R189" i="1"/>
  <c r="V188" i="1"/>
  <c r="R188" i="1"/>
  <c r="V187" i="1"/>
  <c r="R187" i="1"/>
  <c r="V186" i="1"/>
  <c r="R186" i="1"/>
  <c r="V185" i="1"/>
  <c r="R185" i="1"/>
  <c r="V184" i="1"/>
  <c r="R184" i="1"/>
  <c r="V183" i="1"/>
  <c r="R183" i="1"/>
  <c r="V182" i="1"/>
  <c r="R182" i="1"/>
  <c r="V181" i="1"/>
  <c r="R181" i="1"/>
  <c r="V180" i="1"/>
  <c r="R180" i="1"/>
  <c r="V179" i="1"/>
  <c r="R179" i="1"/>
  <c r="V178" i="1"/>
  <c r="R178" i="1"/>
  <c r="V177" i="1"/>
  <c r="R177" i="1"/>
  <c r="V176" i="1"/>
  <c r="R176" i="1"/>
  <c r="V175" i="1"/>
  <c r="R175" i="1"/>
  <c r="V174" i="1"/>
  <c r="R174" i="1"/>
  <c r="V173" i="1"/>
  <c r="R173" i="1"/>
  <c r="V172" i="1"/>
  <c r="R172" i="1"/>
  <c r="V171" i="1"/>
  <c r="R171" i="1"/>
  <c r="V170" i="1"/>
  <c r="R170" i="1"/>
  <c r="V169" i="1"/>
  <c r="R169" i="1"/>
  <c r="V168" i="1"/>
  <c r="R168" i="1"/>
  <c r="V167" i="1"/>
  <c r="R167" i="1"/>
  <c r="V166" i="1"/>
  <c r="R166" i="1"/>
  <c r="V165" i="1"/>
  <c r="R165" i="1"/>
  <c r="V164" i="1"/>
  <c r="R164" i="1"/>
  <c r="V163" i="1"/>
  <c r="R163" i="1"/>
  <c r="V162" i="1"/>
  <c r="R162" i="1"/>
  <c r="V161" i="1"/>
  <c r="R161" i="1"/>
  <c r="V160" i="1"/>
  <c r="R160" i="1"/>
  <c r="V159" i="1"/>
  <c r="R159" i="1"/>
  <c r="V158" i="1"/>
  <c r="R158" i="1"/>
  <c r="V157" i="1"/>
  <c r="R157" i="1"/>
  <c r="V156" i="1"/>
  <c r="R156" i="1"/>
  <c r="V155" i="1"/>
  <c r="R155" i="1"/>
  <c r="V154" i="1"/>
  <c r="R154" i="1"/>
  <c r="V153" i="1"/>
  <c r="R153" i="1"/>
  <c r="V152" i="1"/>
  <c r="R152" i="1"/>
  <c r="V151" i="1"/>
  <c r="R151" i="1"/>
  <c r="V150" i="1"/>
  <c r="R150" i="1"/>
  <c r="V149" i="1"/>
  <c r="R149" i="1"/>
  <c r="V148" i="1"/>
  <c r="R148" i="1"/>
  <c r="V147" i="1"/>
  <c r="R147" i="1"/>
  <c r="V146" i="1"/>
  <c r="R146" i="1"/>
  <c r="V145" i="1"/>
  <c r="R145" i="1"/>
  <c r="V144" i="1"/>
  <c r="R144" i="1"/>
  <c r="V143" i="1"/>
  <c r="R143" i="1"/>
  <c r="V142" i="1"/>
  <c r="R142" i="1"/>
  <c r="V141" i="1"/>
  <c r="R141" i="1"/>
  <c r="V140" i="1"/>
  <c r="R140" i="1"/>
  <c r="V139" i="1"/>
  <c r="R139" i="1"/>
  <c r="V138" i="1"/>
  <c r="R138" i="1"/>
  <c r="V137" i="1"/>
  <c r="R137" i="1"/>
  <c r="V136" i="1"/>
  <c r="R136" i="1"/>
  <c r="V135" i="1"/>
  <c r="R135" i="1"/>
  <c r="V134" i="1"/>
  <c r="R134" i="1"/>
  <c r="V133" i="1"/>
  <c r="R133" i="1"/>
  <c r="V132" i="1"/>
  <c r="R132" i="1"/>
  <c r="V131" i="1"/>
  <c r="R131" i="1"/>
  <c r="V130" i="1"/>
  <c r="R130" i="1"/>
  <c r="V129" i="1"/>
  <c r="R129" i="1"/>
  <c r="V128" i="1"/>
  <c r="R128" i="1"/>
  <c r="V127" i="1"/>
  <c r="R127" i="1"/>
  <c r="V126" i="1"/>
  <c r="R126" i="1"/>
  <c r="V125" i="1"/>
  <c r="R125" i="1"/>
  <c r="V124" i="1"/>
  <c r="R124" i="1"/>
  <c r="V123" i="1"/>
  <c r="R123" i="1"/>
  <c r="V122" i="1"/>
  <c r="R122" i="1"/>
  <c r="V121" i="1"/>
  <c r="R121" i="1"/>
  <c r="V120" i="1"/>
  <c r="R120" i="1"/>
  <c r="V119" i="1"/>
  <c r="R119" i="1"/>
  <c r="V118" i="1"/>
  <c r="R118" i="1"/>
  <c r="V117" i="1"/>
  <c r="R117" i="1"/>
  <c r="V116" i="1"/>
  <c r="R116" i="1"/>
  <c r="V115" i="1"/>
  <c r="R115" i="1"/>
  <c r="V114" i="1"/>
  <c r="R114" i="1"/>
  <c r="V113" i="1"/>
  <c r="R113" i="1"/>
  <c r="V112" i="1"/>
  <c r="R112" i="1"/>
  <c r="V111" i="1"/>
  <c r="R111" i="1"/>
  <c r="V110" i="1"/>
  <c r="R110" i="1"/>
  <c r="V109" i="1"/>
  <c r="R109" i="1"/>
  <c r="V108" i="1"/>
  <c r="R108" i="1"/>
  <c r="V107" i="1"/>
  <c r="R107" i="1"/>
  <c r="V106" i="1"/>
  <c r="R106" i="1"/>
  <c r="V105" i="1"/>
  <c r="R105" i="1"/>
  <c r="V104" i="1"/>
  <c r="R104" i="1"/>
  <c r="V103" i="1"/>
  <c r="R103" i="1"/>
  <c r="V102" i="1"/>
  <c r="R102" i="1"/>
  <c r="V101" i="1"/>
  <c r="R101" i="1"/>
  <c r="V100" i="1"/>
  <c r="R100" i="1"/>
  <c r="V99" i="1"/>
  <c r="R99" i="1"/>
  <c r="V98" i="1"/>
  <c r="R98" i="1"/>
  <c r="V97" i="1"/>
  <c r="R97" i="1"/>
  <c r="V96" i="1"/>
  <c r="R96" i="1"/>
  <c r="V95" i="1"/>
  <c r="R95" i="1"/>
  <c r="V94" i="1"/>
  <c r="R94" i="1"/>
  <c r="V93" i="1"/>
  <c r="R93" i="1"/>
  <c r="V92" i="1"/>
  <c r="R92" i="1"/>
  <c r="V91" i="1"/>
  <c r="R91" i="1"/>
  <c r="V90" i="1"/>
  <c r="R90" i="1"/>
  <c r="V89" i="1"/>
  <c r="R89" i="1"/>
  <c r="V88" i="1"/>
  <c r="R88" i="1"/>
  <c r="V87" i="1"/>
  <c r="R87" i="1"/>
  <c r="V86" i="1"/>
  <c r="R86" i="1"/>
  <c r="V85" i="1"/>
  <c r="R85" i="1"/>
  <c r="V84" i="1"/>
  <c r="R84" i="1"/>
  <c r="V83" i="1"/>
  <c r="R83" i="1"/>
  <c r="V82" i="1"/>
  <c r="R82" i="1"/>
  <c r="V81" i="1"/>
  <c r="R81" i="1"/>
  <c r="V80" i="1"/>
  <c r="R80" i="1"/>
  <c r="V79" i="1"/>
  <c r="R79" i="1"/>
  <c r="V78" i="1"/>
  <c r="R78" i="1"/>
  <c r="V77" i="1"/>
  <c r="R77" i="1"/>
  <c r="V76" i="1"/>
  <c r="R76" i="1"/>
  <c r="V75" i="1"/>
  <c r="R75" i="1"/>
  <c r="V74" i="1"/>
  <c r="R74" i="1"/>
  <c r="V73" i="1"/>
  <c r="R73" i="1"/>
  <c r="V72" i="1"/>
  <c r="R72" i="1"/>
  <c r="V71" i="1"/>
  <c r="R71" i="1"/>
  <c r="V70" i="1"/>
  <c r="R70" i="1"/>
  <c r="V69" i="1"/>
  <c r="R69" i="1"/>
  <c r="V68" i="1"/>
  <c r="R68" i="1"/>
  <c r="V67" i="1"/>
  <c r="R67" i="1"/>
  <c r="V66" i="1"/>
  <c r="R66" i="1"/>
  <c r="V65" i="1"/>
  <c r="R65" i="1"/>
  <c r="V64" i="1"/>
  <c r="R64" i="1"/>
  <c r="V63" i="1"/>
  <c r="R63" i="1"/>
  <c r="V62" i="1"/>
  <c r="R62" i="1"/>
  <c r="V61" i="1"/>
  <c r="R61" i="1"/>
  <c r="V60" i="1"/>
  <c r="R60" i="1"/>
  <c r="V59" i="1"/>
  <c r="R59" i="1"/>
  <c r="V58" i="1"/>
  <c r="R58" i="1"/>
  <c r="V57" i="1"/>
  <c r="R57" i="1"/>
  <c r="V56" i="1"/>
  <c r="R56" i="1"/>
  <c r="V55" i="1"/>
  <c r="R55" i="1"/>
  <c r="V54" i="1"/>
  <c r="R54" i="1"/>
  <c r="V53" i="1"/>
  <c r="R53" i="1"/>
  <c r="V52" i="1"/>
  <c r="R52" i="1"/>
  <c r="V51" i="1"/>
  <c r="R51" i="1"/>
  <c r="V50" i="1"/>
  <c r="R50" i="1"/>
  <c r="V49" i="1"/>
  <c r="R49" i="1"/>
  <c r="V48" i="1"/>
  <c r="R48" i="1"/>
  <c r="V47" i="1"/>
  <c r="R47" i="1"/>
  <c r="V46" i="1"/>
  <c r="R46" i="1"/>
  <c r="V45" i="1"/>
  <c r="R45" i="1"/>
  <c r="V44" i="1"/>
  <c r="R44" i="1"/>
  <c r="V43" i="1"/>
  <c r="R43" i="1"/>
  <c r="V42" i="1"/>
  <c r="R42" i="1"/>
  <c r="V41" i="1"/>
  <c r="R41" i="1"/>
  <c r="V40" i="1"/>
  <c r="R40" i="1"/>
  <c r="V39" i="1"/>
  <c r="R39" i="1"/>
  <c r="V38" i="1"/>
  <c r="R38" i="1"/>
  <c r="V37" i="1"/>
  <c r="R37" i="1"/>
  <c r="V36" i="1"/>
  <c r="R36" i="1"/>
  <c r="V35" i="1"/>
  <c r="R35" i="1"/>
  <c r="V34" i="1"/>
  <c r="R34" i="1"/>
  <c r="V33" i="1"/>
  <c r="R33" i="1"/>
  <c r="V32" i="1"/>
  <c r="R32" i="1"/>
  <c r="V31" i="1"/>
  <c r="R31" i="1"/>
  <c r="V30" i="1"/>
  <c r="R30" i="1"/>
  <c r="V29" i="1"/>
  <c r="R29" i="1"/>
  <c r="V28" i="1"/>
  <c r="R28" i="1"/>
  <c r="V27" i="1"/>
  <c r="R27" i="1"/>
  <c r="V26" i="1"/>
  <c r="R26" i="1"/>
  <c r="V25" i="1"/>
  <c r="R25" i="1"/>
  <c r="V24" i="1"/>
  <c r="R24" i="1"/>
  <c r="V23" i="1"/>
  <c r="R23" i="1"/>
  <c r="V22" i="1"/>
  <c r="R22" i="1"/>
  <c r="V21" i="1"/>
  <c r="R21" i="1"/>
  <c r="V20" i="1"/>
  <c r="R20" i="1"/>
  <c r="V19" i="1"/>
  <c r="R19" i="1"/>
  <c r="V18" i="1"/>
  <c r="R18" i="1"/>
  <c r="V17" i="1"/>
  <c r="R17" i="1"/>
  <c r="V16" i="1"/>
  <c r="R16" i="1"/>
  <c r="V15" i="1"/>
  <c r="R15" i="1"/>
  <c r="V14" i="1"/>
  <c r="R14" i="1"/>
  <c r="V13" i="1"/>
  <c r="R13" i="1"/>
  <c r="V12" i="1"/>
  <c r="R12" i="1"/>
  <c r="V11" i="1"/>
  <c r="R11" i="1"/>
  <c r="V10" i="1"/>
  <c r="R10" i="1"/>
  <c r="V9" i="1"/>
  <c r="R9" i="1"/>
  <c r="V8" i="1"/>
  <c r="R8" i="1"/>
  <c r="V7" i="1"/>
  <c r="R7" i="1"/>
  <c r="V6" i="1"/>
  <c r="R6" i="1"/>
  <c r="V5" i="1"/>
  <c r="R5" i="1"/>
  <c r="V4" i="1"/>
  <c r="R4" i="1"/>
  <c r="V3" i="1"/>
  <c r="R3" i="1"/>
  <c r="V2" i="1"/>
  <c r="R2" i="1"/>
</calcChain>
</file>

<file path=xl/sharedStrings.xml><?xml version="1.0" encoding="utf-8"?>
<sst xmlns="http://schemas.openxmlformats.org/spreadsheetml/2006/main" count="6164" uniqueCount="839">
  <si>
    <t>Order_ID</t>
  </si>
  <si>
    <t>Order_Date</t>
  </si>
  <si>
    <t>Ship_Date</t>
  </si>
  <si>
    <t>Customer_ID</t>
  </si>
  <si>
    <t>Customer_Segment</t>
  </si>
  <si>
    <t>Country</t>
  </si>
  <si>
    <t>Region</t>
  </si>
  <si>
    <t>City</t>
  </si>
  <si>
    <t>Product_Category</t>
  </si>
  <si>
    <t>Product_Subcategory</t>
  </si>
  <si>
    <t>Product_Name</t>
  </si>
  <si>
    <t>Channel</t>
  </si>
  <si>
    <t>Payment_Method</t>
  </si>
  <si>
    <t>Quantity</t>
  </si>
  <si>
    <t>Unit_Price</t>
  </si>
  <si>
    <t>Discount</t>
  </si>
  <si>
    <t>Shipping_Cost</t>
  </si>
  <si>
    <t>Sales</t>
  </si>
  <si>
    <t>Profit</t>
  </si>
  <si>
    <t>Returned</t>
  </si>
  <si>
    <t>Rating</t>
  </si>
  <si>
    <t>Delivery_Days</t>
  </si>
  <si>
    <t>ORD-202500001</t>
  </si>
  <si>
    <t>CUST-1006</t>
  </si>
  <si>
    <t>Small Business</t>
  </si>
  <si>
    <t>Philippines</t>
  </si>
  <si>
    <t>South</t>
  </si>
  <si>
    <t>Davao City</t>
  </si>
  <si>
    <t>Electronics</t>
  </si>
  <si>
    <t>Laptop</t>
  </si>
  <si>
    <t>Marketplace</t>
  </si>
  <si>
    <t>Cash on Delivery</t>
  </si>
  <si>
    <t>No</t>
  </si>
  <si>
    <t>ORD-202500002</t>
  </si>
  <si>
    <t>CUST-1139</t>
  </si>
  <si>
    <t>Consumer</t>
  </si>
  <si>
    <t>West</t>
  </si>
  <si>
    <t>Pasay</t>
  </si>
  <si>
    <t>Office Supplies</t>
  </si>
  <si>
    <t>Printer Paper</t>
  </si>
  <si>
    <t>Debit Card</t>
  </si>
  <si>
    <t>ORD-202500003</t>
  </si>
  <si>
    <t>CUST-1024</t>
  </si>
  <si>
    <t>East</t>
  </si>
  <si>
    <t>Pasig</t>
  </si>
  <si>
    <t>Stapler</t>
  </si>
  <si>
    <t>Mobile App</t>
  </si>
  <si>
    <t>Bank Transfer</t>
  </si>
  <si>
    <t>ORD-202500004</t>
  </si>
  <si>
    <t>CUST-1197</t>
  </si>
  <si>
    <t>North</t>
  </si>
  <si>
    <t>Quezon City</t>
  </si>
  <si>
    <t>Home &amp; Lifestyle</t>
  </si>
  <si>
    <t>Storage Bin</t>
  </si>
  <si>
    <t>Website</t>
  </si>
  <si>
    <t>E-Wallet</t>
  </si>
  <si>
    <t>ORD-202500005</t>
  </si>
  <si>
    <t>CUST-1162</t>
  </si>
  <si>
    <t>Furniture</t>
  </si>
  <si>
    <t>Bookshelf</t>
  </si>
  <si>
    <t>Social Commerce</t>
  </si>
  <si>
    <t>ORD-202500006</t>
  </si>
  <si>
    <t>CUST-1145</t>
  </si>
  <si>
    <t>Marikina</t>
  </si>
  <si>
    <t>Retail Store</t>
  </si>
  <si>
    <t>ORD-202500007</t>
  </si>
  <si>
    <t>CUST-1102</t>
  </si>
  <si>
    <t>Cagayan de Oro</t>
  </si>
  <si>
    <t>ORD-202500008</t>
  </si>
  <si>
    <t>CUST-1002</t>
  </si>
  <si>
    <t>Corporate</t>
  </si>
  <si>
    <t>Baguio</t>
  </si>
  <si>
    <t>Pen Set</t>
  </si>
  <si>
    <t>ORD-202500009</t>
  </si>
  <si>
    <t>CUST-1027</t>
  </si>
  <si>
    <t>Monitor</t>
  </si>
  <si>
    <t>ORD-202500010</t>
  </si>
  <si>
    <t>CUST-1061</t>
  </si>
  <si>
    <t>Manila</t>
  </si>
  <si>
    <t>ORD-202500011</t>
  </si>
  <si>
    <t>CUST-1054</t>
  </si>
  <si>
    <t>Home Office</t>
  </si>
  <si>
    <t>Iloilo City</t>
  </si>
  <si>
    <t>ORD-202500012</t>
  </si>
  <si>
    <t>CUST-1015</t>
  </si>
  <si>
    <t>ORD-202500013</t>
  </si>
  <si>
    <t>CUST-1104</t>
  </si>
  <si>
    <t>Laoag</t>
  </si>
  <si>
    <t>Filing Cabinet</t>
  </si>
  <si>
    <t>Credit Card</t>
  </si>
  <si>
    <t>ORD-202500014</t>
  </si>
  <si>
    <t>CUST-1114</t>
  </si>
  <si>
    <t>Office Chair</t>
  </si>
  <si>
    <t>ORD-202500015</t>
  </si>
  <si>
    <t>Coffee Maker</t>
  </si>
  <si>
    <t>ORD-202500016</t>
  </si>
  <si>
    <t>CUST-1048</t>
  </si>
  <si>
    <t>ORD-202500017</t>
  </si>
  <si>
    <t>CUST-1152</t>
  </si>
  <si>
    <t>Headphones</t>
  </si>
  <si>
    <t>ORD-202500018</t>
  </si>
  <si>
    <t>CUST-1067</t>
  </si>
  <si>
    <t>Taguig</t>
  </si>
  <si>
    <t>ORD-202500019</t>
  </si>
  <si>
    <t>CUST-1062</t>
  </si>
  <si>
    <t>Desk Lamp</t>
  </si>
  <si>
    <t>ORD-202500020</t>
  </si>
  <si>
    <t>CUST-1141</t>
  </si>
  <si>
    <t>Notebook</t>
  </si>
  <si>
    <t>ORD-202500021</t>
  </si>
  <si>
    <t>CUST-1000</t>
  </si>
  <si>
    <t>Wireless Mouse</t>
  </si>
  <si>
    <t>ORD-202500022</t>
  </si>
  <si>
    <t>CUST-1110</t>
  </si>
  <si>
    <t>Air Purifier</t>
  </si>
  <si>
    <t>ORD-202500023</t>
  </si>
  <si>
    <t>CUST-1039</t>
  </si>
  <si>
    <t>ORD-202500024</t>
  </si>
  <si>
    <t>CUST-1179</t>
  </si>
  <si>
    <t>Yes</t>
  </si>
  <si>
    <t>ORD-202500025</t>
  </si>
  <si>
    <t>CUST-1164</t>
  </si>
  <si>
    <t>Antipolo</t>
  </si>
  <si>
    <t>Keyboard</t>
  </si>
  <si>
    <t>ORD-202500026</t>
  </si>
  <si>
    <t>CUST-1065</t>
  </si>
  <si>
    <t>Makati</t>
  </si>
  <si>
    <t>Standing Desk</t>
  </si>
  <si>
    <t>ORD-202500027</t>
  </si>
  <si>
    <t>CUST-1079</t>
  </si>
  <si>
    <t>Desk Organizer</t>
  </si>
  <si>
    <t>ORD-202500028</t>
  </si>
  <si>
    <t>CUST-1053</t>
  </si>
  <si>
    <t>ORD-202500029</t>
  </si>
  <si>
    <t>ORD-202500030</t>
  </si>
  <si>
    <t>CUST-1167</t>
  </si>
  <si>
    <t>ORD-202500031</t>
  </si>
  <si>
    <t>CUST-1081</t>
  </si>
  <si>
    <t>Las Pinas</t>
  </si>
  <si>
    <t>ORD-202500032</t>
  </si>
  <si>
    <t>CUST-1182</t>
  </si>
  <si>
    <t>ORD-202500033</t>
  </si>
  <si>
    <t>CUST-1106</t>
  </si>
  <si>
    <t>ORD-202500034</t>
  </si>
  <si>
    <t>CUST-1154</t>
  </si>
  <si>
    <t>Paranaque</t>
  </si>
  <si>
    <t>ORD-202500035</t>
  </si>
  <si>
    <t>ORD-202500036</t>
  </si>
  <si>
    <t>CUST-1020</t>
  </si>
  <si>
    <t>ORD-202500037</t>
  </si>
  <si>
    <t>CUST-1171</t>
  </si>
  <si>
    <t>ORD-202500038</t>
  </si>
  <si>
    <t>CUST-1096</t>
  </si>
  <si>
    <t>Cebu City</t>
  </si>
  <si>
    <t>ORD-202500039</t>
  </si>
  <si>
    <t>CUST-1109</t>
  </si>
  <si>
    <t>ORD-202500040</t>
  </si>
  <si>
    <t>CUST-1157</t>
  </si>
  <si>
    <t>ORD-202500041</t>
  </si>
  <si>
    <t>CUST-1097</t>
  </si>
  <si>
    <t>ORD-202500042</t>
  </si>
  <si>
    <t>CUST-1142</t>
  </si>
  <si>
    <t>ORD-202500043</t>
  </si>
  <si>
    <t>CUST-1190</t>
  </si>
  <si>
    <t>ORD-202500044</t>
  </si>
  <si>
    <t>CUST-1134</t>
  </si>
  <si>
    <t>ORD-202500045</t>
  </si>
  <si>
    <t>CUST-1192</t>
  </si>
  <si>
    <t>ORD-202500046</t>
  </si>
  <si>
    <t>CUST-1207</t>
  </si>
  <si>
    <t>ORD-202500047</t>
  </si>
  <si>
    <t>CUST-1150</t>
  </si>
  <si>
    <t>ORD-202500048</t>
  </si>
  <si>
    <t>CUST-1120</t>
  </si>
  <si>
    <t>ORD-202500049</t>
  </si>
  <si>
    <t>ORD-202500050</t>
  </si>
  <si>
    <t>CUST-1138</t>
  </si>
  <si>
    <t>ORD-202500051</t>
  </si>
  <si>
    <t>CUST-1068</t>
  </si>
  <si>
    <t>ORD-202500052</t>
  </si>
  <si>
    <t>CUST-1041</t>
  </si>
  <si>
    <t>ORD-202500053</t>
  </si>
  <si>
    <t>ORD-202500054</t>
  </si>
  <si>
    <t>CUST-1161</t>
  </si>
  <si>
    <t>ORD-202500055</t>
  </si>
  <si>
    <t>CUST-1183</t>
  </si>
  <si>
    <t>ORD-202500056</t>
  </si>
  <si>
    <t>CUST-1201</t>
  </si>
  <si>
    <t>ORD-202500057</t>
  </si>
  <si>
    <t>CUST-1082</t>
  </si>
  <si>
    <t>ORD-202500058</t>
  </si>
  <si>
    <t>CUST-1128</t>
  </si>
  <si>
    <t>ORD-202500059</t>
  </si>
  <si>
    <t>CUST-1159</t>
  </si>
  <si>
    <t>ORD-202500060</t>
  </si>
  <si>
    <t>CUST-1194</t>
  </si>
  <si>
    <t>ORD-202500061</t>
  </si>
  <si>
    <t>CUST-1174</t>
  </si>
  <si>
    <t>ORD-202500062</t>
  </si>
  <si>
    <t>CUST-1173</t>
  </si>
  <si>
    <t>ORD-202500063</t>
  </si>
  <si>
    <t>ORD-202500064</t>
  </si>
  <si>
    <t>CUST-1205</t>
  </si>
  <si>
    <t>ORD-202500065</t>
  </si>
  <si>
    <t>CUST-1191</t>
  </si>
  <si>
    <t>ORD-202500066</t>
  </si>
  <si>
    <t>CUST-1019</t>
  </si>
  <si>
    <t>ORD-202500067</t>
  </si>
  <si>
    <t>CUST-1210</t>
  </si>
  <si>
    <t>ORD-202500068</t>
  </si>
  <si>
    <t>CUST-1011</t>
  </si>
  <si>
    <t>ORD-202500069</t>
  </si>
  <si>
    <t>CUST-1186</t>
  </si>
  <si>
    <t>ORD-202500070</t>
  </si>
  <si>
    <t>CUST-1091</t>
  </si>
  <si>
    <t>ORD-202500071</t>
  </si>
  <si>
    <t>CUST-1144</t>
  </si>
  <si>
    <t>ORD-202500072</t>
  </si>
  <si>
    <t>ORD-202500073</t>
  </si>
  <si>
    <t>CUST-1151</t>
  </si>
  <si>
    <t>ORD-202500074</t>
  </si>
  <si>
    <t>CUST-1155</t>
  </si>
  <si>
    <t>ORD-202500075</t>
  </si>
  <si>
    <t>ORD-202500076</t>
  </si>
  <si>
    <t>CUST-1023</t>
  </si>
  <si>
    <t>ORD-202500077</t>
  </si>
  <si>
    <t>CUST-1108</t>
  </si>
  <si>
    <t>ORD-202500078</t>
  </si>
  <si>
    <t>CUST-1206</t>
  </si>
  <si>
    <t>ORD-202500079</t>
  </si>
  <si>
    <t>CUST-1189</t>
  </si>
  <si>
    <t>ORD-202500080</t>
  </si>
  <si>
    <t>CUST-1158</t>
  </si>
  <si>
    <t>ORD-202500081</t>
  </si>
  <si>
    <t>ORD-202500082</t>
  </si>
  <si>
    <t>ORD-202500083</t>
  </si>
  <si>
    <t>CUST-1029</t>
  </si>
  <si>
    <t>ORD-202500084</t>
  </si>
  <si>
    <t>CUST-1085</t>
  </si>
  <si>
    <t>ORD-202500085</t>
  </si>
  <si>
    <t>CUST-1044</t>
  </si>
  <si>
    <t>ORD-202500086</t>
  </si>
  <si>
    <t>CUST-1038</t>
  </si>
  <si>
    <t>ORD-202500087</t>
  </si>
  <si>
    <t>ORD-202500088</t>
  </si>
  <si>
    <t>CUST-1021</t>
  </si>
  <si>
    <t>ORD-202500089</t>
  </si>
  <si>
    <t>CUST-1153</t>
  </si>
  <si>
    <t>ORD-202500090</t>
  </si>
  <si>
    <t>ORD-202500091</t>
  </si>
  <si>
    <t>CUST-1196</t>
  </si>
  <si>
    <t>ORD-202500092</t>
  </si>
  <si>
    <t>ORD-202500093</t>
  </si>
  <si>
    <t>ORD-202500094</t>
  </si>
  <si>
    <t>ORD-202500095</t>
  </si>
  <si>
    <t>CUST-1209</t>
  </si>
  <si>
    <t>ORD-202500096</t>
  </si>
  <si>
    <t>CUST-1009</t>
  </si>
  <si>
    <t>ORD-202500097</t>
  </si>
  <si>
    <t>ORD-202500098</t>
  </si>
  <si>
    <t>ORD-202500099</t>
  </si>
  <si>
    <t>CUST-1005</t>
  </si>
  <si>
    <t>ORD-202500100</t>
  </si>
  <si>
    <t>CUST-1090</t>
  </si>
  <si>
    <t>ORD-202500101</t>
  </si>
  <si>
    <t>CUST-1080</t>
  </si>
  <si>
    <t>ORD-202500102</t>
  </si>
  <si>
    <t>CUST-1047</t>
  </si>
  <si>
    <t>ORD-202500103</t>
  </si>
  <si>
    <t>CUST-1169</t>
  </si>
  <si>
    <t>ORD-202500104</t>
  </si>
  <si>
    <t>CUST-1103</t>
  </si>
  <si>
    <t>ORD-202500105</t>
  </si>
  <si>
    <t>ORD-202500106</t>
  </si>
  <si>
    <t>ORD-202500107</t>
  </si>
  <si>
    <t>ORD-202500108</t>
  </si>
  <si>
    <t>CUST-1035</t>
  </si>
  <si>
    <t>ORD-202500109</t>
  </si>
  <si>
    <t>CUST-1105</t>
  </si>
  <si>
    <t>ORD-202500110</t>
  </si>
  <si>
    <t>CUST-1031</t>
  </si>
  <si>
    <t>ORD-202500111</t>
  </si>
  <si>
    <t>CUST-1077</t>
  </si>
  <si>
    <t>ORD-202500112</t>
  </si>
  <si>
    <t>CUST-1147</t>
  </si>
  <si>
    <t>ORD-202500113</t>
  </si>
  <si>
    <t>CUST-1018</t>
  </si>
  <si>
    <t>ORD-202500114</t>
  </si>
  <si>
    <t>ORD-202500115</t>
  </si>
  <si>
    <t>CUST-1083</t>
  </si>
  <si>
    <t>ORD-202500116</t>
  </si>
  <si>
    <t>CUST-1012</t>
  </si>
  <si>
    <t>ORD-202500117</t>
  </si>
  <si>
    <t>ORD-202500118</t>
  </si>
  <si>
    <t>ORD-202500119</t>
  </si>
  <si>
    <t>ORD-202500120</t>
  </si>
  <si>
    <t>ORD-202500121</t>
  </si>
  <si>
    <t>ORD-202500122</t>
  </si>
  <si>
    <t>ORD-202500123</t>
  </si>
  <si>
    <t>CUST-1156</t>
  </si>
  <si>
    <t>ORD-202500124</t>
  </si>
  <si>
    <t>ORD-202500125</t>
  </si>
  <si>
    <t>CUST-1137</t>
  </si>
  <si>
    <t>ORD-202500126</t>
  </si>
  <si>
    <t>CUST-1140</t>
  </si>
  <si>
    <t>ORD-202500127</t>
  </si>
  <si>
    <t>CUST-1059</t>
  </si>
  <si>
    <t>ORD-202500128</t>
  </si>
  <si>
    <t>ORD-202500129</t>
  </si>
  <si>
    <t>ORD-202500130</t>
  </si>
  <si>
    <t>CUST-1122</t>
  </si>
  <si>
    <t>ORD-202500131</t>
  </si>
  <si>
    <t>ORD-202500132</t>
  </si>
  <si>
    <t>ORD-202500133</t>
  </si>
  <si>
    <t>CUST-1051</t>
  </si>
  <si>
    <t>ORD-202500134</t>
  </si>
  <si>
    <t>CUST-1143</t>
  </si>
  <si>
    <t>ORD-202500135</t>
  </si>
  <si>
    <t>CUST-1008</t>
  </si>
  <si>
    <t>ORD-202500136</t>
  </si>
  <si>
    <t>CUST-1045</t>
  </si>
  <si>
    <t>ORD-202500137</t>
  </si>
  <si>
    <t>CUST-1117</t>
  </si>
  <si>
    <t>ORD-202500138</t>
  </si>
  <si>
    <t>ORD-202500139</t>
  </si>
  <si>
    <t>ORD-202500140</t>
  </si>
  <si>
    <t>CUST-1126</t>
  </si>
  <si>
    <t>ORD-202500141</t>
  </si>
  <si>
    <t>CUST-1181</t>
  </si>
  <si>
    <t>ORD-202500142</t>
  </si>
  <si>
    <t>ORD-202500143</t>
  </si>
  <si>
    <t>ORD-202500144</t>
  </si>
  <si>
    <t>CUST-1025</t>
  </si>
  <si>
    <t>ORD-202500145</t>
  </si>
  <si>
    <t>ORD-202500146</t>
  </si>
  <si>
    <t>CUST-1187</t>
  </si>
  <si>
    <t>ORD-202500147</t>
  </si>
  <si>
    <t>CUST-1195</t>
  </si>
  <si>
    <t>ORD-202500148</t>
  </si>
  <si>
    <t>ORD-202500149</t>
  </si>
  <si>
    <t>CUST-1203</t>
  </si>
  <si>
    <t>ORD-202500150</t>
  </si>
  <si>
    <t>CUST-1121</t>
  </si>
  <si>
    <t>ORD-202500151</t>
  </si>
  <si>
    <t>CUST-1177</t>
  </si>
  <si>
    <t>ORD-202500152</t>
  </si>
  <si>
    <t>CUST-1101</t>
  </si>
  <si>
    <t>ORD-202500153</t>
  </si>
  <si>
    <t>ORD-202500154</t>
  </si>
  <si>
    <t>CUST-1058</t>
  </si>
  <si>
    <t>ORD-202500155</t>
  </si>
  <si>
    <t>CUST-1200</t>
  </si>
  <si>
    <t>ORD-202500156</t>
  </si>
  <si>
    <t>CUST-1022</t>
  </si>
  <si>
    <t>ORD-202500157</t>
  </si>
  <si>
    <t>CUST-1175</t>
  </si>
  <si>
    <t>ORD-202500158</t>
  </si>
  <si>
    <t>CUST-1050</t>
  </si>
  <si>
    <t>ORD-202500159</t>
  </si>
  <si>
    <t>CUST-1034</t>
  </si>
  <si>
    <t>ORD-202500160</t>
  </si>
  <si>
    <t>ORD-202500161</t>
  </si>
  <si>
    <t>CUST-1127</t>
  </si>
  <si>
    <t>ORD-202500162</t>
  </si>
  <si>
    <t>CUST-1202</t>
  </si>
  <si>
    <t>ORD-202500163</t>
  </si>
  <si>
    <t>ORD-202500164</t>
  </si>
  <si>
    <t>ORD-202500165</t>
  </si>
  <si>
    <t>ORD-202500166</t>
  </si>
  <si>
    <t>ORD-202500167</t>
  </si>
  <si>
    <t>ORD-202500168</t>
  </si>
  <si>
    <t>CUST-1099</t>
  </si>
  <si>
    <t>ORD-202500169</t>
  </si>
  <si>
    <t>ORD-202500170</t>
  </si>
  <si>
    <t>ORD-202500171</t>
  </si>
  <si>
    <t>ORD-202500172</t>
  </si>
  <si>
    <t>ORD-202500173</t>
  </si>
  <si>
    <t>CUST-1074</t>
  </si>
  <si>
    <t>ORD-202500174</t>
  </si>
  <si>
    <t>CUST-1125</t>
  </si>
  <si>
    <t>ORD-202500175</t>
  </si>
  <si>
    <t>CUST-1148</t>
  </si>
  <si>
    <t>ORD-202500176</t>
  </si>
  <si>
    <t>CUST-1124</t>
  </si>
  <si>
    <t>ORD-202500177</t>
  </si>
  <si>
    <t>ORD-202500178</t>
  </si>
  <si>
    <t>ORD-202500179</t>
  </si>
  <si>
    <t>CUST-1094</t>
  </si>
  <si>
    <t>ORD-202500180</t>
  </si>
  <si>
    <t>ORD-202500181</t>
  </si>
  <si>
    <t>CUST-1063</t>
  </si>
  <si>
    <t>ORD-202500182</t>
  </si>
  <si>
    <t>ORD-202500183</t>
  </si>
  <si>
    <t>ORD-202500184</t>
  </si>
  <si>
    <t>CUST-1071</t>
  </si>
  <si>
    <t>ORD-202500185</t>
  </si>
  <si>
    <t>ORD-202500186</t>
  </si>
  <si>
    <t>CUST-1132</t>
  </si>
  <si>
    <t>ORD-202500187</t>
  </si>
  <si>
    <t>CUST-1160</t>
  </si>
  <si>
    <t>ORD-202500188</t>
  </si>
  <si>
    <t>ORD-202500189</t>
  </si>
  <si>
    <t>CUST-1030</t>
  </si>
  <si>
    <t>ORD-202500190</t>
  </si>
  <si>
    <t>ORD-202500191</t>
  </si>
  <si>
    <t>ORD-202500192</t>
  </si>
  <si>
    <t>ORD-202500193</t>
  </si>
  <si>
    <t>ORD-202500194</t>
  </si>
  <si>
    <t>ORD-202500195</t>
  </si>
  <si>
    <t>ORD-202500196</t>
  </si>
  <si>
    <t>CUST-1003</t>
  </si>
  <si>
    <t>ORD-202500197</t>
  </si>
  <si>
    <t>ORD-202500198</t>
  </si>
  <si>
    <t>ORD-202500199</t>
  </si>
  <si>
    <t>ORD-202500200</t>
  </si>
  <si>
    <t>ORD-202500201</t>
  </si>
  <si>
    <t>CUST-1204</t>
  </si>
  <si>
    <t>ORD-202500202</t>
  </si>
  <si>
    <t>ORD-202500203</t>
  </si>
  <si>
    <t>ORD-202500204</t>
  </si>
  <si>
    <t>CUST-1163</t>
  </si>
  <si>
    <t>ORD-202500205</t>
  </si>
  <si>
    <t>CUST-1032</t>
  </si>
  <si>
    <t>ORD-202500206</t>
  </si>
  <si>
    <t>ORD-202500207</t>
  </si>
  <si>
    <t>ORD-202500208</t>
  </si>
  <si>
    <t>CUST-1087</t>
  </si>
  <si>
    <t>ORD-202500209</t>
  </si>
  <si>
    <t>ORD-202500210</t>
  </si>
  <si>
    <t>ORD-202500211</t>
  </si>
  <si>
    <t>ORD-202500212</t>
  </si>
  <si>
    <t>ORD-202500213</t>
  </si>
  <si>
    <t>ORD-202500214</t>
  </si>
  <si>
    <t>ORD-202500215</t>
  </si>
  <si>
    <t>ORD-202500216</t>
  </si>
  <si>
    <t>ORD-202500217</t>
  </si>
  <si>
    <t>ORD-202500218</t>
  </si>
  <si>
    <t>CUST-1076</t>
  </si>
  <si>
    <t>ORD-202500219</t>
  </si>
  <si>
    <t>CUST-1014</t>
  </si>
  <si>
    <t>ORD-202500220</t>
  </si>
  <si>
    <t>ORD-202500221</t>
  </si>
  <si>
    <t>ORD-202500222</t>
  </si>
  <si>
    <t>ORD-202500223</t>
  </si>
  <si>
    <t>CUST-1055</t>
  </si>
  <si>
    <t>ORD-202500224</t>
  </si>
  <si>
    <t>ORD-202500225</t>
  </si>
  <si>
    <t>CUST-1107</t>
  </si>
  <si>
    <t>ORD-202500226</t>
  </si>
  <si>
    <t>ORD-202500227</t>
  </si>
  <si>
    <t>CUST-1013</t>
  </si>
  <si>
    <t>ORD-202500228</t>
  </si>
  <si>
    <t>ORD-202500229</t>
  </si>
  <si>
    <t>ORD-202500230</t>
  </si>
  <si>
    <t>ORD-202500231</t>
  </si>
  <si>
    <t>ORD-202500232</t>
  </si>
  <si>
    <t>ORD-202500233</t>
  </si>
  <si>
    <t>CUST-1176</t>
  </si>
  <si>
    <t>ORD-202500234</t>
  </si>
  <si>
    <t>ORD-202500235</t>
  </si>
  <si>
    <t>CUST-1010</t>
  </si>
  <si>
    <t>ORD-202500236</t>
  </si>
  <si>
    <t>ORD-202500237</t>
  </si>
  <si>
    <t>ORD-202500238</t>
  </si>
  <si>
    <t>ORD-202500239</t>
  </si>
  <si>
    <t>CUST-1199</t>
  </si>
  <si>
    <t>ORD-202500240</t>
  </si>
  <si>
    <t>ORD-202500241</t>
  </si>
  <si>
    <t>ORD-202500242</t>
  </si>
  <si>
    <t>ORD-202500243</t>
  </si>
  <si>
    <t>CUST-1130</t>
  </si>
  <si>
    <t>ORD-202500244</t>
  </si>
  <si>
    <t>ORD-202500245</t>
  </si>
  <si>
    <t>CUST-1100</t>
  </si>
  <si>
    <t>ORD-202500246</t>
  </si>
  <si>
    <t>ORD-202500247</t>
  </si>
  <si>
    <t>ORD-202500248</t>
  </si>
  <si>
    <t>ORD-202500249</t>
  </si>
  <si>
    <t>CUST-1146</t>
  </si>
  <si>
    <t>ORD-202500250</t>
  </si>
  <si>
    <t>CUST-1037</t>
  </si>
  <si>
    <t>ORD-202500251</t>
  </si>
  <si>
    <t>CUST-1060</t>
  </si>
  <si>
    <t>ORD-202500252</t>
  </si>
  <si>
    <t>CUST-1180</t>
  </si>
  <si>
    <t>ORD-202500253</t>
  </si>
  <si>
    <t>ORD-202500254</t>
  </si>
  <si>
    <t>ORD-202500255</t>
  </si>
  <si>
    <t>ORD-202500256</t>
  </si>
  <si>
    <t>ORD-202500257</t>
  </si>
  <si>
    <t>ORD-202500258</t>
  </si>
  <si>
    <t>ORD-202500259</t>
  </si>
  <si>
    <t>ORD-202500260</t>
  </si>
  <si>
    <t>ORD-202500261</t>
  </si>
  <si>
    <t>ORD-202500262</t>
  </si>
  <si>
    <t>ORD-202500263</t>
  </si>
  <si>
    <t>CUST-1165</t>
  </si>
  <si>
    <t>ORD-202500264</t>
  </si>
  <si>
    <t>CUST-1084</t>
  </si>
  <si>
    <t>ORD-202500265</t>
  </si>
  <si>
    <t>CUST-1092</t>
  </si>
  <si>
    <t>ORD-202500266</t>
  </si>
  <si>
    <t>ORD-202500267</t>
  </si>
  <si>
    <t>ORD-202500268</t>
  </si>
  <si>
    <t>CUST-1042</t>
  </si>
  <si>
    <t>ORD-202500269</t>
  </si>
  <si>
    <t>ORD-202500270</t>
  </si>
  <si>
    <t>ORD-202500271</t>
  </si>
  <si>
    <t>CUST-1001</t>
  </si>
  <si>
    <t>ORD-202500272</t>
  </si>
  <si>
    <t>CUST-1172</t>
  </si>
  <si>
    <t>ORD-202500273</t>
  </si>
  <si>
    <t>ORD-202500274</t>
  </si>
  <si>
    <t>CUST-1149</t>
  </si>
  <si>
    <t>ORD-202500275</t>
  </si>
  <si>
    <t>ORD-202500276</t>
  </si>
  <si>
    <t>ORD-202500277</t>
  </si>
  <si>
    <t>ORD-202500278</t>
  </si>
  <si>
    <t>ORD-202500279</t>
  </si>
  <si>
    <t>CUST-1052</t>
  </si>
  <si>
    <t>ORD-202500280</t>
  </si>
  <si>
    <t>ORD-202500281</t>
  </si>
  <si>
    <t>ORD-202500282</t>
  </si>
  <si>
    <t>ORD-202500283</t>
  </si>
  <si>
    <t>ORD-202500284</t>
  </si>
  <si>
    <t>CUST-1049</t>
  </si>
  <si>
    <t>ORD-202500285</t>
  </si>
  <si>
    <t>ORD-202500286</t>
  </si>
  <si>
    <t>ORD-202500287</t>
  </si>
  <si>
    <t>ORD-202500288</t>
  </si>
  <si>
    <t>ORD-202500289</t>
  </si>
  <si>
    <t>CUST-1046</t>
  </si>
  <si>
    <t>ORD-202500290</t>
  </si>
  <si>
    <t>ORD-202500291</t>
  </si>
  <si>
    <t>CUST-1093</t>
  </si>
  <si>
    <t>ORD-202500292</t>
  </si>
  <si>
    <t>ORD-202500293</t>
  </si>
  <si>
    <t>ORD-202500294</t>
  </si>
  <si>
    <t>ORD-202500295</t>
  </si>
  <si>
    <t>CUST-1073</t>
  </si>
  <si>
    <t>ORD-202500296</t>
  </si>
  <si>
    <t>ORD-202500297</t>
  </si>
  <si>
    <t>ORD-202500298</t>
  </si>
  <si>
    <t>ORD-202500299</t>
  </si>
  <si>
    <t>ORD-202500300</t>
  </si>
  <si>
    <t>ORD-202500301</t>
  </si>
  <si>
    <t>ORD-202500302</t>
  </si>
  <si>
    <t>ORD-202500303</t>
  </si>
  <si>
    <t>ORD-202500304</t>
  </si>
  <si>
    <t>CUST-1178</t>
  </si>
  <si>
    <t>ORD-202500305</t>
  </si>
  <si>
    <t>ORD-202500306</t>
  </si>
  <si>
    <t>ORD-202500307</t>
  </si>
  <si>
    <t>CUST-1070</t>
  </si>
  <si>
    <t>ORD-202500308</t>
  </si>
  <si>
    <t>ORD-202500309</t>
  </si>
  <si>
    <t>ORD-202500310</t>
  </si>
  <si>
    <t>CUST-1017</t>
  </si>
  <si>
    <t>ORD-202500311</t>
  </si>
  <si>
    <t>ORD-202500312</t>
  </si>
  <si>
    <t>ORD-202500313</t>
  </si>
  <si>
    <t>ORD-202500314</t>
  </si>
  <si>
    <t>ORD-202500315</t>
  </si>
  <si>
    <t>ORD-202500316</t>
  </si>
  <si>
    <t>ORD-202500317</t>
  </si>
  <si>
    <t>ORD-202500318</t>
  </si>
  <si>
    <t>ORD-202500319</t>
  </si>
  <si>
    <t>ORD-202500320</t>
  </si>
  <si>
    <t>CUST-1111</t>
  </si>
  <si>
    <t>ORD-202500321</t>
  </si>
  <si>
    <t>ORD-202500322</t>
  </si>
  <si>
    <t>ORD-202500323</t>
  </si>
  <si>
    <t>ORD-202500324</t>
  </si>
  <si>
    <t>ORD-202500325</t>
  </si>
  <si>
    <t>ORD-202500326</t>
  </si>
  <si>
    <t>ORD-202500327</t>
  </si>
  <si>
    <t>CUST-1168</t>
  </si>
  <si>
    <t>ORD-202500328</t>
  </si>
  <si>
    <t>ORD-202500329</t>
  </si>
  <si>
    <t>ORD-202500330</t>
  </si>
  <si>
    <t>ORD-202500331</t>
  </si>
  <si>
    <t>ORD-202500332</t>
  </si>
  <si>
    <t>ORD-202500333</t>
  </si>
  <si>
    <t>ORD-202500334</t>
  </si>
  <si>
    <t>ORD-202500335</t>
  </si>
  <si>
    <t>ORD-202500336</t>
  </si>
  <si>
    <t>ORD-202500337</t>
  </si>
  <si>
    <t>ORD-202500338</t>
  </si>
  <si>
    <t>ORD-202500339</t>
  </si>
  <si>
    <t>CUST-1098</t>
  </si>
  <si>
    <t>ORD-202500340</t>
  </si>
  <si>
    <t>ORD-202500341</t>
  </si>
  <si>
    <t>ORD-202500342</t>
  </si>
  <si>
    <t>ORD-202500343</t>
  </si>
  <si>
    <t>ORD-202500344</t>
  </si>
  <si>
    <t>ORD-202500345</t>
  </si>
  <si>
    <t>ORD-202500346</t>
  </si>
  <si>
    <t>ORD-202500347</t>
  </si>
  <si>
    <t>ORD-202500348</t>
  </si>
  <si>
    <t>ORD-202500349</t>
  </si>
  <si>
    <t>ORD-202500350</t>
  </si>
  <si>
    <t>ORD-202500351</t>
  </si>
  <si>
    <t>CUST-1129</t>
  </si>
  <si>
    <t>ORD-202500352</t>
  </si>
  <si>
    <t>ORD-202500353</t>
  </si>
  <si>
    <t>ORD-202500354</t>
  </si>
  <si>
    <t>ORD-202500355</t>
  </si>
  <si>
    <t>ORD-202500356</t>
  </si>
  <si>
    <t>CUST-1193</t>
  </si>
  <si>
    <t>ORD-202500357</t>
  </si>
  <si>
    <t>ORD-202500358</t>
  </si>
  <si>
    <t>ORD-202500359</t>
  </si>
  <si>
    <t>ORD-202500360</t>
  </si>
  <si>
    <t>ORD-202500361</t>
  </si>
  <si>
    <t>CUST-1136</t>
  </si>
  <si>
    <t>ORD-202500362</t>
  </si>
  <si>
    <t>ORD-202500363</t>
  </si>
  <si>
    <t>ORD-202500364</t>
  </si>
  <si>
    <t>ORD-202500365</t>
  </si>
  <si>
    <t>ORD-202500366</t>
  </si>
  <si>
    <t>ORD-202500367</t>
  </si>
  <si>
    <t>ORD-202500368</t>
  </si>
  <si>
    <t>ORD-202500369</t>
  </si>
  <si>
    <t>ORD-202500370</t>
  </si>
  <si>
    <t>ORD-202500371</t>
  </si>
  <si>
    <t>CUST-1112</t>
  </si>
  <si>
    <t>ORD-202500372</t>
  </si>
  <si>
    <t>ORD-202500373</t>
  </si>
  <si>
    <t>ORD-202500374</t>
  </si>
  <si>
    <t>ORD-202500375</t>
  </si>
  <si>
    <t>ORD-202500376</t>
  </si>
  <si>
    <t>CUST-1119</t>
  </si>
  <si>
    <t>ORD-202500377</t>
  </si>
  <si>
    <t>CUST-1208</t>
  </si>
  <si>
    <t>ORD-202500378</t>
  </si>
  <si>
    <t>ORD-202500379</t>
  </si>
  <si>
    <t>CUST-1131</t>
  </si>
  <si>
    <t>ORD-202500380</t>
  </si>
  <si>
    <t>ORD-202500381</t>
  </si>
  <si>
    <t>ORD-202500382</t>
  </si>
  <si>
    <t>ORD-202500383</t>
  </si>
  <si>
    <t>ORD-202500384</t>
  </si>
  <si>
    <t>ORD-202500385</t>
  </si>
  <si>
    <t>ORD-202500386</t>
  </si>
  <si>
    <t>ORD-202500387</t>
  </si>
  <si>
    <t>ORD-202500388</t>
  </si>
  <si>
    <t>ORD-202500389</t>
  </si>
  <si>
    <t>ORD-202500390</t>
  </si>
  <si>
    <t>ORD-202500391</t>
  </si>
  <si>
    <t>CUST-1056</t>
  </si>
  <si>
    <t>ORD-202500392</t>
  </si>
  <si>
    <t>ORD-202500393</t>
  </si>
  <si>
    <t>ORD-202500394</t>
  </si>
  <si>
    <t>ORD-202500395</t>
  </si>
  <si>
    <t>ORD-202500396</t>
  </si>
  <si>
    <t>CUST-1118</t>
  </si>
  <si>
    <t>ORD-202500397</t>
  </si>
  <si>
    <t>CUST-1069</t>
  </si>
  <si>
    <t>ORD-202500398</t>
  </si>
  <si>
    <t>ORD-202500399</t>
  </si>
  <si>
    <t>ORD-202500400</t>
  </si>
  <si>
    <t>ORD-202500401</t>
  </si>
  <si>
    <t>ORD-202500402</t>
  </si>
  <si>
    <t>ORD-202500403</t>
  </si>
  <si>
    <t>ORD-202500404</t>
  </si>
  <si>
    <t>ORD-202500405</t>
  </si>
  <si>
    <t>ORD-202500406</t>
  </si>
  <si>
    <t>CUST-1113</t>
  </si>
  <si>
    <t>ORD-202500407</t>
  </si>
  <si>
    <t>ORD-202500408</t>
  </si>
  <si>
    <t>ORD-202500409</t>
  </si>
  <si>
    <t>ORD-202500410</t>
  </si>
  <si>
    <t>ORD-202500411</t>
  </si>
  <si>
    <t>ORD-202500412</t>
  </si>
  <si>
    <t>ORD-202500413</t>
  </si>
  <si>
    <t>ORD-202500414</t>
  </si>
  <si>
    <t>CUST-1135</t>
  </si>
  <si>
    <t>ORD-202500415</t>
  </si>
  <si>
    <t>ORD-202500416</t>
  </si>
  <si>
    <t>ORD-202500417</t>
  </si>
  <si>
    <t>ORD-202500418</t>
  </si>
  <si>
    <t>CUST-1123</t>
  </si>
  <si>
    <t>ORD-202500419</t>
  </si>
  <si>
    <t>ORD-202500420</t>
  </si>
  <si>
    <t>ORD-202500421</t>
  </si>
  <si>
    <t>ORD-202500422</t>
  </si>
  <si>
    <t>ORD-202500423</t>
  </si>
  <si>
    <t>ORD-202500424</t>
  </si>
  <si>
    <t>CUST-1043</t>
  </si>
  <si>
    <t>ORD-202500425</t>
  </si>
  <si>
    <t>ORD-202500426</t>
  </si>
  <si>
    <t>ORD-202500427</t>
  </si>
  <si>
    <t>ORD-202500428</t>
  </si>
  <si>
    <t>ORD-202500429</t>
  </si>
  <si>
    <t>ORD-202500430</t>
  </si>
  <si>
    <t>ORD-202500431</t>
  </si>
  <si>
    <t>ORD-202500432</t>
  </si>
  <si>
    <t>ORD-202500433</t>
  </si>
  <si>
    <t>ORD-202500434</t>
  </si>
  <si>
    <t>ORD-202500435</t>
  </si>
  <si>
    <t>ORD-202500436</t>
  </si>
  <si>
    <t>ORD-202500437</t>
  </si>
  <si>
    <t>ORD-202500438</t>
  </si>
  <si>
    <t>ORD-202500439</t>
  </si>
  <si>
    <t>CUST-1028</t>
  </si>
  <si>
    <t>ORD-202500440</t>
  </si>
  <si>
    <t>ORD-202500441</t>
  </si>
  <si>
    <t>ORD-202500442</t>
  </si>
  <si>
    <t>ORD-202500443</t>
  </si>
  <si>
    <t>ORD-202500444</t>
  </si>
  <si>
    <t>ORD-202500445</t>
  </si>
  <si>
    <t>ORD-202500446</t>
  </si>
  <si>
    <t>ORD-202500447</t>
  </si>
  <si>
    <t>ORD-202500448</t>
  </si>
  <si>
    <t>ORD-202500449</t>
  </si>
  <si>
    <t>ORD-202500450</t>
  </si>
  <si>
    <t>ORD-202500451</t>
  </si>
  <si>
    <t>CUST-1064</t>
  </si>
  <si>
    <t>ORD-202500452</t>
  </si>
  <si>
    <t>ORD-202500453</t>
  </si>
  <si>
    <t>ORD-202500454</t>
  </si>
  <si>
    <t>ORD-202500455</t>
  </si>
  <si>
    <t>CUST-1089</t>
  </si>
  <si>
    <t>ORD-202500456</t>
  </si>
  <si>
    <t>ORD-202500457</t>
  </si>
  <si>
    <t>ORD-202500458</t>
  </si>
  <si>
    <t>ORD-202500459</t>
  </si>
  <si>
    <t>ORD-202500460</t>
  </si>
  <si>
    <t>ORD-202500461</t>
  </si>
  <si>
    <t>ORD-202500462</t>
  </si>
  <si>
    <t>ORD-202500463</t>
  </si>
  <si>
    <t>ORD-202500464</t>
  </si>
  <si>
    <t>ORD-202500465</t>
  </si>
  <si>
    <t>ORD-202500466</t>
  </si>
  <si>
    <t>ORD-202500467</t>
  </si>
  <si>
    <t>CUST-1115</t>
  </si>
  <si>
    <t>ORD-202500468</t>
  </si>
  <si>
    <t>ORD-202500469</t>
  </si>
  <si>
    <t>ORD-202500470</t>
  </si>
  <si>
    <t>CUST-1185</t>
  </si>
  <si>
    <t>ORD-202500471</t>
  </si>
  <si>
    <t>ORD-202500472</t>
  </si>
  <si>
    <t>ORD-202500473</t>
  </si>
  <si>
    <t>CUST-1026</t>
  </si>
  <si>
    <t>ORD-202500474</t>
  </si>
  <si>
    <t>CUST-1040</t>
  </si>
  <si>
    <t>ORD-202500475</t>
  </si>
  <si>
    <t>ORD-202500476</t>
  </si>
  <si>
    <t>ORD-202500477</t>
  </si>
  <si>
    <t>ORD-202500478</t>
  </si>
  <si>
    <t>ORD-202500479</t>
  </si>
  <si>
    <t>CUST-1072</t>
  </si>
  <si>
    <t>ORD-202500480</t>
  </si>
  <si>
    <t>ORD-202500481</t>
  </si>
  <si>
    <t>ORD-202500482</t>
  </si>
  <si>
    <t>ORD-202500483</t>
  </si>
  <si>
    <t>ORD-202500484</t>
  </si>
  <si>
    <t>ORD-202500485</t>
  </si>
  <si>
    <t>ORD-202500486</t>
  </si>
  <si>
    <t>ORD-202500487</t>
  </si>
  <si>
    <t>ORD-202500488</t>
  </si>
  <si>
    <t>ORD-202500489</t>
  </si>
  <si>
    <t>ORD-202500490</t>
  </si>
  <si>
    <t>ORD-202500491</t>
  </si>
  <si>
    <t>ORD-202500492</t>
  </si>
  <si>
    <t>ORD-202500493</t>
  </si>
  <si>
    <t>ORD-202500494</t>
  </si>
  <si>
    <t>ORD-202500495</t>
  </si>
  <si>
    <t>ORD-202500496</t>
  </si>
  <si>
    <t>CUST-1066</t>
  </si>
  <si>
    <t>ORD-202500497</t>
  </si>
  <si>
    <t>ORD-202500498</t>
  </si>
  <si>
    <t>ORD-202500499</t>
  </si>
  <si>
    <t>ORD-202500500</t>
  </si>
  <si>
    <t>Grand Total</t>
  </si>
  <si>
    <t>Total Profit</t>
  </si>
  <si>
    <t>Total Sales</t>
  </si>
  <si>
    <t>Months (Order_Date)</t>
  </si>
  <si>
    <t>Jan</t>
  </si>
  <si>
    <t>Feb</t>
  </si>
  <si>
    <t>Mar</t>
  </si>
  <si>
    <t>Apr</t>
  </si>
  <si>
    <t>May</t>
  </si>
  <si>
    <t>Jun</t>
  </si>
  <si>
    <t>Jul</t>
  </si>
  <si>
    <t>Aug</t>
  </si>
  <si>
    <t>Sep</t>
  </si>
  <si>
    <t>Oct</t>
  </si>
  <si>
    <t>Nov</t>
  </si>
  <si>
    <t>Dec</t>
  </si>
  <si>
    <t>Months</t>
  </si>
  <si>
    <t xml:space="preserve"> </t>
  </si>
  <si>
    <t>Orders</t>
  </si>
  <si>
    <t>Return Rate</t>
  </si>
  <si>
    <t>Category</t>
  </si>
  <si>
    <t>Avg Rating</t>
  </si>
  <si>
    <t>Retail Sales &amp; Customer Experience Dashboard</t>
  </si>
  <si>
    <t>Return_Value</t>
  </si>
  <si>
    <t>Margin</t>
  </si>
  <si>
    <t xml:space="preserve"> Sales</t>
  </si>
  <si>
    <t xml:space="preserve"> Profit</t>
  </si>
  <si>
    <t>Average of Rating</t>
  </si>
  <si>
    <t>Insight</t>
  </si>
  <si>
    <t>Which category needs pricing, cost, or demand review?</t>
  </si>
  <si>
    <t>Where should we investigate customer dissatisfaction, product issues, or fulfillment problems?</t>
  </si>
  <si>
    <t>When do sales peak, and what caused the increase?</t>
  </si>
  <si>
    <t>Which months need stronger promotions or operational improvements?</t>
  </si>
  <si>
    <t>Are good customer ratings translating into profitability?</t>
  </si>
  <si>
    <t>Business question</t>
  </si>
  <si>
    <t>Suggested action</t>
  </si>
  <si>
    <t>Which product category is driving most revenue and profit?</t>
  </si>
  <si>
    <t>Increase inventory, prioritize marketing spend, and identify the best-selling electronics items to scale further.</t>
  </si>
  <si>
    <t>Review supplier costs, pricing, discounts, and product mix. Consider reducing low-margin items or bundling them with stronger categories.</t>
  </si>
  <si>
    <t>Which region should be used as a benchmark for strong performance?</t>
  </si>
  <si>
    <t>Study East’s sales strategy, customer service process, and fulfillment practices, then apply the best practices to other regions.</t>
  </si>
  <si>
    <t>Check return reasons, delivery issues, product quality, and customer feedback in the North region. Focus on reducing avoidable returns.</t>
  </si>
  <si>
    <t>Review what promotions, campaigns, or seasonal factors happened in June and repeat them during slower months.</t>
  </si>
  <si>
    <t>Sales and profit dropped noticeably in these months compared with stronger periods.</t>
  </si>
  <si>
    <t>Run targeted campaigns, discounts, loyalty offers, or product bundles during weaker months to stabilize revenue.</t>
  </si>
  <si>
    <t>Customer rating is stable but does not guarantee profit</t>
  </si>
  <si>
    <t>Combine customer satisfaction data with margin analysis. Focus not only on high-rated products, but also on products that are both profitable and well-rated.</t>
  </si>
  <si>
    <t>Retail Sales &amp; Customer Experience Dashboard Analysis</t>
  </si>
  <si>
    <t>Implication</t>
  </si>
  <si>
    <t>Electronics is the top-performing category</t>
  </si>
  <si>
    <t>Office Supplies is losing money</t>
  </si>
  <si>
    <t>East is the best-performing region</t>
  </si>
  <si>
    <t>North has the highest return rate</t>
  </si>
  <si>
    <t>June was the strongest sales month</t>
  </si>
  <si>
    <t>June reached the highest monthly sales and profit, suggesting a seasonal or campaign-driven spike.</t>
  </si>
  <si>
    <t>May and July were weaker months</t>
  </si>
  <si>
    <t>The average rating is 4.3, and Office Supplies still has a decent rating despite being unprofitable.</t>
  </si>
  <si>
    <t>Performance is strong but uneven across categories, regions, and months</t>
  </si>
  <si>
    <t>Revenue and profit are led by Electronics and the East region, while Office Supplies, North returns, and softer months create avoidable performance drag.</t>
  </si>
  <si>
    <t>Protect the strongest profit drivers while fixing underperforming categories, high-return regions, and weaker months through targeted pricing, operations, and promotion actions.</t>
  </si>
  <si>
    <t>Electronics generated the highest sales, about ₱5.73M, and the highest profit, about ₱852.9K.</t>
  </si>
  <si>
    <r>
      <t xml:space="preserve">Office Supplies had low sales, about </t>
    </r>
    <r>
      <rPr>
        <sz val="11"/>
        <rFont val="Carlito"/>
      </rPr>
      <t>₱126K, and a negative profit of about -₱17.7K.</t>
    </r>
  </si>
  <si>
    <r>
      <t xml:space="preserve">East had the highest sales, highest profit, and the lowest return rate at </t>
    </r>
    <r>
      <rPr>
        <sz val="11"/>
        <rFont val="Carlito"/>
      </rPr>
      <t>3.7%.</t>
    </r>
  </si>
  <si>
    <r>
      <t xml:space="preserve">North’s return rate is </t>
    </r>
    <r>
      <rPr>
        <sz val="11"/>
        <rFont val="Carlito"/>
      </rPr>
      <t>5.3%, higher than other regions.</t>
    </r>
  </si>
  <si>
    <t>How is the business performing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</si>
</sst>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yyyy\-mm\-dd"/>
    <numFmt numFmtId="165" formatCode="\₱#,##0.00"/>
    <numFmt numFmtId="166" formatCode="0.0"/>
    <numFmt numFmtId="167" formatCode="mmm\ yyyy"/>
    <numFmt numFmtId="168" formatCode="0.0%"/>
    <numFmt numFmtId="169" formatCode="\₱#,##0"/>
    <numFmt numFmtId="170" formatCode="&quot;₱&quot;#,##0"/>
  </numFmts>
  <fonts count="13">
    <font>
      <sz val="11"/>
      <name val="Carlito"/>
    </font>
    <font>
      <sz val="11"/>
      <color theme="1"/>
      <name val="Calibri"/>
      <family val="2"/>
      <scheme val="minor"/>
    </font>
    <font>
      <b/>
      <sz val="10"/>
      <color rgb="FFFFFFFF"/>
      <name val="Aptos"/>
      <family val="2"/>
    </font>
    <font>
      <sz val="10"/>
      <name val="Aptos"/>
      <family val="2"/>
    </font>
    <font>
      <b/>
      <sz val="11"/>
      <name val="Carlito"/>
    </font>
    <font>
      <b/>
      <sz val="11"/>
      <color theme="1"/>
      <name val="Carlito"/>
    </font>
    <font>
      <b/>
      <sz val="22"/>
      <name val="Carlito"/>
    </font>
    <font>
      <b/>
      <sz val="10"/>
      <color rgb="FFFFFFFF"/>
      <name val="Aptos"/>
      <family val="2"/>
    </font>
    <font>
      <sz val="10"/>
      <name val="Aptos"/>
      <family val="2"/>
    </font>
    <font>
      <sz val="10"/>
      <name val="Carlito"/>
    </font>
    <font>
      <b/>
      <sz val="14"/>
      <name val="Carlito"/>
    </font>
    <font>
      <sz val="11"/>
      <name val="Carlito"/>
    </font>
    <font>
      <b/>
      <sz val="20"/>
      <name val="Carlito"/>
    </font>
  </fonts>
  <fills count="7">
    <fill>
      <patternFill patternType="none"/>
    </fill>
    <fill>
      <patternFill patternType="gray125"/>
    </fill>
    <fill>
      <patternFill patternType="solid">
        <fgColor rgb="FF1F4E78"/>
      </patternFill>
    </fill>
    <fill>
      <patternFill patternType="solid">
        <fgColor theme="0" tint="-4.9989318521683403E-2"/>
        <bgColor indexed="64"/>
      </patternFill>
    </fill>
    <fill>
      <patternFill patternType="solid">
        <fgColor theme="0"/>
        <bgColor indexed="64"/>
      </patternFill>
    </fill>
    <fill>
      <patternFill patternType="solid">
        <fgColor theme="0" tint="-4.9989318521683403E-2"/>
        <bgColor theme="4" tint="0.79998168889431442"/>
      </patternFill>
    </fill>
    <fill>
      <patternFill patternType="solid">
        <fgColor theme="0" tint="-0.14996795556505021"/>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2" fillId="2" borderId="0" xfId="0" applyFont="1" applyFill="1" applyAlignment="1">
      <alignment horizontal="center" vertical="center" wrapText="1"/>
    </xf>
    <xf numFmtId="0" fontId="3" fillId="0" borderId="0" xfId="0" applyFont="1"/>
    <xf numFmtId="164" fontId="0" fillId="0" borderId="0" xfId="0" applyNumberFormat="1"/>
    <xf numFmtId="165" fontId="0" fillId="0" borderId="0" xfId="0" applyNumberFormat="1"/>
    <xf numFmtId="9" fontId="0" fillId="0" borderId="0" xfId="0" applyNumberFormat="1"/>
    <xf numFmtId="166" fontId="0" fillId="0" borderId="0" xfId="0" applyNumberFormat="1"/>
    <xf numFmtId="1" fontId="0" fillId="0" borderId="0" xfId="0" applyNumberFormat="1"/>
    <xf numFmtId="0" fontId="0" fillId="0" borderId="0" xfId="0" pivotButton="1"/>
    <xf numFmtId="0" fontId="0" fillId="3" borderId="0" xfId="0" applyFill="1"/>
    <xf numFmtId="0" fontId="4" fillId="0" borderId="4" xfId="0" applyFont="1" applyBorder="1" applyAlignment="1">
      <alignment horizontal="center"/>
    </xf>
    <xf numFmtId="0" fontId="0" fillId="0" borderId="0" xfId="0"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66" fontId="0" fillId="0" borderId="0" xfId="0" applyNumberFormat="1" applyAlignment="1">
      <alignment horizontal="center"/>
    </xf>
    <xf numFmtId="0" fontId="5" fillId="0" borderId="4" xfId="0" applyFont="1" applyBorder="1" applyAlignment="1">
      <alignment horizontal="center" vertical="center"/>
    </xf>
    <xf numFmtId="165" fontId="5" fillId="3" borderId="0" xfId="0" applyNumberFormat="1" applyFont="1" applyFill="1"/>
    <xf numFmtId="168" fontId="0" fillId="0" borderId="0" xfId="0" applyNumberFormat="1" applyAlignment="1">
      <alignment horizontal="center"/>
    </xf>
    <xf numFmtId="168" fontId="0" fillId="3" borderId="0" xfId="1" applyNumberFormat="1" applyFont="1" applyFill="1" applyAlignment="1">
      <alignment horizontal="center"/>
    </xf>
    <xf numFmtId="169" fontId="0" fillId="0" borderId="0" xfId="0" applyNumberFormat="1"/>
    <xf numFmtId="0" fontId="7" fillId="2" borderId="0" xfId="0" applyFont="1" applyFill="1" applyAlignment="1">
      <alignment horizontal="center"/>
    </xf>
    <xf numFmtId="0" fontId="8" fillId="0" borderId="0" xfId="0" applyFont="1"/>
    <xf numFmtId="0" fontId="0" fillId="3" borderId="0" xfId="0" applyFill="1" applyAlignment="1">
      <alignment horizontal="center"/>
    </xf>
    <xf numFmtId="165" fontId="0" fillId="3" borderId="0" xfId="0" applyNumberFormat="1" applyFill="1" applyAlignment="1">
      <alignment horizontal="center"/>
    </xf>
    <xf numFmtId="168" fontId="0" fillId="3" borderId="0" xfId="0" applyNumberFormat="1" applyFill="1" applyAlignment="1">
      <alignment horizontal="center"/>
    </xf>
    <xf numFmtId="0" fontId="5" fillId="5" borderId="0" xfId="0" applyFont="1" applyFill="1" applyAlignment="1">
      <alignment horizontal="center"/>
    </xf>
    <xf numFmtId="170" fontId="0" fillId="0" borderId="0" xfId="0" applyNumberFormat="1" applyAlignment="1">
      <alignment horizontal="center"/>
    </xf>
    <xf numFmtId="1" fontId="0" fillId="0" borderId="0" xfId="0" applyNumberFormat="1" applyAlignment="1">
      <alignment horizontal="center"/>
    </xf>
    <xf numFmtId="0" fontId="0" fillId="0" borderId="0" xfId="0" applyAlignment="1">
      <alignment vertical="top" wrapText="1"/>
    </xf>
    <xf numFmtId="0" fontId="9" fillId="0" borderId="0" xfId="0" applyFont="1" applyAlignment="1">
      <alignment vertical="top" wrapText="1"/>
    </xf>
    <xf numFmtId="0" fontId="6" fillId="4" borderId="0" xfId="0" applyFont="1" applyFill="1" applyAlignment="1">
      <alignment horizontal="center" vertical="center"/>
    </xf>
    <xf numFmtId="0" fontId="0" fillId="0" borderId="0" xfId="0" applyNumberFormat="1"/>
    <xf numFmtId="170" fontId="0" fillId="4" borderId="5" xfId="0" applyNumberFormat="1" applyFont="1" applyFill="1" applyBorder="1" applyAlignment="1">
      <alignment horizontal="left" vertical="center" wrapText="1"/>
    </xf>
    <xf numFmtId="0" fontId="0" fillId="6" borderId="5" xfId="0" applyFont="1" applyFill="1" applyBorder="1" applyAlignment="1">
      <alignment horizontal="left" vertical="center" wrapText="1"/>
    </xf>
    <xf numFmtId="170" fontId="0" fillId="6" borderId="5" xfId="0" applyNumberFormat="1" applyFont="1" applyFill="1" applyBorder="1" applyAlignment="1">
      <alignment horizontal="left" vertical="center" wrapText="1"/>
    </xf>
    <xf numFmtId="168" fontId="0" fillId="6" borderId="5" xfId="0" applyNumberFormat="1" applyFont="1" applyFill="1" applyBorder="1" applyAlignment="1">
      <alignment horizontal="left" vertical="center" wrapText="1"/>
    </xf>
    <xf numFmtId="0" fontId="0" fillId="4" borderId="5" xfId="0" applyFont="1" applyFill="1" applyBorder="1" applyAlignment="1">
      <alignment horizontal="left" vertical="center" wrapText="1"/>
    </xf>
    <xf numFmtId="168" fontId="0" fillId="4" borderId="5" xfId="0" applyNumberFormat="1" applyFont="1" applyFill="1" applyBorder="1" applyAlignment="1">
      <alignment horizontal="left" vertical="center" wrapText="1"/>
    </xf>
    <xf numFmtId="0" fontId="10" fillId="0" borderId="5" xfId="0" applyFont="1" applyFill="1" applyBorder="1" applyAlignment="1">
      <alignment horizontal="center" vertical="center"/>
    </xf>
    <xf numFmtId="170" fontId="10" fillId="0" borderId="5" xfId="0" applyNumberFormat="1" applyFont="1" applyFill="1" applyBorder="1" applyAlignment="1">
      <alignment horizontal="center" vertical="center"/>
    </xf>
    <xf numFmtId="168" fontId="10" fillId="0" borderId="5" xfId="0" applyNumberFormat="1" applyFont="1" applyFill="1" applyBorder="1" applyAlignment="1">
      <alignment horizontal="center" vertical="center"/>
    </xf>
    <xf numFmtId="0" fontId="12" fillId="4" borderId="5" xfId="0" applyFont="1" applyFill="1" applyBorder="1" applyAlignment="1">
      <alignment horizontal="center" vertical="center"/>
    </xf>
  </cellXfs>
  <cellStyles count="2">
    <cellStyle name="Normal" xfId="0" builtinId="0"/>
    <cellStyle name="Percent" xfId="1" builtinId="5"/>
  </cellStyles>
  <dxfs count="35">
    <dxf>
      <font>
        <color rgb="FF990000"/>
      </font>
      <fill>
        <patternFill patternType="solid">
          <bgColor rgb="FFF4CCCC"/>
        </patternFill>
      </fill>
    </dxf>
    <dxf>
      <numFmt numFmtId="169" formatCode="\₱#,##0"/>
    </dxf>
    <dxf>
      <numFmt numFmtId="166" formatCode="0.0"/>
    </dxf>
    <dxf>
      <numFmt numFmtId="169" formatCode="\₱#,##0"/>
    </dxf>
    <dxf>
      <numFmt numFmtId="169" formatCode="\₱#,##0"/>
    </dxf>
    <dxf>
      <numFmt numFmtId="0" formatCode="General"/>
    </dxf>
    <dxf>
      <numFmt numFmtId="165" formatCode="\₱#,##0.00"/>
    </dxf>
    <dxf>
      <numFmt numFmtId="166" formatCode="0.0"/>
      <alignment horizontal="center" vertical="bottom" textRotation="0" wrapText="0" indent="0" justifyLastLine="0" shrinkToFit="0" readingOrder="0"/>
    </dxf>
    <dxf>
      <numFmt numFmtId="170" formatCode="&quot;₱&quot;#,##0"/>
      <alignment horizontal="center" vertical="bottom" textRotation="0" wrapText="0" indent="0" justifyLastLine="0" shrinkToFit="0" readingOrder="0"/>
    </dxf>
    <dxf>
      <numFmt numFmtId="170" formatCode="&quot;₱&quot;#,##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rlito"/>
        <scheme val="none"/>
      </font>
      <fill>
        <patternFill patternType="none">
          <fgColor indexed="64"/>
          <bgColor indexed="65"/>
        </patternFill>
      </fill>
      <alignment horizontal="center" vertical="center" textRotation="0" wrapText="0" indent="0" justifyLastLine="0" shrinkToFit="0" readingOrder="0"/>
    </dxf>
    <dxf>
      <numFmt numFmtId="168" formatCode="0.0%"/>
      <alignment horizontal="center" vertical="bottom" textRotation="0" wrapText="0" indent="0" justifyLastLine="0" shrinkToFit="0" readingOrder="0"/>
    </dxf>
    <dxf>
      <numFmt numFmtId="170" formatCode="&quot;₱&quot;#,##0"/>
      <alignment horizontal="center" vertical="bottom" textRotation="0" wrapText="0" indent="0" justifyLastLine="0" shrinkToFit="0" readingOrder="0"/>
    </dxf>
    <dxf>
      <numFmt numFmtId="170" formatCode="&quot;₱&quot;#,##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rlito"/>
        <scheme val="none"/>
      </font>
      <fill>
        <patternFill patternType="none">
          <fgColor indexed="64"/>
          <bgColor auto="1"/>
        </patternFill>
      </fill>
      <alignment horizontal="center" vertical="center" textRotation="0" wrapText="0" indent="0" justifyLastLine="0" shrinkToFit="0" readingOrder="0"/>
      <border diagonalUp="0" diagonalDown="0" outline="0">
        <left/>
        <right/>
        <top/>
        <bottom/>
      </border>
    </dxf>
    <dxf>
      <numFmt numFmtId="1" formatCode="0"/>
      <fill>
        <patternFill patternType="none">
          <fgColor indexed="64"/>
          <bgColor auto="1"/>
        </patternFill>
      </fill>
      <alignment horizontal="center" vertical="bottom" textRotation="0" wrapText="0" indent="0" justifyLastLine="0" shrinkToFit="0" readingOrder="0"/>
    </dxf>
    <dxf>
      <numFmt numFmtId="170" formatCode="&quot;₱&quot;#,##0"/>
      <fill>
        <patternFill patternType="none">
          <fgColor indexed="64"/>
          <bgColor auto="1"/>
        </patternFill>
      </fill>
      <alignment horizontal="center" vertical="bottom" textRotation="0" wrapText="0" indent="0" justifyLastLine="0" shrinkToFit="0" readingOrder="0"/>
    </dxf>
    <dxf>
      <numFmt numFmtId="170" formatCode="&quot;₱&quot;#,##0"/>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rlito"/>
        <scheme val="none"/>
      </font>
      <fill>
        <patternFill patternType="none">
          <fgColor indexed="64"/>
          <bgColor auto="1"/>
        </patternFill>
      </fill>
      <alignment horizontal="center" vertical="bottom" textRotation="0" wrapText="0" indent="0" justifyLastLine="0" shrinkToFit="0" readingOrder="0"/>
      <border diagonalUp="0" diagonalDown="0" outline="0">
        <left/>
        <right/>
        <top/>
        <bottom/>
      </border>
    </dxf>
    <dxf>
      <fill>
        <patternFill>
          <bgColor theme="0"/>
        </patternFill>
      </fill>
    </dxf>
    <dxf>
      <fill>
        <patternFill>
          <bgColor theme="0" tint="-0.14996795556505021"/>
        </patternFill>
      </fill>
    </dxf>
    <dxf>
      <font>
        <b/>
        <i val="0"/>
      </font>
      <fill>
        <patternFill>
          <bgColor theme="0" tint="-0.34998626667073579"/>
        </patternFill>
      </fill>
    </dxf>
    <dxf>
      <fill>
        <patternFill>
          <bgColor theme="0" tint="-4.9989318521683403E-2"/>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6" xr9:uid="{C9A1FFF9-62AA-473C-A5B0-A7529260236C}">
      <tableStyleElement type="wholeTable" dxfId="34"/>
      <tableStyleElement type="headerRow" dxfId="33"/>
    </tableStyle>
    <tableStyle name="Table Style 1" pivot="0" count="2" xr9:uid="{5F2A8BFD-BC89-48D5-88D3-C322F46E0209}">
      <tableStyleElement type="firstRowStripe" dxfId="32"/>
      <tableStyleElement type="secondRowStripe" dxfId="31"/>
    </tableStyle>
  </tableStyles>
  <extLst>
    <ext xmlns:x14="http://schemas.microsoft.com/office/spreadsheetml/2009/9/main" uri="{46F421CA-312F-682f-3DD2-61675219B42D}">
      <x14:dxfs count="4">
        <dxf>
          <fill>
            <patternFill>
              <bgColor theme="0" tint="-0.499984740745262"/>
            </patternFill>
          </fill>
        </dxf>
        <dxf>
          <fill>
            <patternFill>
              <bgColor theme="0" tint="-0.24994659260841701"/>
            </patternFill>
          </fill>
        </dxf>
        <dxf>
          <fill>
            <patternFill>
              <bgColor theme="0" tint="-0.34998626667073579"/>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and Profit Trend!PivotTable3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Sales and Profit Trend FY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and Profit Trend'!$B$3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and Profit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and Profit Trend'!$B$4:$B$16</c:f>
              <c:numCache>
                <c:formatCode>\₱#,##0.00</c:formatCode>
                <c:ptCount val="12"/>
                <c:pt idx="0">
                  <c:v>605987.0675</c:v>
                </c:pt>
                <c:pt idx="1">
                  <c:v>489588.35199999996</c:v>
                </c:pt>
                <c:pt idx="2">
                  <c:v>1218851.4600000002</c:v>
                </c:pt>
                <c:pt idx="3">
                  <c:v>959716.70400000026</c:v>
                </c:pt>
                <c:pt idx="4">
                  <c:v>347485.69349999994</c:v>
                </c:pt>
                <c:pt idx="5">
                  <c:v>1425448.7045000002</c:v>
                </c:pt>
                <c:pt idx="6">
                  <c:v>390605.00899999996</c:v>
                </c:pt>
                <c:pt idx="7">
                  <c:v>771290.90449999971</c:v>
                </c:pt>
                <c:pt idx="8">
                  <c:v>429680.15300000005</c:v>
                </c:pt>
                <c:pt idx="9">
                  <c:v>623210.08750000002</c:v>
                </c:pt>
                <c:pt idx="10">
                  <c:v>936248.43900000001</c:v>
                </c:pt>
                <c:pt idx="11">
                  <c:v>916034.01700000011</c:v>
                </c:pt>
              </c:numCache>
            </c:numRef>
          </c:val>
          <c:smooth val="0"/>
          <c:extLst>
            <c:ext xmlns:c16="http://schemas.microsoft.com/office/drawing/2014/chart" uri="{C3380CC4-5D6E-409C-BE32-E72D297353CC}">
              <c16:uniqueId val="{00000000-A0F9-49CB-B408-6FF363082EB8}"/>
            </c:ext>
          </c:extLst>
        </c:ser>
        <c:ser>
          <c:idx val="1"/>
          <c:order val="1"/>
          <c:tx>
            <c:strRef>
              <c:f>'Monthly Sales and Profit Trend'!$C$3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and Profit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and Profit Trend'!$C$4:$C$16</c:f>
              <c:numCache>
                <c:formatCode>\₱#,##0.00</c:formatCode>
                <c:ptCount val="12"/>
                <c:pt idx="0">
                  <c:v>99784.884369999985</c:v>
                </c:pt>
                <c:pt idx="1">
                  <c:v>80249.472249999992</c:v>
                </c:pt>
                <c:pt idx="2">
                  <c:v>198394.16687999998</c:v>
                </c:pt>
                <c:pt idx="3">
                  <c:v>154358.76294000002</c:v>
                </c:pt>
                <c:pt idx="4">
                  <c:v>51466.188670000018</c:v>
                </c:pt>
                <c:pt idx="5">
                  <c:v>245588.6940799999</c:v>
                </c:pt>
                <c:pt idx="6">
                  <c:v>67516.879629999996</c:v>
                </c:pt>
                <c:pt idx="7">
                  <c:v>124616.21324999996</c:v>
                </c:pt>
                <c:pt idx="8">
                  <c:v>75723.352580000021</c:v>
                </c:pt>
                <c:pt idx="9">
                  <c:v>99176.010700000013</c:v>
                </c:pt>
                <c:pt idx="10">
                  <c:v>139943.52149999997</c:v>
                </c:pt>
                <c:pt idx="11">
                  <c:v>159619.07897000006</c:v>
                </c:pt>
              </c:numCache>
            </c:numRef>
          </c:val>
          <c:smooth val="0"/>
          <c:extLst>
            <c:ext xmlns:c16="http://schemas.microsoft.com/office/drawing/2014/chart" uri="{C3380CC4-5D6E-409C-BE32-E72D297353CC}">
              <c16:uniqueId val="{00000001-A0F9-49CB-B408-6FF363082EB8}"/>
            </c:ext>
          </c:extLst>
        </c:ser>
        <c:dLbls>
          <c:showLegendKey val="0"/>
          <c:showVal val="0"/>
          <c:showCatName val="0"/>
          <c:showSerName val="0"/>
          <c:showPercent val="0"/>
          <c:showBubbleSize val="0"/>
        </c:dLbls>
        <c:marker val="1"/>
        <c:smooth val="0"/>
        <c:axId val="1745561375"/>
        <c:axId val="1745559935"/>
      </c:lineChart>
      <c:catAx>
        <c:axId val="174556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5559935"/>
        <c:crosses val="autoZero"/>
        <c:auto val="1"/>
        <c:lblAlgn val="ctr"/>
        <c:lblOffset val="100"/>
        <c:noMultiLvlLbl val="0"/>
      </c:catAx>
      <c:valAx>
        <c:axId val="1745559935"/>
        <c:scaling>
          <c:orientation val="minMax"/>
        </c:scaling>
        <c:delete val="0"/>
        <c:axPos val="l"/>
        <c:majorGridlines>
          <c:spPr>
            <a:ln w="9525" cap="flat" cmpd="sng" algn="ctr">
              <a:solidFill>
                <a:schemeClr val="bg1">
                  <a:lumMod val="75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556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and Profit by Region!Sales and Profit by Region</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kern="1200" spc="0" baseline="0">
                <a:solidFill>
                  <a:sysClr val="windowText" lastClr="000000">
                    <a:lumMod val="65000"/>
                    <a:lumOff val="35000"/>
                  </a:sysClr>
                </a:solidFill>
              </a:rPr>
              <a:t>Sales and Profit by Region FY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Region'!$B$3</c:f>
              <c:strCache>
                <c:ptCount val="1"/>
                <c:pt idx="0">
                  <c:v>Total Sales</c:v>
                </c:pt>
              </c:strCache>
            </c:strRef>
          </c:tx>
          <c:spPr>
            <a:solidFill>
              <a:schemeClr val="accent1"/>
            </a:solidFill>
            <a:ln>
              <a:noFill/>
            </a:ln>
            <a:effectLst/>
          </c:spPr>
          <c:invertIfNegative val="0"/>
          <c:cat>
            <c:strRef>
              <c:f>'Sales and Profit by Region'!$A$4:$A$8</c:f>
              <c:strCache>
                <c:ptCount val="4"/>
                <c:pt idx="0">
                  <c:v>East</c:v>
                </c:pt>
                <c:pt idx="1">
                  <c:v>North</c:v>
                </c:pt>
                <c:pt idx="2">
                  <c:v>South</c:v>
                </c:pt>
                <c:pt idx="3">
                  <c:v>West</c:v>
                </c:pt>
              </c:strCache>
            </c:strRef>
          </c:cat>
          <c:val>
            <c:numRef>
              <c:f>'Sales and Profit by Region'!$B$4:$B$8</c:f>
              <c:numCache>
                <c:formatCode>\₱#,##0</c:formatCode>
                <c:ptCount val="4"/>
                <c:pt idx="0">
                  <c:v>2607497.0980000021</c:v>
                </c:pt>
                <c:pt idx="1">
                  <c:v>2084247.9020000002</c:v>
                </c:pt>
                <c:pt idx="2">
                  <c:v>2268019.2354999995</c:v>
                </c:pt>
                <c:pt idx="3">
                  <c:v>2154382.3559999992</c:v>
                </c:pt>
              </c:numCache>
            </c:numRef>
          </c:val>
          <c:extLst>
            <c:ext xmlns:c16="http://schemas.microsoft.com/office/drawing/2014/chart" uri="{C3380CC4-5D6E-409C-BE32-E72D297353CC}">
              <c16:uniqueId val="{00000000-1031-4E93-9310-97D0E061D481}"/>
            </c:ext>
          </c:extLst>
        </c:ser>
        <c:ser>
          <c:idx val="1"/>
          <c:order val="1"/>
          <c:tx>
            <c:strRef>
              <c:f>'Sales and Profit by Region'!$C$3</c:f>
              <c:strCache>
                <c:ptCount val="1"/>
                <c:pt idx="0">
                  <c:v>Total Profit</c:v>
                </c:pt>
              </c:strCache>
            </c:strRef>
          </c:tx>
          <c:spPr>
            <a:solidFill>
              <a:schemeClr val="accent2"/>
            </a:solidFill>
            <a:ln>
              <a:noFill/>
            </a:ln>
            <a:effectLst/>
          </c:spPr>
          <c:invertIfNegative val="0"/>
          <c:cat>
            <c:strRef>
              <c:f>'Sales and Profit by Region'!$A$4:$A$8</c:f>
              <c:strCache>
                <c:ptCount val="4"/>
                <c:pt idx="0">
                  <c:v>East</c:v>
                </c:pt>
                <c:pt idx="1">
                  <c:v>North</c:v>
                </c:pt>
                <c:pt idx="2">
                  <c:v>South</c:v>
                </c:pt>
                <c:pt idx="3">
                  <c:v>West</c:v>
                </c:pt>
              </c:strCache>
            </c:strRef>
          </c:cat>
          <c:val>
            <c:numRef>
              <c:f>'Sales and Profit by Region'!$C$4:$C$8</c:f>
              <c:numCache>
                <c:formatCode>\₱#,##0</c:formatCode>
                <c:ptCount val="4"/>
                <c:pt idx="0">
                  <c:v>418844.15267999988</c:v>
                </c:pt>
                <c:pt idx="1">
                  <c:v>367803.03826000006</c:v>
                </c:pt>
                <c:pt idx="2">
                  <c:v>363838.19371000002</c:v>
                </c:pt>
                <c:pt idx="3">
                  <c:v>345951.84116999985</c:v>
                </c:pt>
              </c:numCache>
            </c:numRef>
          </c:val>
          <c:extLst>
            <c:ext xmlns:c16="http://schemas.microsoft.com/office/drawing/2014/chart" uri="{C3380CC4-5D6E-409C-BE32-E72D297353CC}">
              <c16:uniqueId val="{00000001-1031-4E93-9310-97D0E061D481}"/>
            </c:ext>
          </c:extLst>
        </c:ser>
        <c:dLbls>
          <c:showLegendKey val="0"/>
          <c:showVal val="0"/>
          <c:showCatName val="0"/>
          <c:showSerName val="0"/>
          <c:showPercent val="0"/>
          <c:showBubbleSize val="0"/>
        </c:dLbls>
        <c:gapWidth val="219"/>
        <c:overlap val="-27"/>
        <c:axId val="906117200"/>
        <c:axId val="906102320"/>
      </c:barChart>
      <c:catAx>
        <c:axId val="9061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6102320"/>
        <c:crosses val="autoZero"/>
        <c:auto val="1"/>
        <c:lblAlgn val="ctr"/>
        <c:lblOffset val="100"/>
        <c:noMultiLvlLbl val="0"/>
      </c:catAx>
      <c:valAx>
        <c:axId val="90610232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611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and Profit by Category!Profit and Sales by Category</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and Profit by Category FY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Category'!$B$3</c:f>
              <c:strCache>
                <c:ptCount val="1"/>
                <c:pt idx="0">
                  <c:v>Total Sales</c:v>
                </c:pt>
              </c:strCache>
            </c:strRef>
          </c:tx>
          <c:spPr>
            <a:solidFill>
              <a:schemeClr val="accent1"/>
            </a:solidFill>
            <a:ln>
              <a:noFill/>
            </a:ln>
            <a:effectLst/>
          </c:spPr>
          <c:invertIfNegative val="0"/>
          <c:cat>
            <c:strRef>
              <c:f>'Sales and Profit by Category'!$A$4:$A$8</c:f>
              <c:strCache>
                <c:ptCount val="4"/>
                <c:pt idx="0">
                  <c:v>Electronics</c:v>
                </c:pt>
                <c:pt idx="1">
                  <c:v>Furniture</c:v>
                </c:pt>
                <c:pt idx="2">
                  <c:v>Home &amp; Lifestyle</c:v>
                </c:pt>
                <c:pt idx="3">
                  <c:v>Office Supplies</c:v>
                </c:pt>
              </c:strCache>
            </c:strRef>
          </c:cat>
          <c:val>
            <c:numRef>
              <c:f>'Sales and Profit by Category'!$B$4:$B$8</c:f>
              <c:numCache>
                <c:formatCode>\₱#,##0</c:formatCode>
                <c:ptCount val="4"/>
                <c:pt idx="0">
                  <c:v>5732221.2404999966</c:v>
                </c:pt>
                <c:pt idx="1">
                  <c:v>2440570.8975000004</c:v>
                </c:pt>
                <c:pt idx="2">
                  <c:v>815273.6864999996</c:v>
                </c:pt>
                <c:pt idx="3">
                  <c:v>126080.76699999998</c:v>
                </c:pt>
              </c:numCache>
            </c:numRef>
          </c:val>
          <c:extLst>
            <c:ext xmlns:c16="http://schemas.microsoft.com/office/drawing/2014/chart" uri="{C3380CC4-5D6E-409C-BE32-E72D297353CC}">
              <c16:uniqueId val="{00000000-C62D-432D-9CB8-AE7888C8E6E0}"/>
            </c:ext>
          </c:extLst>
        </c:ser>
        <c:ser>
          <c:idx val="1"/>
          <c:order val="1"/>
          <c:tx>
            <c:strRef>
              <c:f>'Sales and Profit by Category'!$C$3</c:f>
              <c:strCache>
                <c:ptCount val="1"/>
                <c:pt idx="0">
                  <c:v>Total Profit</c:v>
                </c:pt>
              </c:strCache>
            </c:strRef>
          </c:tx>
          <c:spPr>
            <a:solidFill>
              <a:schemeClr val="accent2"/>
            </a:solidFill>
            <a:ln>
              <a:noFill/>
            </a:ln>
            <a:effectLst/>
          </c:spPr>
          <c:invertIfNegative val="0"/>
          <c:cat>
            <c:strRef>
              <c:f>'Sales and Profit by Category'!$A$4:$A$8</c:f>
              <c:strCache>
                <c:ptCount val="4"/>
                <c:pt idx="0">
                  <c:v>Electronics</c:v>
                </c:pt>
                <c:pt idx="1">
                  <c:v>Furniture</c:v>
                </c:pt>
                <c:pt idx="2">
                  <c:v>Home &amp; Lifestyle</c:v>
                </c:pt>
                <c:pt idx="3">
                  <c:v>Office Supplies</c:v>
                </c:pt>
              </c:strCache>
            </c:strRef>
          </c:cat>
          <c:val>
            <c:numRef>
              <c:f>'Sales and Profit by Category'!$C$4:$C$8</c:f>
              <c:numCache>
                <c:formatCode>\₱#,##0</c:formatCode>
                <c:ptCount val="4"/>
                <c:pt idx="0">
                  <c:v>852895.47519000049</c:v>
                </c:pt>
                <c:pt idx="1">
                  <c:v>498103.6618</c:v>
                </c:pt>
                <c:pt idx="2">
                  <c:v>163090.54918999999</c:v>
                </c:pt>
                <c:pt idx="3">
                  <c:v>-17652.460359999997</c:v>
                </c:pt>
              </c:numCache>
            </c:numRef>
          </c:val>
          <c:extLst>
            <c:ext xmlns:c16="http://schemas.microsoft.com/office/drawing/2014/chart" uri="{C3380CC4-5D6E-409C-BE32-E72D297353CC}">
              <c16:uniqueId val="{00000001-C62D-432D-9CB8-AE7888C8E6E0}"/>
            </c:ext>
          </c:extLst>
        </c:ser>
        <c:dLbls>
          <c:showLegendKey val="0"/>
          <c:showVal val="0"/>
          <c:showCatName val="0"/>
          <c:showSerName val="0"/>
          <c:showPercent val="0"/>
          <c:showBubbleSize val="0"/>
        </c:dLbls>
        <c:gapWidth val="219"/>
        <c:overlap val="-27"/>
        <c:axId val="906161360"/>
        <c:axId val="906161840"/>
      </c:barChart>
      <c:catAx>
        <c:axId val="90616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1840"/>
        <c:crosses val="autoZero"/>
        <c:auto val="1"/>
        <c:lblAlgn val="ctr"/>
        <c:lblOffset val="100"/>
        <c:noMultiLvlLbl val="0"/>
      </c:catAx>
      <c:valAx>
        <c:axId val="90616184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and Profit by Category!Profit and Sales by Category</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and Profit by Category FY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Category'!$B$3</c:f>
              <c:strCache>
                <c:ptCount val="1"/>
                <c:pt idx="0">
                  <c:v>Total Sales</c:v>
                </c:pt>
              </c:strCache>
            </c:strRef>
          </c:tx>
          <c:spPr>
            <a:solidFill>
              <a:schemeClr val="accent1"/>
            </a:solidFill>
            <a:ln>
              <a:noFill/>
            </a:ln>
            <a:effectLst/>
          </c:spPr>
          <c:invertIfNegative val="0"/>
          <c:cat>
            <c:strRef>
              <c:f>'Sales and Profit by Category'!$A$4:$A$8</c:f>
              <c:strCache>
                <c:ptCount val="4"/>
                <c:pt idx="0">
                  <c:v>Electronics</c:v>
                </c:pt>
                <c:pt idx="1">
                  <c:v>Furniture</c:v>
                </c:pt>
                <c:pt idx="2">
                  <c:v>Home &amp; Lifestyle</c:v>
                </c:pt>
                <c:pt idx="3">
                  <c:v>Office Supplies</c:v>
                </c:pt>
              </c:strCache>
            </c:strRef>
          </c:cat>
          <c:val>
            <c:numRef>
              <c:f>'Sales and Profit by Category'!$B$4:$B$8</c:f>
              <c:numCache>
                <c:formatCode>\₱#,##0</c:formatCode>
                <c:ptCount val="4"/>
                <c:pt idx="0">
                  <c:v>5732221.2404999966</c:v>
                </c:pt>
                <c:pt idx="1">
                  <c:v>2440570.8975000004</c:v>
                </c:pt>
                <c:pt idx="2">
                  <c:v>815273.6864999996</c:v>
                </c:pt>
                <c:pt idx="3">
                  <c:v>126080.76699999998</c:v>
                </c:pt>
              </c:numCache>
            </c:numRef>
          </c:val>
          <c:extLst>
            <c:ext xmlns:c16="http://schemas.microsoft.com/office/drawing/2014/chart" uri="{C3380CC4-5D6E-409C-BE32-E72D297353CC}">
              <c16:uniqueId val="{00000000-C2C4-43E2-BA6F-65979EDD2E50}"/>
            </c:ext>
          </c:extLst>
        </c:ser>
        <c:ser>
          <c:idx val="1"/>
          <c:order val="1"/>
          <c:tx>
            <c:strRef>
              <c:f>'Sales and Profit by Category'!$C$3</c:f>
              <c:strCache>
                <c:ptCount val="1"/>
                <c:pt idx="0">
                  <c:v>Total Profit</c:v>
                </c:pt>
              </c:strCache>
            </c:strRef>
          </c:tx>
          <c:spPr>
            <a:solidFill>
              <a:schemeClr val="accent2"/>
            </a:solidFill>
            <a:ln>
              <a:noFill/>
            </a:ln>
            <a:effectLst/>
          </c:spPr>
          <c:invertIfNegative val="0"/>
          <c:cat>
            <c:strRef>
              <c:f>'Sales and Profit by Category'!$A$4:$A$8</c:f>
              <c:strCache>
                <c:ptCount val="4"/>
                <c:pt idx="0">
                  <c:v>Electronics</c:v>
                </c:pt>
                <c:pt idx="1">
                  <c:v>Furniture</c:v>
                </c:pt>
                <c:pt idx="2">
                  <c:v>Home &amp; Lifestyle</c:v>
                </c:pt>
                <c:pt idx="3">
                  <c:v>Office Supplies</c:v>
                </c:pt>
              </c:strCache>
            </c:strRef>
          </c:cat>
          <c:val>
            <c:numRef>
              <c:f>'Sales and Profit by Category'!$C$4:$C$8</c:f>
              <c:numCache>
                <c:formatCode>\₱#,##0</c:formatCode>
                <c:ptCount val="4"/>
                <c:pt idx="0">
                  <c:v>852895.47519000049</c:v>
                </c:pt>
                <c:pt idx="1">
                  <c:v>498103.6618</c:v>
                </c:pt>
                <c:pt idx="2">
                  <c:v>163090.54918999999</c:v>
                </c:pt>
                <c:pt idx="3">
                  <c:v>-17652.460359999997</c:v>
                </c:pt>
              </c:numCache>
            </c:numRef>
          </c:val>
          <c:extLst>
            <c:ext xmlns:c16="http://schemas.microsoft.com/office/drawing/2014/chart" uri="{C3380CC4-5D6E-409C-BE32-E72D297353CC}">
              <c16:uniqueId val="{00000001-C2C4-43E2-BA6F-65979EDD2E50}"/>
            </c:ext>
          </c:extLst>
        </c:ser>
        <c:dLbls>
          <c:showLegendKey val="0"/>
          <c:showVal val="0"/>
          <c:showCatName val="0"/>
          <c:showSerName val="0"/>
          <c:showPercent val="0"/>
          <c:showBubbleSize val="0"/>
        </c:dLbls>
        <c:gapWidth val="219"/>
        <c:overlap val="-27"/>
        <c:axId val="906161360"/>
        <c:axId val="906161840"/>
      </c:barChart>
      <c:catAx>
        <c:axId val="90616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1840"/>
        <c:crosses val="autoZero"/>
        <c:auto val="1"/>
        <c:lblAlgn val="ctr"/>
        <c:lblOffset val="100"/>
        <c:noMultiLvlLbl val="0"/>
      </c:catAx>
      <c:valAx>
        <c:axId val="906161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and Profit by Region!Sales and Profit by Region</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kern="1200" spc="0" baseline="0">
                <a:solidFill>
                  <a:sysClr val="windowText" lastClr="000000">
                    <a:lumMod val="65000"/>
                    <a:lumOff val="35000"/>
                  </a:sysClr>
                </a:solidFill>
              </a:rPr>
              <a:t>Sales and Profit by Region FY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Region'!$B$3</c:f>
              <c:strCache>
                <c:ptCount val="1"/>
                <c:pt idx="0">
                  <c:v>Total Sales</c:v>
                </c:pt>
              </c:strCache>
            </c:strRef>
          </c:tx>
          <c:spPr>
            <a:solidFill>
              <a:schemeClr val="accent1"/>
            </a:solidFill>
            <a:ln>
              <a:noFill/>
            </a:ln>
            <a:effectLst/>
          </c:spPr>
          <c:invertIfNegative val="0"/>
          <c:cat>
            <c:strRef>
              <c:f>'Sales and Profit by Region'!$A$4:$A$8</c:f>
              <c:strCache>
                <c:ptCount val="4"/>
                <c:pt idx="0">
                  <c:v>East</c:v>
                </c:pt>
                <c:pt idx="1">
                  <c:v>North</c:v>
                </c:pt>
                <c:pt idx="2">
                  <c:v>South</c:v>
                </c:pt>
                <c:pt idx="3">
                  <c:v>West</c:v>
                </c:pt>
              </c:strCache>
            </c:strRef>
          </c:cat>
          <c:val>
            <c:numRef>
              <c:f>'Sales and Profit by Region'!$B$4:$B$8</c:f>
              <c:numCache>
                <c:formatCode>\₱#,##0</c:formatCode>
                <c:ptCount val="4"/>
                <c:pt idx="0">
                  <c:v>2607497.0980000021</c:v>
                </c:pt>
                <c:pt idx="1">
                  <c:v>2084247.9020000002</c:v>
                </c:pt>
                <c:pt idx="2">
                  <c:v>2268019.2354999995</c:v>
                </c:pt>
                <c:pt idx="3">
                  <c:v>2154382.3559999992</c:v>
                </c:pt>
              </c:numCache>
            </c:numRef>
          </c:val>
          <c:extLst>
            <c:ext xmlns:c16="http://schemas.microsoft.com/office/drawing/2014/chart" uri="{C3380CC4-5D6E-409C-BE32-E72D297353CC}">
              <c16:uniqueId val="{00000000-4FFE-48BB-B71F-2B748D6FD340}"/>
            </c:ext>
          </c:extLst>
        </c:ser>
        <c:ser>
          <c:idx val="1"/>
          <c:order val="1"/>
          <c:tx>
            <c:strRef>
              <c:f>'Sales and Profit by Region'!$C$3</c:f>
              <c:strCache>
                <c:ptCount val="1"/>
                <c:pt idx="0">
                  <c:v>Total Profit</c:v>
                </c:pt>
              </c:strCache>
            </c:strRef>
          </c:tx>
          <c:spPr>
            <a:solidFill>
              <a:schemeClr val="accent2"/>
            </a:solidFill>
            <a:ln>
              <a:noFill/>
            </a:ln>
            <a:effectLst/>
          </c:spPr>
          <c:invertIfNegative val="0"/>
          <c:cat>
            <c:strRef>
              <c:f>'Sales and Profit by Region'!$A$4:$A$8</c:f>
              <c:strCache>
                <c:ptCount val="4"/>
                <c:pt idx="0">
                  <c:v>East</c:v>
                </c:pt>
                <c:pt idx="1">
                  <c:v>North</c:v>
                </c:pt>
                <c:pt idx="2">
                  <c:v>South</c:v>
                </c:pt>
                <c:pt idx="3">
                  <c:v>West</c:v>
                </c:pt>
              </c:strCache>
            </c:strRef>
          </c:cat>
          <c:val>
            <c:numRef>
              <c:f>'Sales and Profit by Region'!$C$4:$C$8</c:f>
              <c:numCache>
                <c:formatCode>\₱#,##0</c:formatCode>
                <c:ptCount val="4"/>
                <c:pt idx="0">
                  <c:v>418844.15267999988</c:v>
                </c:pt>
                <c:pt idx="1">
                  <c:v>367803.03826000006</c:v>
                </c:pt>
                <c:pt idx="2">
                  <c:v>363838.19371000002</c:v>
                </c:pt>
                <c:pt idx="3">
                  <c:v>345951.84116999985</c:v>
                </c:pt>
              </c:numCache>
            </c:numRef>
          </c:val>
          <c:extLst>
            <c:ext xmlns:c16="http://schemas.microsoft.com/office/drawing/2014/chart" uri="{C3380CC4-5D6E-409C-BE32-E72D297353CC}">
              <c16:uniqueId val="{00000001-4FFE-48BB-B71F-2B748D6FD340}"/>
            </c:ext>
          </c:extLst>
        </c:ser>
        <c:dLbls>
          <c:showLegendKey val="0"/>
          <c:showVal val="0"/>
          <c:showCatName val="0"/>
          <c:showSerName val="0"/>
          <c:showPercent val="0"/>
          <c:showBubbleSize val="0"/>
        </c:dLbls>
        <c:gapWidth val="219"/>
        <c:overlap val="-27"/>
        <c:axId val="906117200"/>
        <c:axId val="906102320"/>
      </c:barChart>
      <c:catAx>
        <c:axId val="9061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02320"/>
        <c:crosses val="autoZero"/>
        <c:auto val="1"/>
        <c:lblAlgn val="ctr"/>
        <c:lblOffset val="100"/>
        <c:noMultiLvlLbl val="0"/>
      </c:catAx>
      <c:valAx>
        <c:axId val="906102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1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and Profit Trend!PivotTable3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Sales and Profit Trend FY</a:t>
            </a:r>
            <a:r>
              <a:rPr lang="en-PH" baseline="0"/>
              <a:t> 2025</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and Profit Trend'!$B$3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and Profit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and Profit Trend'!$B$4:$B$16</c:f>
              <c:numCache>
                <c:formatCode>\₱#,##0.00</c:formatCode>
                <c:ptCount val="12"/>
                <c:pt idx="0">
                  <c:v>605987.0675</c:v>
                </c:pt>
                <c:pt idx="1">
                  <c:v>489588.35199999996</c:v>
                </c:pt>
                <c:pt idx="2">
                  <c:v>1218851.4600000002</c:v>
                </c:pt>
                <c:pt idx="3">
                  <c:v>959716.70400000026</c:v>
                </c:pt>
                <c:pt idx="4">
                  <c:v>347485.69349999994</c:v>
                </c:pt>
                <c:pt idx="5">
                  <c:v>1425448.7045000002</c:v>
                </c:pt>
                <c:pt idx="6">
                  <c:v>390605.00899999996</c:v>
                </c:pt>
                <c:pt idx="7">
                  <c:v>771290.90449999971</c:v>
                </c:pt>
                <c:pt idx="8">
                  <c:v>429680.15300000005</c:v>
                </c:pt>
                <c:pt idx="9">
                  <c:v>623210.08750000002</c:v>
                </c:pt>
                <c:pt idx="10">
                  <c:v>936248.43900000001</c:v>
                </c:pt>
                <c:pt idx="11">
                  <c:v>916034.01700000011</c:v>
                </c:pt>
              </c:numCache>
            </c:numRef>
          </c:val>
          <c:smooth val="0"/>
          <c:extLst>
            <c:ext xmlns:c16="http://schemas.microsoft.com/office/drawing/2014/chart" uri="{C3380CC4-5D6E-409C-BE32-E72D297353CC}">
              <c16:uniqueId val="{00000000-2A33-4EF5-9DE9-FF5C75309E31}"/>
            </c:ext>
          </c:extLst>
        </c:ser>
        <c:ser>
          <c:idx val="1"/>
          <c:order val="1"/>
          <c:tx>
            <c:strRef>
              <c:f>'Monthly Sales and Profit Trend'!$C$3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and Profit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and Profit Trend'!$C$4:$C$16</c:f>
              <c:numCache>
                <c:formatCode>\₱#,##0.00</c:formatCode>
                <c:ptCount val="12"/>
                <c:pt idx="0">
                  <c:v>99784.884369999985</c:v>
                </c:pt>
                <c:pt idx="1">
                  <c:v>80249.472249999992</c:v>
                </c:pt>
                <c:pt idx="2">
                  <c:v>198394.16687999998</c:v>
                </c:pt>
                <c:pt idx="3">
                  <c:v>154358.76294000002</c:v>
                </c:pt>
                <c:pt idx="4">
                  <c:v>51466.188670000018</c:v>
                </c:pt>
                <c:pt idx="5">
                  <c:v>245588.6940799999</c:v>
                </c:pt>
                <c:pt idx="6">
                  <c:v>67516.879629999996</c:v>
                </c:pt>
                <c:pt idx="7">
                  <c:v>124616.21324999996</c:v>
                </c:pt>
                <c:pt idx="8">
                  <c:v>75723.352580000021</c:v>
                </c:pt>
                <c:pt idx="9">
                  <c:v>99176.010700000013</c:v>
                </c:pt>
                <c:pt idx="10">
                  <c:v>139943.52149999997</c:v>
                </c:pt>
                <c:pt idx="11">
                  <c:v>159619.07897000006</c:v>
                </c:pt>
              </c:numCache>
            </c:numRef>
          </c:val>
          <c:smooth val="0"/>
          <c:extLst>
            <c:ext xmlns:c16="http://schemas.microsoft.com/office/drawing/2014/chart" uri="{C3380CC4-5D6E-409C-BE32-E72D297353CC}">
              <c16:uniqueId val="{00000001-2A33-4EF5-9DE9-FF5C75309E31}"/>
            </c:ext>
          </c:extLst>
        </c:ser>
        <c:dLbls>
          <c:showLegendKey val="0"/>
          <c:showVal val="0"/>
          <c:showCatName val="0"/>
          <c:showSerName val="0"/>
          <c:showPercent val="0"/>
          <c:showBubbleSize val="0"/>
        </c:dLbls>
        <c:marker val="1"/>
        <c:smooth val="0"/>
        <c:axId val="1745561375"/>
        <c:axId val="1745559935"/>
      </c:lineChart>
      <c:catAx>
        <c:axId val="1745561375"/>
        <c:scaling>
          <c:orientation val="minMax"/>
        </c:scaling>
        <c:delete val="0"/>
        <c:axPos val="b"/>
        <c:numFmt formatCode="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559935"/>
        <c:crosses val="autoZero"/>
        <c:auto val="1"/>
        <c:lblAlgn val="ctr"/>
        <c:lblOffset val="100"/>
        <c:noMultiLvlLbl val="0"/>
      </c:catAx>
      <c:valAx>
        <c:axId val="1745559935"/>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56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279932</xdr:colOff>
      <xdr:row>24</xdr:row>
      <xdr:rowOff>0</xdr:rowOff>
    </xdr:from>
    <xdr:to>
      <xdr:col>8</xdr:col>
      <xdr:colOff>885264</xdr:colOff>
      <xdr:row>43</xdr:row>
      <xdr:rowOff>19050</xdr:rowOff>
    </xdr:to>
    <xdr:graphicFrame macro="">
      <xdr:nvGraphicFramePr>
        <xdr:cNvPr id="4" name="Chart 3">
          <a:extLst>
            <a:ext uri="{FF2B5EF4-FFF2-40B4-BE49-F238E27FC236}">
              <a16:creationId xmlns:a16="http://schemas.microsoft.com/office/drawing/2014/main" id="{C1EA2E90-2973-4CDD-A258-5BA0AF0B4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438150</xdr:colOff>
      <xdr:row>3</xdr:row>
      <xdr:rowOff>142875</xdr:rowOff>
    </xdr:from>
    <xdr:to>
      <xdr:col>1</xdr:col>
      <xdr:colOff>885825</xdr:colOff>
      <xdr:row>8</xdr:row>
      <xdr:rowOff>142875</xdr:rowOff>
    </xdr:to>
    <xdr:sp macro="" textlink="">
      <xdr:nvSpPr>
        <xdr:cNvPr id="8" name="Rectangle: Rounded Corners 7">
          <a:extLst>
            <a:ext uri="{FF2B5EF4-FFF2-40B4-BE49-F238E27FC236}">
              <a16:creationId xmlns:a16="http://schemas.microsoft.com/office/drawing/2014/main" id="{0EC8F646-BE32-C21C-6B39-AFD54C20992D}"/>
            </a:ext>
          </a:extLst>
        </xdr:cNvPr>
        <xdr:cNvSpPr/>
      </xdr:nvSpPr>
      <xdr:spPr>
        <a:xfrm>
          <a:off x="438150"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cap="none" spc="0">
              <a:ln w="0"/>
              <a:solidFill>
                <a:schemeClr val="tx1"/>
              </a:solidFill>
              <a:effectLst/>
            </a:rPr>
            <a:t>Total Sales</a:t>
          </a:r>
        </a:p>
        <a:p>
          <a:pPr algn="ctr"/>
          <a:r>
            <a:rPr lang="en-PH" sz="2800" b="1" cap="none" spc="0">
              <a:ln w="0"/>
              <a:solidFill>
                <a:schemeClr val="tx1"/>
              </a:solidFill>
              <a:effectLst/>
            </a:rPr>
            <a:t>9.11M</a:t>
          </a:r>
          <a:endParaRPr lang="en-PH" sz="3200" b="1" cap="none" spc="0">
            <a:ln w="0"/>
            <a:solidFill>
              <a:schemeClr val="tx1"/>
            </a:solidFill>
            <a:effectLst/>
          </a:endParaRPr>
        </a:p>
      </xdr:txBody>
    </xdr:sp>
    <xdr:clientData/>
  </xdr:twoCellAnchor>
  <xdr:twoCellAnchor>
    <xdr:from>
      <xdr:col>2</xdr:col>
      <xdr:colOff>38100</xdr:colOff>
      <xdr:row>3</xdr:row>
      <xdr:rowOff>142875</xdr:rowOff>
    </xdr:from>
    <xdr:to>
      <xdr:col>3</xdr:col>
      <xdr:colOff>171450</xdr:colOff>
      <xdr:row>8</xdr:row>
      <xdr:rowOff>142875</xdr:rowOff>
    </xdr:to>
    <mc:AlternateContent xmlns:mc="http://schemas.openxmlformats.org/markup-compatibility/2006" xmlns:a14="http://schemas.microsoft.com/office/drawing/2010/main">
      <mc:Choice Requires="a14">
        <xdr:sp macro="" textlink="">
          <xdr:nvSpPr>
            <xdr:cNvPr id="13" name="Rectangle: Rounded Corners 12">
              <a:extLst>
                <a:ext uri="{FF2B5EF4-FFF2-40B4-BE49-F238E27FC236}">
                  <a16:creationId xmlns:a16="http://schemas.microsoft.com/office/drawing/2014/main" id="{32573FA8-2128-7886-EFF0-0238D64B2F55}"/>
                </a:ext>
              </a:extLst>
            </xdr:cNvPr>
            <xdr:cNvSpPr/>
          </xdr:nvSpPr>
          <xdr:spPr>
            <a:xfrm>
              <a:off x="2105025"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cap="none" spc="0">
                  <a:ln w="0"/>
                  <a:solidFill>
                    <a:schemeClr val="tx1"/>
                  </a:solidFill>
                  <a:effectLst/>
                </a:rPr>
                <a:t>Total Profit</a:t>
              </a:r>
            </a:p>
            <a:p>
              <a:pPr algn="ctr"/>
              <a14:m>
                <m:oMath xmlns:m="http://schemas.openxmlformats.org/officeDocument/2006/math">
                  <m:r>
                    <a:rPr lang="en-PH" sz="2800" b="1" i="1" cap="none" spc="0">
                      <a:ln w="0"/>
                      <a:solidFill>
                        <a:schemeClr val="tx1"/>
                      </a:solidFill>
                      <a:effectLst/>
                      <a:latin typeface="Cambria Math" panose="02040503050406030204" pitchFamily="18" charset="0"/>
                      <a:ea typeface="Cambria Math" panose="02040503050406030204" pitchFamily="18" charset="0"/>
                    </a:rPr>
                    <m:t>~</m:t>
                  </m:r>
                </m:oMath>
              </a14:m>
              <a:r>
                <a:rPr lang="en-PH" sz="2800" b="1" cap="none" spc="0">
                  <a:ln w="0"/>
                  <a:solidFill>
                    <a:schemeClr val="tx1"/>
                  </a:solidFill>
                  <a:effectLst/>
                </a:rPr>
                <a:t>1.5M</a:t>
              </a:r>
              <a:endParaRPr lang="en-PH" sz="3200" b="1" cap="none" spc="0">
                <a:ln w="0"/>
                <a:solidFill>
                  <a:schemeClr val="tx1"/>
                </a:solidFill>
                <a:effectLst/>
              </a:endParaRPr>
            </a:p>
          </xdr:txBody>
        </xdr:sp>
      </mc:Choice>
      <mc:Fallback xmlns="">
        <xdr:sp macro="" textlink="">
          <xdr:nvSpPr>
            <xdr:cNvPr id="13" name="Rectangle: Rounded Corners 12">
              <a:extLst>
                <a:ext uri="{FF2B5EF4-FFF2-40B4-BE49-F238E27FC236}">
                  <a16:creationId xmlns:a16="http://schemas.microsoft.com/office/drawing/2014/main" id="{32573FA8-2128-7886-EFF0-0238D64B2F55}"/>
                </a:ext>
              </a:extLst>
            </xdr:cNvPr>
            <xdr:cNvSpPr/>
          </xdr:nvSpPr>
          <xdr:spPr>
            <a:xfrm>
              <a:off x="2105025"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cap="none" spc="0">
                  <a:ln w="0"/>
                  <a:solidFill>
                    <a:schemeClr val="tx1"/>
                  </a:solidFill>
                  <a:effectLst/>
                </a:rPr>
                <a:t>Total Profit</a:t>
              </a:r>
            </a:p>
            <a:p>
              <a:pPr algn="ctr"/>
              <a:r>
                <a:rPr lang="en-PH" sz="2800" b="1" i="0" cap="none" spc="0">
                  <a:ln w="0"/>
                  <a:solidFill>
                    <a:schemeClr val="tx1"/>
                  </a:solidFill>
                  <a:effectLst/>
                  <a:latin typeface="Cambria Math" panose="02040503050406030204" pitchFamily="18" charset="0"/>
                  <a:ea typeface="Cambria Math" panose="02040503050406030204" pitchFamily="18" charset="0"/>
                </a:rPr>
                <a:t>~</a:t>
              </a:r>
              <a:r>
                <a:rPr lang="en-PH" sz="2800" b="1" cap="none" spc="0">
                  <a:ln w="0"/>
                  <a:solidFill>
                    <a:schemeClr val="tx1"/>
                  </a:solidFill>
                  <a:effectLst/>
                </a:rPr>
                <a:t>1.5M</a:t>
              </a:r>
              <a:endParaRPr lang="en-PH" sz="3200" b="1" cap="none" spc="0">
                <a:ln w="0"/>
                <a:solidFill>
                  <a:schemeClr val="tx1"/>
                </a:solidFill>
                <a:effectLst/>
              </a:endParaRPr>
            </a:p>
          </xdr:txBody>
        </xdr:sp>
      </mc:Fallback>
    </mc:AlternateContent>
    <xdr:clientData/>
  </xdr:twoCellAnchor>
  <xdr:twoCellAnchor>
    <xdr:from>
      <xdr:col>3</xdr:col>
      <xdr:colOff>514350</xdr:colOff>
      <xdr:row>3</xdr:row>
      <xdr:rowOff>142875</xdr:rowOff>
    </xdr:from>
    <xdr:to>
      <xdr:col>5</xdr:col>
      <xdr:colOff>609600</xdr:colOff>
      <xdr:row>8</xdr:row>
      <xdr:rowOff>142875</xdr:rowOff>
    </xdr:to>
    <xdr:sp macro="" textlink="">
      <xdr:nvSpPr>
        <xdr:cNvPr id="14" name="Rectangle: Rounded Corners 13">
          <a:extLst>
            <a:ext uri="{FF2B5EF4-FFF2-40B4-BE49-F238E27FC236}">
              <a16:creationId xmlns:a16="http://schemas.microsoft.com/office/drawing/2014/main" id="{7FDF0505-A5A3-B98F-A64C-42C93C8C4B33}"/>
            </a:ext>
          </a:extLst>
        </xdr:cNvPr>
        <xdr:cNvSpPr/>
      </xdr:nvSpPr>
      <xdr:spPr>
        <a:xfrm>
          <a:off x="3771900"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cap="none" spc="0">
              <a:ln w="0"/>
              <a:solidFill>
                <a:schemeClr val="tx1"/>
              </a:solidFill>
              <a:effectLst/>
            </a:rPr>
            <a:t>Total Orders</a:t>
          </a:r>
        </a:p>
        <a:p>
          <a:pPr algn="ctr"/>
          <a:r>
            <a:rPr lang="en-PH" sz="3200" b="1" cap="none" spc="0">
              <a:ln w="0"/>
              <a:solidFill>
                <a:schemeClr val="tx1"/>
              </a:solidFill>
              <a:effectLst/>
            </a:rPr>
            <a:t>500</a:t>
          </a:r>
        </a:p>
      </xdr:txBody>
    </xdr:sp>
    <xdr:clientData/>
  </xdr:twoCellAnchor>
  <xdr:twoCellAnchor>
    <xdr:from>
      <xdr:col>5</xdr:col>
      <xdr:colOff>962025</xdr:colOff>
      <xdr:row>3</xdr:row>
      <xdr:rowOff>142875</xdr:rowOff>
    </xdr:from>
    <xdr:to>
      <xdr:col>6</xdr:col>
      <xdr:colOff>1162050</xdr:colOff>
      <xdr:row>8</xdr:row>
      <xdr:rowOff>142875</xdr:rowOff>
    </xdr:to>
    <xdr:sp macro="" textlink="">
      <xdr:nvSpPr>
        <xdr:cNvPr id="15" name="Rectangle: Rounded Corners 14">
          <a:extLst>
            <a:ext uri="{FF2B5EF4-FFF2-40B4-BE49-F238E27FC236}">
              <a16:creationId xmlns:a16="http://schemas.microsoft.com/office/drawing/2014/main" id="{7CCDC454-5EDD-D584-6EDE-4F1529EA7201}"/>
            </a:ext>
          </a:extLst>
        </xdr:cNvPr>
        <xdr:cNvSpPr/>
      </xdr:nvSpPr>
      <xdr:spPr>
        <a:xfrm>
          <a:off x="5448300"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chemeClr val="tx1"/>
              </a:solidFill>
              <a:effectLst/>
            </a:rPr>
            <a:t>Avg.</a:t>
          </a:r>
          <a:r>
            <a:rPr lang="en-PH" sz="1100" b="1" cap="none" spc="0" baseline="0">
              <a:ln w="0"/>
              <a:solidFill>
                <a:schemeClr val="tx1"/>
              </a:solidFill>
              <a:effectLst/>
            </a:rPr>
            <a:t> </a:t>
          </a:r>
          <a:r>
            <a:rPr lang="en-PH" sz="1100" b="1" cap="none" spc="0">
              <a:ln w="0"/>
              <a:solidFill>
                <a:schemeClr val="tx1"/>
              </a:solidFill>
              <a:effectLst/>
            </a:rPr>
            <a:t>Return</a:t>
          </a:r>
          <a:r>
            <a:rPr lang="en-PH" sz="1100" b="1" cap="none" spc="0" baseline="0">
              <a:ln w="0"/>
              <a:solidFill>
                <a:schemeClr val="tx1"/>
              </a:solidFill>
              <a:effectLst/>
            </a:rPr>
            <a:t> Rate</a:t>
          </a:r>
        </a:p>
        <a:p>
          <a:pPr algn="ctr"/>
          <a:r>
            <a:rPr lang="en-PH" sz="3200" b="1" cap="none" spc="0" baseline="0">
              <a:ln w="0"/>
              <a:solidFill>
                <a:schemeClr val="tx1"/>
              </a:solidFill>
              <a:effectLst/>
            </a:rPr>
            <a:t>4.6%</a:t>
          </a:r>
          <a:endParaRPr lang="en-PH" sz="6600" b="1" cap="none" spc="0">
            <a:ln w="0"/>
            <a:solidFill>
              <a:schemeClr val="tx1"/>
            </a:solidFill>
            <a:effectLst/>
          </a:endParaRPr>
        </a:p>
      </xdr:txBody>
    </xdr:sp>
    <xdr:clientData/>
  </xdr:twoCellAnchor>
  <xdr:twoCellAnchor>
    <xdr:from>
      <xdr:col>7</xdr:col>
      <xdr:colOff>342900</xdr:colOff>
      <xdr:row>3</xdr:row>
      <xdr:rowOff>142875</xdr:rowOff>
    </xdr:from>
    <xdr:to>
      <xdr:col>8</xdr:col>
      <xdr:colOff>476250</xdr:colOff>
      <xdr:row>8</xdr:row>
      <xdr:rowOff>142875</xdr:rowOff>
    </xdr:to>
    <xdr:sp macro="" textlink="">
      <xdr:nvSpPr>
        <xdr:cNvPr id="21" name="Rectangle: Rounded Corners 20">
          <a:extLst>
            <a:ext uri="{FF2B5EF4-FFF2-40B4-BE49-F238E27FC236}">
              <a16:creationId xmlns:a16="http://schemas.microsoft.com/office/drawing/2014/main" id="{31ED279B-0701-5CD8-299F-A7EBA8A72142}"/>
            </a:ext>
          </a:extLst>
        </xdr:cNvPr>
        <xdr:cNvSpPr/>
      </xdr:nvSpPr>
      <xdr:spPr>
        <a:xfrm>
          <a:off x="7143750" y="685800"/>
          <a:ext cx="1323975" cy="914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cap="none" spc="0">
              <a:ln w="0"/>
              <a:solidFill>
                <a:schemeClr val="tx1"/>
              </a:solidFill>
              <a:effectLst/>
            </a:rPr>
            <a:t>Average</a:t>
          </a:r>
          <a:r>
            <a:rPr lang="en-PH" sz="1200" b="1" cap="none" spc="0" baseline="0">
              <a:ln w="0"/>
              <a:solidFill>
                <a:schemeClr val="tx1"/>
              </a:solidFill>
              <a:effectLst/>
            </a:rPr>
            <a:t> Rating</a:t>
          </a:r>
          <a:endParaRPr lang="en-PH" sz="1200" b="1" cap="none" spc="0">
            <a:ln w="0"/>
            <a:solidFill>
              <a:schemeClr val="tx1"/>
            </a:solidFill>
            <a:effectLst/>
          </a:endParaRPr>
        </a:p>
        <a:p>
          <a:pPr algn="ctr"/>
          <a:r>
            <a:rPr lang="en-PH" sz="3200" b="1" cap="none" spc="0">
              <a:ln w="0"/>
              <a:solidFill>
                <a:schemeClr val="tx1"/>
              </a:solidFill>
              <a:effectLst/>
            </a:rPr>
            <a:t>4.3</a:t>
          </a:r>
        </a:p>
      </xdr:txBody>
    </xdr:sp>
    <xdr:clientData/>
  </xdr:twoCellAnchor>
  <xdr:twoCellAnchor>
    <xdr:from>
      <xdr:col>9</xdr:col>
      <xdr:colOff>212912</xdr:colOff>
      <xdr:row>23</xdr:row>
      <xdr:rowOff>179293</xdr:rowOff>
    </xdr:from>
    <xdr:to>
      <xdr:col>17</xdr:col>
      <xdr:colOff>422089</xdr:colOff>
      <xdr:row>42</xdr:row>
      <xdr:rowOff>179293</xdr:rowOff>
    </xdr:to>
    <xdr:graphicFrame macro="">
      <xdr:nvGraphicFramePr>
        <xdr:cNvPr id="3" name="Chart 2">
          <a:extLst>
            <a:ext uri="{FF2B5EF4-FFF2-40B4-BE49-F238E27FC236}">
              <a16:creationId xmlns:a16="http://schemas.microsoft.com/office/drawing/2014/main" id="{014345C2-5A86-4957-A30B-324D4BBC2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160806</xdr:colOff>
      <xdr:row>1</xdr:row>
      <xdr:rowOff>177613</xdr:rowOff>
    </xdr:from>
    <xdr:to>
      <xdr:col>17</xdr:col>
      <xdr:colOff>403413</xdr:colOff>
      <xdr:row>23</xdr:row>
      <xdr:rowOff>0</xdr:rowOff>
    </xdr:to>
    <xdr:graphicFrame macro="">
      <xdr:nvGraphicFramePr>
        <xdr:cNvPr id="5" name="Chart 4">
          <a:extLst>
            <a:ext uri="{FF2B5EF4-FFF2-40B4-BE49-F238E27FC236}">
              <a16:creationId xmlns:a16="http://schemas.microsoft.com/office/drawing/2014/main" id="{24F485B1-98F5-4884-9CD2-523A26739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285749</xdr:colOff>
      <xdr:row>1</xdr:row>
      <xdr:rowOff>161924</xdr:rowOff>
    </xdr:from>
    <xdr:to>
      <xdr:col>11</xdr:col>
      <xdr:colOff>190499</xdr:colOff>
      <xdr:row>22</xdr:row>
      <xdr:rowOff>161924</xdr:rowOff>
    </xdr:to>
    <xdr:graphicFrame macro="">
      <xdr:nvGraphicFramePr>
        <xdr:cNvPr id="3" name="Chart 2">
          <a:extLst>
            <a:ext uri="{FF2B5EF4-FFF2-40B4-BE49-F238E27FC236}">
              <a16:creationId xmlns:a16="http://schemas.microsoft.com/office/drawing/2014/main" id="{162CC698-4F56-3E9F-26CC-AC070D0DC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409575</xdr:colOff>
      <xdr:row>1</xdr:row>
      <xdr:rowOff>123825</xdr:rowOff>
    </xdr:from>
    <xdr:to>
      <xdr:col>9</xdr:col>
      <xdr:colOff>447675</xdr:colOff>
      <xdr:row>19</xdr:row>
      <xdr:rowOff>123825</xdr:rowOff>
    </xdr:to>
    <xdr:graphicFrame macro="">
      <xdr:nvGraphicFramePr>
        <xdr:cNvPr id="2" name="Chart 1">
          <a:extLst>
            <a:ext uri="{FF2B5EF4-FFF2-40B4-BE49-F238E27FC236}">
              <a16:creationId xmlns:a16="http://schemas.microsoft.com/office/drawing/2014/main" id="{B8D27508-A62B-755E-A4FA-76D49C7FE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361950</xdr:colOff>
      <xdr:row>2</xdr:row>
      <xdr:rowOff>14287</xdr:rowOff>
    </xdr:from>
    <xdr:to>
      <xdr:col>10</xdr:col>
      <xdr:colOff>287917</xdr:colOff>
      <xdr:row>20</xdr:row>
      <xdr:rowOff>104775</xdr:rowOff>
    </xdr:to>
    <xdr:graphicFrame macro="">
      <xdr:nvGraphicFramePr>
        <xdr:cNvPr id="3" name="Chart 2">
          <a:extLst>
            <a:ext uri="{FF2B5EF4-FFF2-40B4-BE49-F238E27FC236}">
              <a16:creationId xmlns:a16="http://schemas.microsoft.com/office/drawing/2014/main" id="{82788C4D-7B97-2E8F-B64B-8CC39CCA2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2</xdr:row>
      <xdr:rowOff>85726</xdr:rowOff>
    </xdr:from>
    <xdr:to>
      <xdr:col>13</xdr:col>
      <xdr:colOff>180975</xdr:colOff>
      <xdr:row>10</xdr:row>
      <xdr:rowOff>66676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4A44704-98F0-D4C5-028F-80E691729E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29775" y="447676"/>
              <a:ext cx="1828800" cy="14287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63909" refreshedDate="46162.914592939815" createdVersion="8" refreshedVersion="8" minRefreshableVersion="3" recordCount="500" xr:uid="{128A752E-A2FD-4E8E-952A-67E433573210}">
  <cacheSource type="worksheet">
    <worksheetSource name="SalesDataTable"/>
  </cacheSource>
  <cacheFields count="25">
    <cacheField name="Order_ID" numFmtId="0">
      <sharedItems/>
    </cacheField>
    <cacheField name="Order_Date" numFmtId="164">
      <sharedItems containsSemiMixedTypes="0" containsNonDate="0" containsDate="1" containsString="0" minDate="2025-01-03T00:00:00" maxDate="2026-01-01T00:00:00" count="284">
        <d v="2025-11-24T00:00:00"/>
        <d v="2025-11-29T00:00:00"/>
        <d v="2025-02-17T00:00:00"/>
        <d v="2025-12-05T00:00:00"/>
        <d v="2025-02-06T00:00:00"/>
        <d v="2025-02-03T00:00:00"/>
        <d v="2025-08-08T00:00:00"/>
        <d v="2025-10-11T00:00:00"/>
        <d v="2025-04-02T00:00:00"/>
        <d v="2025-05-03T00:00:00"/>
        <d v="2025-11-07T00:00:00"/>
        <d v="2025-12-29T00:00:00"/>
        <d v="2025-08-31T00:00:00"/>
        <d v="2025-04-08T00:00:00"/>
        <d v="2025-05-02T00:00:00"/>
        <d v="2025-09-07T00:00:00"/>
        <d v="2025-04-06T00:00:00"/>
        <d v="2025-06-10T00:00:00"/>
        <d v="2025-06-28T00:00:00"/>
        <d v="2025-02-24T00:00:00"/>
        <d v="2025-05-22T00:00:00"/>
        <d v="2025-10-10T00:00:00"/>
        <d v="2025-11-14T00:00:00"/>
        <d v="2025-03-23T00:00:00"/>
        <d v="2025-05-23T00:00:00"/>
        <d v="2025-10-23T00:00:00"/>
        <d v="2025-06-03T00:00:00"/>
        <d v="2025-06-05T00:00:00"/>
        <d v="2025-05-01T00:00:00"/>
        <d v="2025-05-05T00:00:00"/>
        <d v="2025-10-14T00:00:00"/>
        <d v="2025-08-14T00:00:00"/>
        <d v="2025-10-05T00:00:00"/>
        <d v="2025-10-07T00:00:00"/>
        <d v="2025-11-15T00:00:00"/>
        <d v="2025-08-04T00:00:00"/>
        <d v="2025-03-06T00:00:00"/>
        <d v="2025-10-22T00:00:00"/>
        <d v="2025-06-27T00:00:00"/>
        <d v="2025-11-30T00:00:00"/>
        <d v="2025-11-09T00:00:00"/>
        <d v="2025-07-28T00:00:00"/>
        <d v="2025-06-26T00:00:00"/>
        <d v="2025-10-29T00:00:00"/>
        <d v="2025-03-19T00:00:00"/>
        <d v="2025-08-15T00:00:00"/>
        <d v="2025-12-19T00:00:00"/>
        <d v="2025-08-06T00:00:00"/>
        <d v="2025-05-20T00:00:00"/>
        <d v="2025-12-11T00:00:00"/>
        <d v="2025-02-23T00:00:00"/>
        <d v="2025-09-21T00:00:00"/>
        <d v="2025-03-04T00:00:00"/>
        <d v="2025-03-20T00:00:00"/>
        <d v="2025-08-01T00:00:00"/>
        <d v="2025-07-13T00:00:00"/>
        <d v="2025-01-19T00:00:00"/>
        <d v="2025-05-16T00:00:00"/>
        <d v="2025-08-11T00:00:00"/>
        <d v="2025-07-30T00:00:00"/>
        <d v="2025-08-27T00:00:00"/>
        <d v="2025-04-28T00:00:00"/>
        <d v="2025-06-01T00:00:00"/>
        <d v="2025-02-28T00:00:00"/>
        <d v="2025-10-27T00:00:00"/>
        <d v="2025-03-01T00:00:00"/>
        <d v="2025-10-28T00:00:00"/>
        <d v="2025-10-06T00:00:00"/>
        <d v="2025-02-26T00:00:00"/>
        <d v="2025-07-05T00:00:00"/>
        <d v="2025-02-11T00:00:00"/>
        <d v="2025-12-26T00:00:00"/>
        <d v="2025-12-07T00:00:00"/>
        <d v="2025-10-21T00:00:00"/>
        <d v="2025-02-05T00:00:00"/>
        <d v="2025-03-22T00:00:00"/>
        <d v="2025-12-14T00:00:00"/>
        <d v="2025-03-31T00:00:00"/>
        <d v="2025-08-02T00:00:00"/>
        <d v="2025-06-23T00:00:00"/>
        <d v="2025-05-12T00:00:00"/>
        <d v="2025-11-18T00:00:00"/>
        <d v="2025-02-09T00:00:00"/>
        <d v="2025-06-25T00:00:00"/>
        <d v="2025-07-20T00:00:00"/>
        <d v="2025-04-20T00:00:00"/>
        <d v="2025-11-02T00:00:00"/>
        <d v="2025-05-09T00:00:00"/>
        <d v="2025-02-16T00:00:00"/>
        <d v="2025-03-16T00:00:00"/>
        <d v="2025-11-08T00:00:00"/>
        <d v="2025-03-15T00:00:00"/>
        <d v="2025-09-17T00:00:00"/>
        <d v="2025-03-10T00:00:00"/>
        <d v="2025-04-13T00:00:00"/>
        <d v="2025-07-17T00:00:00"/>
        <d v="2025-02-10T00:00:00"/>
        <d v="2025-12-10T00:00:00"/>
        <d v="2025-10-18T00:00:00"/>
        <d v="2025-10-15T00:00:00"/>
        <d v="2025-02-14T00:00:00"/>
        <d v="2025-09-03T00:00:00"/>
        <d v="2025-01-29T00:00:00"/>
        <d v="2025-11-25T00:00:00"/>
        <d v="2025-06-02T00:00:00"/>
        <d v="2025-06-30T00:00:00"/>
        <d v="2025-04-10T00:00:00"/>
        <d v="2025-03-25T00:00:00"/>
        <d v="2025-01-17T00:00:00"/>
        <d v="2025-04-17T00:00:00"/>
        <d v="2025-12-21T00:00:00"/>
        <d v="2025-05-21T00:00:00"/>
        <d v="2025-03-12T00:00:00"/>
        <d v="2025-01-05T00:00:00"/>
        <d v="2025-08-23T00:00:00"/>
        <d v="2025-04-05T00:00:00"/>
        <d v="2025-08-21T00:00:00"/>
        <d v="2025-10-08T00:00:00"/>
        <d v="2025-10-16T00:00:00"/>
        <d v="2025-08-07T00:00:00"/>
        <d v="2025-04-19T00:00:00"/>
        <d v="2025-09-12T00:00:00"/>
        <d v="2025-10-24T00:00:00"/>
        <d v="2025-08-24T00:00:00"/>
        <d v="2025-12-09T00:00:00"/>
        <d v="2025-09-30T00:00:00"/>
        <d v="2025-07-01T00:00:00"/>
        <d v="2025-12-31T00:00:00"/>
        <d v="2025-08-19T00:00:00"/>
        <d v="2025-07-14T00:00:00"/>
        <d v="2025-02-22T00:00:00"/>
        <d v="2025-09-24T00:00:00"/>
        <d v="2025-11-01T00:00:00"/>
        <d v="2025-07-06T00:00:00"/>
        <d v="2025-07-29T00:00:00"/>
        <d v="2025-08-09T00:00:00"/>
        <d v="2025-03-14T00:00:00"/>
        <d v="2025-11-28T00:00:00"/>
        <d v="2025-04-12T00:00:00"/>
        <d v="2025-09-28T00:00:00"/>
        <d v="2025-01-28T00:00:00"/>
        <d v="2025-04-23T00:00:00"/>
        <d v="2025-07-07T00:00:00"/>
        <d v="2025-12-27T00:00:00"/>
        <d v="2025-12-13T00:00:00"/>
        <d v="2025-03-08T00:00:00"/>
        <d v="2025-03-09T00:00:00"/>
        <d v="2025-11-27T00:00:00"/>
        <d v="2025-02-27T00:00:00"/>
        <d v="2025-02-07T00:00:00"/>
        <d v="2025-11-12T00:00:00"/>
        <d v="2025-08-12T00:00:00"/>
        <d v="2025-01-07T00:00:00"/>
        <d v="2025-10-20T00:00:00"/>
        <d v="2025-01-13T00:00:00"/>
        <d v="2025-06-17T00:00:00"/>
        <d v="2025-03-13T00:00:00"/>
        <d v="2025-09-27T00:00:00"/>
        <d v="2025-05-24T00:00:00"/>
        <d v="2025-09-10T00:00:00"/>
        <d v="2025-04-01T00:00:00"/>
        <d v="2025-08-03T00:00:00"/>
        <d v="2025-12-01T00:00:00"/>
        <d v="2025-05-18T00:00:00"/>
        <d v="2025-12-18T00:00:00"/>
        <d v="2025-03-30T00:00:00"/>
        <d v="2025-07-18T00:00:00"/>
        <d v="2025-02-21T00:00:00"/>
        <d v="2025-12-15T00:00:00"/>
        <d v="2025-04-27T00:00:00"/>
        <d v="2025-07-11T00:00:00"/>
        <d v="2025-07-04T00:00:00"/>
        <d v="2025-06-29T00:00:00"/>
        <d v="2025-12-16T00:00:00"/>
        <d v="2025-05-14T00:00:00"/>
        <d v="2025-02-19T00:00:00"/>
        <d v="2025-03-02T00:00:00"/>
        <d v="2025-09-08T00:00:00"/>
        <d v="2025-05-29T00:00:00"/>
        <d v="2025-01-11T00:00:00"/>
        <d v="2025-12-25T00:00:00"/>
        <d v="2025-01-24T00:00:00"/>
        <d v="2025-10-17T00:00:00"/>
        <d v="2025-08-18T00:00:00"/>
        <d v="2025-11-23T00:00:00"/>
        <d v="2025-12-04T00:00:00"/>
        <d v="2025-04-07T00:00:00"/>
        <d v="2025-01-25T00:00:00"/>
        <d v="2025-04-26T00:00:00"/>
        <d v="2025-01-21T00:00:00"/>
        <d v="2025-09-18T00:00:00"/>
        <d v="2025-04-16T00:00:00"/>
        <d v="2025-09-15T00:00:00"/>
        <d v="2025-10-09T00:00:00"/>
        <d v="2025-09-06T00:00:00"/>
        <d v="2025-05-15T00:00:00"/>
        <d v="2025-10-04T00:00:00"/>
        <d v="2025-11-11T00:00:00"/>
        <d v="2025-02-02T00:00:00"/>
        <d v="2025-09-04T00:00:00"/>
        <d v="2025-03-17T00:00:00"/>
        <d v="2025-09-16T00:00:00"/>
        <d v="2025-12-23T00:00:00"/>
        <d v="2025-12-02T00:00:00"/>
        <d v="2025-07-23T00:00:00"/>
        <d v="2025-11-04T00:00:00"/>
        <d v="2025-08-13T00:00:00"/>
        <d v="2025-10-03T00:00:00"/>
        <d v="2025-03-03T00:00:00"/>
        <d v="2025-11-10T00:00:00"/>
        <d v="2025-06-11T00:00:00"/>
        <d v="2025-07-15T00:00:00"/>
        <d v="2025-05-17T00:00:00"/>
        <d v="2025-07-19T00:00:00"/>
        <d v="2025-04-29T00:00:00"/>
        <d v="2025-06-14T00:00:00"/>
        <d v="2025-07-10T00:00:00"/>
        <d v="2025-01-22T00:00:00"/>
        <d v="2025-03-27T00:00:00"/>
        <d v="2025-11-17T00:00:00"/>
        <d v="2025-08-20T00:00:00"/>
        <d v="2025-07-24T00:00:00"/>
        <d v="2025-12-24T00:00:00"/>
        <d v="2025-05-28T00:00:00"/>
        <d v="2025-12-06T00:00:00"/>
        <d v="2025-09-14T00:00:00"/>
        <d v="2025-06-08T00:00:00"/>
        <d v="2025-01-16T00:00:00"/>
        <d v="2025-09-26T00:00:00"/>
        <d v="2025-01-03T00:00:00"/>
        <d v="2025-12-22T00:00:00"/>
        <d v="2025-12-28T00:00:00"/>
        <d v="2025-05-11T00:00:00"/>
        <d v="2025-06-07T00:00:00"/>
        <d v="2025-06-09T00:00:00"/>
        <d v="2025-08-30T00:00:00"/>
        <d v="2025-10-01T00:00:00"/>
        <d v="2025-10-30T00:00:00"/>
        <d v="2025-07-27T00:00:00"/>
        <d v="2025-03-18T00:00:00"/>
        <d v="2025-09-19T00:00:00"/>
        <d v="2025-11-06T00:00:00"/>
        <d v="2025-01-18T00:00:00"/>
        <d v="2025-02-12T00:00:00"/>
        <d v="2025-06-22T00:00:00"/>
        <d v="2025-05-10T00:00:00"/>
        <d v="2025-01-31T00:00:00"/>
        <d v="2025-05-13T00:00:00"/>
        <d v="2025-09-13T00:00:00"/>
        <d v="2025-10-02T00:00:00"/>
        <d v="2025-07-25T00:00:00"/>
        <d v="2025-09-01T00:00:00"/>
        <d v="2025-10-13T00:00:00"/>
        <d v="2025-01-15T00:00:00"/>
        <d v="2025-03-07T00:00:00"/>
        <d v="2025-07-08T00:00:00"/>
        <d v="2025-06-12T00:00:00"/>
        <d v="2025-02-15T00:00:00"/>
        <d v="2025-06-04T00:00:00"/>
        <d v="2025-01-10T00:00:00"/>
        <d v="2025-03-05T00:00:00"/>
        <d v="2025-02-20T00:00:00"/>
        <d v="2025-11-26T00:00:00"/>
        <d v="2025-08-25T00:00:00"/>
        <d v="2025-04-22T00:00:00"/>
        <d v="2025-12-17T00:00:00"/>
        <d v="2025-03-24T00:00:00"/>
        <d v="2025-02-13T00:00:00"/>
        <d v="2025-03-28T00:00:00"/>
        <d v="2025-04-15T00:00:00"/>
        <d v="2025-08-05T00:00:00"/>
        <d v="2025-12-30T00:00:00"/>
        <d v="2025-08-29T00:00:00"/>
        <d v="2025-09-20T00:00:00"/>
        <d v="2025-11-05T00:00:00"/>
        <d v="2025-05-04T00:00:00"/>
        <d v="2025-09-11T00:00:00"/>
        <d v="2025-09-09T00:00:00"/>
        <d v="2025-01-04T00:00:00"/>
        <d v="2025-07-31T00:00:00"/>
        <d v="2025-02-01T00:00:00"/>
        <d v="2025-08-22T00:00:00"/>
        <d v="2025-04-03T00:00:00"/>
        <d v="2025-10-12T00:00:00"/>
      </sharedItems>
      <fieldGroup par="24"/>
    </cacheField>
    <cacheField name="Ship_Date" numFmtId="164">
      <sharedItems containsSemiMixedTypes="0" containsNonDate="0" containsDate="1" containsString="0" minDate="2025-01-06T00:00:00" maxDate="2026-01-08T00:00:00"/>
    </cacheField>
    <cacheField name="Customer_ID" numFmtId="0">
      <sharedItems/>
    </cacheField>
    <cacheField name="Customer_Segment" numFmtId="0">
      <sharedItems/>
    </cacheField>
    <cacheField name="Country" numFmtId="0">
      <sharedItems/>
    </cacheField>
    <cacheField name="Region" numFmtId="0">
      <sharedItems count="4">
        <s v="South"/>
        <s v="West"/>
        <s v="East"/>
        <s v="North"/>
      </sharedItems>
    </cacheField>
    <cacheField name="City" numFmtId="0">
      <sharedItems/>
    </cacheField>
    <cacheField name="Product_Category" numFmtId="0">
      <sharedItems count="4">
        <s v="Electronics"/>
        <s v="Office Supplies"/>
        <s v="Home &amp; Lifestyle"/>
        <s v="Furniture"/>
      </sharedItems>
    </cacheField>
    <cacheField name="Product_Subcategory" numFmtId="0">
      <sharedItems/>
    </cacheField>
    <cacheField name="Product_Name" numFmtId="0">
      <sharedItems/>
    </cacheField>
    <cacheField name="Channel" numFmtId="0">
      <sharedItems/>
    </cacheField>
    <cacheField name="Payment_Method" numFmtId="0">
      <sharedItems/>
    </cacheField>
    <cacheField name="Quantity" numFmtId="0">
      <sharedItems containsSemiMixedTypes="0" containsString="0" containsNumber="1" containsInteger="1" minValue="1" maxValue="8"/>
    </cacheField>
    <cacheField name="Unit_Price" numFmtId="165">
      <sharedItems containsSemiMixedTypes="0" containsString="0" containsNumber="1" minValue="107.56" maxValue="61299.1"/>
    </cacheField>
    <cacheField name="Discount" numFmtId="9">
      <sharedItems containsSemiMixedTypes="0" containsString="0" containsNumber="1" minValue="0" maxValue="0.25"/>
    </cacheField>
    <cacheField name="Shipping_Cost" numFmtId="165">
      <sharedItems containsSemiMixedTypes="0" containsString="0" containsNumber="1" minValue="93.31" maxValue="7557.39"/>
    </cacheField>
    <cacheField name="Sales" numFmtId="165">
      <sharedItems containsSemiMixedTypes="0" containsString="0" containsNumber="1" minValue="86.048000000000002" maxValue="490392.8"/>
    </cacheField>
    <cacheField name="Profit" numFmtId="165">
      <sharedItems containsSemiMixedTypes="0" containsString="0" containsNumber="1" minValue="-3364.480160000001" maxValue="80713.313999999998"/>
    </cacheField>
    <cacheField name="Returned" numFmtId="0">
      <sharedItems/>
    </cacheField>
    <cacheField name="Rating" numFmtId="166">
      <sharedItems containsSemiMixedTypes="0" containsString="0" containsNumber="1" minValue="2.7" maxValue="5"/>
    </cacheField>
    <cacheField name="Delivery_Days" numFmtId="1">
      <sharedItems containsSemiMixedTypes="0" containsString="0" containsNumber="1" containsInteger="1" minValue="1" maxValue="7"/>
    </cacheField>
    <cacheField name="Return_Value" numFmtId="0">
      <sharedItems containsSemiMixedTypes="0" containsString="0" containsNumber="1" containsInteger="1" minValue="0" maxValue="1"/>
    </cacheField>
    <cacheField name="Margin" numFmtId="0" formula="Profit/Sales" databaseField="0"/>
    <cacheField name="Months (Order_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25148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202500001"/>
    <x v="0"/>
    <d v="2025-11-25T00:00:00"/>
    <s v="CUST-1006"/>
    <s v="Small Business"/>
    <s v="Philippines"/>
    <x v="0"/>
    <s v="Davao City"/>
    <x v="0"/>
    <s v="Laptop"/>
    <s v="Laptop"/>
    <s v="Marketplace"/>
    <s v="Cash on Delivery"/>
    <n v="1"/>
    <n v="52341.98"/>
    <n v="0"/>
    <n v="989.75"/>
    <n v="52341.98"/>
    <n v="8431.8063999999995"/>
    <s v="No"/>
    <n v="4.5999999999999996"/>
    <n v="1"/>
    <n v="0"/>
  </r>
  <r>
    <s v="ORD-202500002"/>
    <x v="1"/>
    <d v="2025-12-05T00:00:00"/>
    <s v="CUST-1139"/>
    <s v="Consumer"/>
    <s v="Philippines"/>
    <x v="1"/>
    <s v="Pasay"/>
    <x v="1"/>
    <s v="Printer Paper"/>
    <s v="Printer Paper"/>
    <s v="Marketplace"/>
    <s v="Debit Card"/>
    <n v="3"/>
    <n v="412.47"/>
    <n v="0"/>
    <n v="644.16999999999996"/>
    <n v="1237.4100000000001"/>
    <n v="-248.19879999999995"/>
    <s v="No"/>
    <n v="4.3"/>
    <n v="6"/>
    <n v="0"/>
  </r>
  <r>
    <s v="ORD-202500003"/>
    <x v="2"/>
    <d v="2025-02-21T00:00:00"/>
    <s v="CUST-1024"/>
    <s v="Consumer"/>
    <s v="Philippines"/>
    <x v="2"/>
    <s v="Pasig"/>
    <x v="1"/>
    <s v="Stapler"/>
    <s v="Stapler"/>
    <s v="Mobile App"/>
    <s v="Bank Transfer"/>
    <n v="1"/>
    <n v="251.67"/>
    <n v="0.05"/>
    <n v="588.48"/>
    <n v="239.08649999999997"/>
    <n v="-511.97232000000002"/>
    <s v="No"/>
    <n v="4.4000000000000004"/>
    <n v="4"/>
    <n v="0"/>
  </r>
  <r>
    <s v="ORD-202500004"/>
    <x v="3"/>
    <d v="2025-12-07T00:00:00"/>
    <s v="CUST-1197"/>
    <s v="Consumer"/>
    <s v="Philippines"/>
    <x v="3"/>
    <s v="Quezon City"/>
    <x v="2"/>
    <s v="Storage Bin"/>
    <s v="Storage Bin"/>
    <s v="Website"/>
    <s v="E-Wallet"/>
    <n v="1"/>
    <n v="542.62"/>
    <n v="0.1"/>
    <n v="488.18"/>
    <n v="488.358"/>
    <n v="-361.20691999999997"/>
    <s v="No"/>
    <n v="4.5"/>
    <n v="2"/>
    <n v="0"/>
  </r>
  <r>
    <s v="ORD-202500005"/>
    <x v="4"/>
    <d v="2025-02-11T00:00:00"/>
    <s v="CUST-1162"/>
    <s v="Consumer"/>
    <s v="Philippines"/>
    <x v="0"/>
    <s v="Davao City"/>
    <x v="3"/>
    <s v="Bookshelf"/>
    <s v="Bookshelf"/>
    <s v="Social Commerce"/>
    <s v="Cash on Delivery"/>
    <n v="1"/>
    <n v="6352.35"/>
    <n v="0.1"/>
    <n v="207.17"/>
    <n v="5717.1150000000007"/>
    <n v="1164.9376"/>
    <s v="No"/>
    <n v="4.5"/>
    <n v="5"/>
    <n v="0"/>
  </r>
  <r>
    <s v="ORD-202500006"/>
    <x v="5"/>
    <d v="2025-02-05T00:00:00"/>
    <s v="CUST-1145"/>
    <s v="Small Business"/>
    <s v="Philippines"/>
    <x v="2"/>
    <s v="Marikina"/>
    <x v="1"/>
    <s v="Stapler"/>
    <s v="Stapler"/>
    <s v="Retail Store"/>
    <s v="Bank Transfer"/>
    <n v="1"/>
    <n v="239.69"/>
    <n v="0.1"/>
    <n v="390.81"/>
    <n v="215.721"/>
    <n v="-321.77927999999997"/>
    <s v="No"/>
    <n v="3.9"/>
    <n v="2"/>
    <n v="0"/>
  </r>
  <r>
    <s v="ORD-202500007"/>
    <x v="6"/>
    <d v="2025-08-13T00:00:00"/>
    <s v="CUST-1102"/>
    <s v="Consumer"/>
    <s v="Philippines"/>
    <x v="0"/>
    <s v="Cagayan de Oro"/>
    <x v="0"/>
    <s v="Laptop"/>
    <s v="Laptop"/>
    <s v="Retail Store"/>
    <s v="Debit Card"/>
    <n v="3"/>
    <n v="58116.44"/>
    <n v="0"/>
    <n v="2731.45"/>
    <n v="174349.32"/>
    <n v="28651.427599999999"/>
    <s v="No"/>
    <n v="4.9000000000000004"/>
    <n v="5"/>
    <n v="0"/>
  </r>
  <r>
    <s v="ORD-202500008"/>
    <x v="7"/>
    <d v="2025-10-18T00:00:00"/>
    <s v="CUST-1002"/>
    <s v="Corporate"/>
    <s v="Philippines"/>
    <x v="3"/>
    <s v="Baguio"/>
    <x v="1"/>
    <s v="Pen Set"/>
    <s v="Pen Set"/>
    <s v="Website"/>
    <s v="Bank Transfer"/>
    <n v="1"/>
    <n v="158.58000000000001"/>
    <n v="0.1"/>
    <n v="492.6"/>
    <n v="142.72200000000001"/>
    <n v="-446.92896000000002"/>
    <s v="No"/>
    <n v="4.2"/>
    <n v="7"/>
    <n v="0"/>
  </r>
  <r>
    <s v="ORD-202500009"/>
    <x v="8"/>
    <d v="2025-04-07T00:00:00"/>
    <s v="CUST-1027"/>
    <s v="Small Business"/>
    <s v="Philippines"/>
    <x v="2"/>
    <s v="Marikina"/>
    <x v="0"/>
    <s v="Monitor"/>
    <s v="Monitor"/>
    <s v="Mobile App"/>
    <s v="Cash on Delivery"/>
    <n v="5"/>
    <n v="11656.52"/>
    <n v="0.05"/>
    <n v="1018"/>
    <n v="55368.47"/>
    <n v="8948.3245999999999"/>
    <s v="No"/>
    <n v="5"/>
    <n v="5"/>
    <n v="0"/>
  </r>
  <r>
    <s v="ORD-202500010"/>
    <x v="9"/>
    <d v="2025-05-04T00:00:00"/>
    <s v="CUST-1061"/>
    <s v="Small Business"/>
    <s v="Philippines"/>
    <x v="3"/>
    <s v="Manila"/>
    <x v="1"/>
    <s v="Printer Paper"/>
    <s v="Printer Paper"/>
    <s v="Social Commerce"/>
    <s v="Cash on Delivery"/>
    <n v="4"/>
    <n v="385.78"/>
    <n v="0.05"/>
    <n v="416.53"/>
    <n v="1465.9639999999997"/>
    <n v="52.578479999999956"/>
    <s v="No"/>
    <n v="4.3"/>
    <n v="1"/>
    <n v="0"/>
  </r>
  <r>
    <s v="ORD-202500011"/>
    <x v="10"/>
    <d v="2025-11-11T00:00:00"/>
    <s v="CUST-1054"/>
    <s v="Home Office"/>
    <s v="Philippines"/>
    <x v="0"/>
    <s v="Iloilo City"/>
    <x v="3"/>
    <s v="Bookshelf"/>
    <s v="Bookshelf"/>
    <s v="Mobile App"/>
    <s v="Cash on Delivery"/>
    <n v="2"/>
    <n v="6203.42"/>
    <n v="0"/>
    <n v="278.08999999999997"/>
    <n v="12406.84"/>
    <n v="2699.5515999999998"/>
    <s v="No"/>
    <n v="4.3"/>
    <n v="4"/>
    <n v="0"/>
  </r>
  <r>
    <s v="ORD-202500012"/>
    <x v="11"/>
    <d v="2026-01-04T00:00:00"/>
    <s v="CUST-1015"/>
    <s v="Consumer"/>
    <s v="Philippines"/>
    <x v="3"/>
    <s v="Baguio"/>
    <x v="0"/>
    <s v="Monitor"/>
    <s v="Monitor"/>
    <s v="Website"/>
    <s v="Bank Transfer"/>
    <n v="1"/>
    <n v="10116.629999999999"/>
    <n v="0.2"/>
    <n v="557.24"/>
    <n v="8093.3040000000001"/>
    <n v="899.55471999999986"/>
    <s v="No"/>
    <n v="4.2"/>
    <n v="6"/>
    <n v="0"/>
  </r>
  <r>
    <s v="ORD-202500013"/>
    <x v="12"/>
    <d v="2025-09-07T00:00:00"/>
    <s v="CUST-1104"/>
    <s v="Consumer"/>
    <s v="Philippines"/>
    <x v="3"/>
    <s v="Laoag"/>
    <x v="3"/>
    <s v="Filing Cabinet"/>
    <s v="Filing Cabinet"/>
    <s v="Mobile App"/>
    <s v="Credit Card"/>
    <n v="3"/>
    <n v="8461.7999999999993"/>
    <n v="0"/>
    <n v="690.28"/>
    <n v="25385.399999999998"/>
    <n v="5402.2159999999994"/>
    <s v="No"/>
    <n v="4.5"/>
    <n v="7"/>
    <n v="0"/>
  </r>
  <r>
    <s v="ORD-202500014"/>
    <x v="13"/>
    <d v="2025-04-13T00:00:00"/>
    <s v="CUST-1114"/>
    <s v="Consumer"/>
    <s v="Philippines"/>
    <x v="0"/>
    <s v="Iloilo City"/>
    <x v="3"/>
    <s v="Office Chair"/>
    <s v="Office Chair"/>
    <s v="Mobile App"/>
    <s v="Cash on Delivery"/>
    <n v="1"/>
    <n v="9142.9699999999993"/>
    <n v="0.05"/>
    <n v="225.56"/>
    <n v="8685.8214999999982"/>
    <n v="1859.0371599999994"/>
    <s v="No"/>
    <n v="4.0999999999999996"/>
    <n v="5"/>
    <n v="0"/>
  </r>
  <r>
    <s v="ORD-202500015"/>
    <x v="14"/>
    <d v="2025-05-04T00:00:00"/>
    <s v="CUST-1104"/>
    <s v="Corporate"/>
    <s v="Philippines"/>
    <x v="0"/>
    <s v="Cagayan de Oro"/>
    <x v="2"/>
    <s v="Coffee Maker"/>
    <s v="Coffee Maker"/>
    <s v="Mobile App"/>
    <s v="Bank Transfer"/>
    <n v="1"/>
    <n v="5353.06"/>
    <n v="0.05"/>
    <n v="401.41"/>
    <n v="5085.4070000000002"/>
    <n v="920.79582000000005"/>
    <s v="No"/>
    <n v="4.9000000000000004"/>
    <n v="2"/>
    <n v="0"/>
  </r>
  <r>
    <s v="ORD-202500016"/>
    <x v="15"/>
    <d v="2025-09-09T00:00:00"/>
    <s v="CUST-1048"/>
    <s v="Consumer"/>
    <s v="Philippines"/>
    <x v="3"/>
    <s v="Manila"/>
    <x v="1"/>
    <s v="Printer Paper"/>
    <s v="Printer Paper"/>
    <s v="Website"/>
    <s v="Bank Transfer"/>
    <n v="2"/>
    <n v="477.04"/>
    <n v="0"/>
    <n v="641.96"/>
    <n v="954.08"/>
    <n v="-336.65440000000001"/>
    <s v="No"/>
    <n v="4.3"/>
    <n v="2"/>
    <n v="0"/>
  </r>
  <r>
    <s v="ORD-202500017"/>
    <x v="16"/>
    <d v="2025-04-07T00:00:00"/>
    <s v="CUST-1152"/>
    <s v="Consumer"/>
    <s v="Philippines"/>
    <x v="0"/>
    <s v="Cagayan de Oro"/>
    <x v="0"/>
    <s v="Headphones"/>
    <s v="Headphones"/>
    <s v="Website"/>
    <s v="Cash on Delivery"/>
    <n v="1"/>
    <n v="3166.08"/>
    <n v="0.1"/>
    <n v="449.67"/>
    <n v="2849.4720000000002"/>
    <n v="63.234960000000058"/>
    <s v="No"/>
    <n v="4.3"/>
    <n v="1"/>
    <n v="0"/>
  </r>
  <r>
    <s v="ORD-202500018"/>
    <x v="17"/>
    <d v="2025-06-12T00:00:00"/>
    <s v="CUST-1067"/>
    <s v="Consumer"/>
    <s v="Philippines"/>
    <x v="2"/>
    <s v="Taguig"/>
    <x v="0"/>
    <s v="Laptop"/>
    <s v="Laptop"/>
    <s v="Website"/>
    <s v="Cash on Delivery"/>
    <n v="8"/>
    <n v="61299.1"/>
    <n v="0"/>
    <n v="7557.39"/>
    <n v="490392.8"/>
    <n v="80713.313999999998"/>
    <s v="No"/>
    <n v="5"/>
    <n v="2"/>
    <n v="0"/>
  </r>
  <r>
    <s v="ORD-202500019"/>
    <x v="18"/>
    <d v="2025-06-29T00:00:00"/>
    <s v="CUST-1062"/>
    <s v="Consumer"/>
    <s v="Philippines"/>
    <x v="0"/>
    <s v="Cagayan de Oro"/>
    <x v="2"/>
    <s v="Desk Lamp"/>
    <s v="Desk Lamp"/>
    <s v="Marketplace"/>
    <s v="Cash on Delivery"/>
    <n v="1"/>
    <n v="1462.67"/>
    <n v="0"/>
    <n v="480.07"/>
    <n v="1462.67"/>
    <n v="-99.775799999999947"/>
    <s v="No"/>
    <n v="4.5"/>
    <n v="1"/>
    <n v="0"/>
  </r>
  <r>
    <s v="ORD-202500020"/>
    <x v="19"/>
    <d v="2025-03-02T00:00:00"/>
    <s v="CUST-1141"/>
    <s v="Consumer"/>
    <s v="Philippines"/>
    <x v="2"/>
    <s v="Marikina"/>
    <x v="1"/>
    <s v="Notebook"/>
    <s v="Notebook"/>
    <s v="Marketplace"/>
    <s v="E-Wallet"/>
    <n v="2"/>
    <n v="114.64"/>
    <n v="0.2"/>
    <n v="112.39"/>
    <n v="183.42400000000001"/>
    <n v="-53.694319999999998"/>
    <s v="No"/>
    <n v="4.4000000000000004"/>
    <n v="6"/>
    <n v="0"/>
  </r>
  <r>
    <s v="ORD-202500021"/>
    <x v="20"/>
    <d v="2025-05-23T00:00:00"/>
    <s v="CUST-1000"/>
    <s v="Consumer"/>
    <s v="Philippines"/>
    <x v="0"/>
    <s v="Iloilo City"/>
    <x v="0"/>
    <s v="Wireless Mouse"/>
    <s v="Wireless Mouse"/>
    <s v="Mobile App"/>
    <s v="Bank Transfer"/>
    <n v="3"/>
    <n v="1096.27"/>
    <n v="0.2"/>
    <n v="523.21"/>
    <n v="2631.0480000000002"/>
    <n v="-49.621360000000038"/>
    <s v="No"/>
    <n v="4.8"/>
    <n v="1"/>
    <n v="0"/>
  </r>
  <r>
    <s v="ORD-202500022"/>
    <x v="21"/>
    <d v="2025-10-12T00:00:00"/>
    <s v="CUST-1110"/>
    <s v="Consumer"/>
    <s v="Philippines"/>
    <x v="2"/>
    <s v="Pasig"/>
    <x v="2"/>
    <s v="Air Purifier"/>
    <s v="Air Purifier"/>
    <s v="Retail Store"/>
    <s v="Debit Card"/>
    <n v="3"/>
    <n v="10260.76"/>
    <n v="0"/>
    <n v="860.87"/>
    <n v="30782.28"/>
    <n v="7142.5227999999997"/>
    <s v="No"/>
    <n v="4.4000000000000004"/>
    <n v="2"/>
    <n v="0"/>
  </r>
  <r>
    <s v="ORD-202500023"/>
    <x v="22"/>
    <d v="2025-11-20T00:00:00"/>
    <s v="CUST-1039"/>
    <s v="Home Office"/>
    <s v="Philippines"/>
    <x v="0"/>
    <s v="Davao City"/>
    <x v="2"/>
    <s v="Coffee Maker"/>
    <s v="Coffee Maker"/>
    <s v="Retail Store"/>
    <s v="Credit Card"/>
    <n v="1"/>
    <n v="5555.26"/>
    <n v="0.1"/>
    <n v="398.01"/>
    <n v="4999.7340000000004"/>
    <n v="901.92084000000023"/>
    <s v="No"/>
    <n v="4.2"/>
    <n v="6"/>
    <n v="0"/>
  </r>
  <r>
    <s v="ORD-202500024"/>
    <x v="23"/>
    <d v="2025-03-30T00:00:00"/>
    <s v="CUST-1179"/>
    <s v="Consumer"/>
    <s v="Philippines"/>
    <x v="3"/>
    <s v="Laoag"/>
    <x v="0"/>
    <s v="Wireless Mouse"/>
    <s v="Wireless Mouse"/>
    <s v="Website"/>
    <s v="Debit Card"/>
    <n v="1"/>
    <n v="1293.6099999999999"/>
    <n v="0"/>
    <n v="258.20999999999998"/>
    <n v="1293.6099999999999"/>
    <n v="-284.0822"/>
    <s v="Yes"/>
    <n v="3.1"/>
    <n v="7"/>
    <n v="1"/>
  </r>
  <r>
    <s v="ORD-202500025"/>
    <x v="24"/>
    <d v="2025-05-26T00:00:00"/>
    <s v="CUST-1164"/>
    <s v="Corporate"/>
    <s v="Philippines"/>
    <x v="2"/>
    <s v="Antipolo"/>
    <x v="0"/>
    <s v="Keyboard"/>
    <s v="Keyboard"/>
    <s v="Website"/>
    <s v="E-Wallet"/>
    <n v="1"/>
    <n v="1906.15"/>
    <n v="0"/>
    <n v="556.86"/>
    <n v="1906.15"/>
    <n v="-213.75299999999999"/>
    <s v="No"/>
    <n v="4.5999999999999996"/>
    <n v="3"/>
    <n v="0"/>
  </r>
  <r>
    <s v="ORD-202500026"/>
    <x v="25"/>
    <d v="2025-10-25T00:00:00"/>
    <s v="CUST-1065"/>
    <s v="Consumer"/>
    <s v="Philippines"/>
    <x v="1"/>
    <s v="Makati"/>
    <x v="3"/>
    <s v="Standing Desk"/>
    <s v="Standing Desk"/>
    <s v="Mobile App"/>
    <s v="Credit Card"/>
    <n v="6"/>
    <n v="20812.16"/>
    <n v="0.05"/>
    <n v="2331.23"/>
    <n v="118629.31199999999"/>
    <n v="26139.804879999996"/>
    <s v="No"/>
    <n v="4.3"/>
    <n v="2"/>
    <n v="0"/>
  </r>
  <r>
    <s v="ORD-202500027"/>
    <x v="26"/>
    <d v="2025-06-08T00:00:00"/>
    <s v="CUST-1079"/>
    <s v="Corporate"/>
    <s v="Philippines"/>
    <x v="2"/>
    <s v="Taguig"/>
    <x v="1"/>
    <s v="Desk Organizer"/>
    <s v="Desk Organizer"/>
    <s v="Website"/>
    <s v="Bank Transfer"/>
    <n v="3"/>
    <n v="695.62"/>
    <n v="0.1"/>
    <n v="210.5"/>
    <n v="1878.1740000000002"/>
    <n v="390.51568000000009"/>
    <s v="No"/>
    <n v="3.6"/>
    <n v="5"/>
    <n v="0"/>
  </r>
  <r>
    <s v="ORD-202500028"/>
    <x v="27"/>
    <d v="2025-06-08T00:00:00"/>
    <s v="CUST-1053"/>
    <s v="Consumer"/>
    <s v="Philippines"/>
    <x v="2"/>
    <s v="Taguig"/>
    <x v="3"/>
    <s v="Standing Desk"/>
    <s v="Standing Desk"/>
    <s v="Mobile App"/>
    <s v="Debit Card"/>
    <n v="3"/>
    <n v="17372.45"/>
    <n v="0.1"/>
    <n v="1214.74"/>
    <n v="46905.615000000005"/>
    <n v="10042.607600000001"/>
    <s v="No"/>
    <n v="4.8"/>
    <n v="3"/>
    <n v="0"/>
  </r>
  <r>
    <s v="ORD-202500029"/>
    <x v="28"/>
    <d v="2025-05-07T00:00:00"/>
    <s v="CUST-1079"/>
    <s v="Consumer"/>
    <s v="Philippines"/>
    <x v="0"/>
    <s v="Davao City"/>
    <x v="0"/>
    <s v="Monitor"/>
    <s v="Monitor"/>
    <s v="Social Commerce"/>
    <s v="Cash on Delivery"/>
    <n v="5"/>
    <n v="9920.33"/>
    <n v="0"/>
    <n v="1182.99"/>
    <n v="49601.65"/>
    <n v="7745.3070000000007"/>
    <s v="No"/>
    <n v="4.0999999999999996"/>
    <n v="6"/>
    <n v="0"/>
  </r>
  <r>
    <s v="ORD-202500030"/>
    <x v="29"/>
    <d v="2025-05-07T00:00:00"/>
    <s v="CUST-1167"/>
    <s v="Corporate"/>
    <s v="Philippines"/>
    <x v="3"/>
    <s v="Laoag"/>
    <x v="0"/>
    <s v="Headphones"/>
    <s v="Headphones"/>
    <s v="Mobile App"/>
    <s v="Cash on Delivery"/>
    <n v="1"/>
    <n v="3970.75"/>
    <n v="0.05"/>
    <n v="596.37"/>
    <n v="3772.2124999999996"/>
    <n v="82.628249999999866"/>
    <s v="No"/>
    <n v="3.9"/>
    <n v="2"/>
    <n v="0"/>
  </r>
  <r>
    <s v="ORD-202500031"/>
    <x v="30"/>
    <d v="2025-10-19T00:00:00"/>
    <s v="CUST-1081"/>
    <s v="Home Office"/>
    <s v="Philippines"/>
    <x v="1"/>
    <s v="Las Pinas"/>
    <x v="2"/>
    <s v="Storage Bin"/>
    <s v="Storage Bin"/>
    <s v="Retail Store"/>
    <s v="Bank Transfer"/>
    <n v="2"/>
    <n v="608.04"/>
    <n v="0.15"/>
    <n v="256.31"/>
    <n v="1033.6679999999999"/>
    <n v="12.443679999999972"/>
    <s v="No"/>
    <n v="4"/>
    <n v="5"/>
    <n v="0"/>
  </r>
  <r>
    <s v="ORD-202500032"/>
    <x v="31"/>
    <d v="2025-08-15T00:00:00"/>
    <s v="CUST-1182"/>
    <s v="Consumer"/>
    <s v="Philippines"/>
    <x v="2"/>
    <s v="Pasig"/>
    <x v="0"/>
    <s v="Headphones"/>
    <s v="Headphones"/>
    <s v="Website"/>
    <s v="Debit Card"/>
    <n v="1"/>
    <n v="3808.65"/>
    <n v="0.1"/>
    <n v="173.74"/>
    <n v="3427.7850000000003"/>
    <n v="443.26130000000001"/>
    <s v="No"/>
    <n v="4.4000000000000004"/>
    <n v="1"/>
    <n v="0"/>
  </r>
  <r>
    <s v="ORD-202500033"/>
    <x v="32"/>
    <d v="2025-10-09T00:00:00"/>
    <s v="CUST-1106"/>
    <s v="Consumer"/>
    <s v="Philippines"/>
    <x v="1"/>
    <s v="Las Pinas"/>
    <x v="2"/>
    <s v="Air Purifier"/>
    <s v="Air Purifier"/>
    <s v="Retail Store"/>
    <s v="Cash on Delivery"/>
    <n v="2"/>
    <n v="8376.7999999999993"/>
    <n v="0"/>
    <n v="760.78"/>
    <n v="16753.599999999999"/>
    <n v="3595.1559999999999"/>
    <s v="No"/>
    <n v="4.8"/>
    <n v="4"/>
    <n v="0"/>
  </r>
  <r>
    <s v="ORD-202500034"/>
    <x v="33"/>
    <d v="2025-10-14T00:00:00"/>
    <s v="CUST-1154"/>
    <s v="Home Office"/>
    <s v="Philippines"/>
    <x v="1"/>
    <s v="Paranaque"/>
    <x v="0"/>
    <s v="Wireless Mouse"/>
    <s v="Wireless Mouse"/>
    <s v="Website"/>
    <s v="E-Wallet"/>
    <n v="3"/>
    <n v="1343.33"/>
    <n v="0.1"/>
    <n v="619.54"/>
    <n v="3626.991"/>
    <n v="33.318380000000047"/>
    <s v="No"/>
    <n v="4.0999999999999996"/>
    <n v="7"/>
    <n v="0"/>
  </r>
  <r>
    <s v="ORD-202500035"/>
    <x v="34"/>
    <d v="2025-11-20T00:00:00"/>
    <s v="CUST-1006"/>
    <s v="Home Office"/>
    <s v="Philippines"/>
    <x v="3"/>
    <s v="Manila"/>
    <x v="1"/>
    <s v="Notebook"/>
    <s v="Notebook"/>
    <s v="Retail Store"/>
    <s v="Debit Card"/>
    <n v="1"/>
    <n v="119.25"/>
    <n v="0"/>
    <n v="268.08999999999997"/>
    <n v="119.25"/>
    <n v="-229.92999999999998"/>
    <s v="No"/>
    <n v="3.8"/>
    <n v="5"/>
    <n v="0"/>
  </r>
  <r>
    <s v="ORD-202500036"/>
    <x v="35"/>
    <d v="2025-08-07T00:00:00"/>
    <s v="CUST-1020"/>
    <s v="Corporate"/>
    <s v="Philippines"/>
    <x v="3"/>
    <s v="Baguio"/>
    <x v="0"/>
    <s v="Laptop"/>
    <s v="Laptop"/>
    <s v="Retail Store"/>
    <s v="Credit Card"/>
    <n v="4"/>
    <n v="60573.94"/>
    <n v="0"/>
    <n v="3726.05"/>
    <n v="242295.76"/>
    <n v="39887.186799999996"/>
    <s v="No"/>
    <n v="4.9000000000000004"/>
    <n v="3"/>
    <n v="0"/>
  </r>
  <r>
    <s v="ORD-202500037"/>
    <x v="36"/>
    <d v="2025-03-10T00:00:00"/>
    <s v="CUST-1171"/>
    <s v="Consumer"/>
    <s v="Philippines"/>
    <x v="0"/>
    <s v="Cagayan de Oro"/>
    <x v="1"/>
    <s v="Pen Set"/>
    <s v="Pen Set"/>
    <s v="Website"/>
    <s v="Cash on Delivery"/>
    <n v="7"/>
    <n v="197.19"/>
    <n v="0.1"/>
    <n v="194.05"/>
    <n v="1242.297"/>
    <n v="203.48504000000003"/>
    <s v="No"/>
    <n v="3.4"/>
    <n v="4"/>
    <n v="0"/>
  </r>
  <r>
    <s v="ORD-202500038"/>
    <x v="37"/>
    <d v="2025-10-28T00:00:00"/>
    <s v="CUST-1096"/>
    <s v="Consumer"/>
    <s v="Philippines"/>
    <x v="0"/>
    <s v="Cebu City"/>
    <x v="1"/>
    <s v="Notebook"/>
    <s v="Notebook"/>
    <s v="Website"/>
    <s v="E-Wallet"/>
    <n v="5"/>
    <n v="127.21"/>
    <n v="0"/>
    <n v="650.33000000000004"/>
    <n v="636.04999999999995"/>
    <n v="-446.79400000000004"/>
    <s v="No"/>
    <n v="3.8"/>
    <n v="6"/>
    <n v="0"/>
  </r>
  <r>
    <s v="ORD-202500039"/>
    <x v="38"/>
    <d v="2025-07-02T00:00:00"/>
    <s v="CUST-1109"/>
    <s v="Corporate"/>
    <s v="Philippines"/>
    <x v="3"/>
    <s v="Baguio"/>
    <x v="0"/>
    <s v="Wireless Mouse"/>
    <s v="Wireless Mouse"/>
    <s v="Retail Store"/>
    <s v="Credit Card"/>
    <n v="2"/>
    <n v="1186.3900000000001"/>
    <n v="0.2"/>
    <n v="377.64"/>
    <n v="1898.2240000000002"/>
    <n v="-35.959679999999992"/>
    <s v="No"/>
    <n v="4.5999999999999996"/>
    <n v="5"/>
    <n v="0"/>
  </r>
  <r>
    <s v="ORD-202500040"/>
    <x v="39"/>
    <d v="2025-12-03T00:00:00"/>
    <s v="CUST-1157"/>
    <s v="Small Business"/>
    <s v="Philippines"/>
    <x v="1"/>
    <s v="Las Pinas"/>
    <x v="3"/>
    <s v="Bookshelf"/>
    <s v="Bookshelf"/>
    <s v="Website"/>
    <s v="Debit Card"/>
    <n v="4"/>
    <n v="5888.99"/>
    <n v="0.15"/>
    <n v="572.34"/>
    <n v="20022.565999999999"/>
    <n v="4233.0758399999995"/>
    <s v="No"/>
    <n v="4.8"/>
    <n v="3"/>
    <n v="0"/>
  </r>
  <r>
    <s v="ORD-202500041"/>
    <x v="40"/>
    <d v="2025-11-15T00:00:00"/>
    <s v="CUST-1097"/>
    <s v="Consumer"/>
    <s v="Philippines"/>
    <x v="1"/>
    <s v="Pasay"/>
    <x v="0"/>
    <s v="Monitor"/>
    <s v="Monitor"/>
    <s v="Mobile App"/>
    <s v="E-Wallet"/>
    <n v="2"/>
    <n v="12585.06"/>
    <n v="0.1"/>
    <n v="615.02"/>
    <n v="22653.108"/>
    <n v="-1068.0821600000004"/>
    <s v="Yes"/>
    <n v="3.6"/>
    <n v="6"/>
    <n v="1"/>
  </r>
  <r>
    <s v="ORD-202500042"/>
    <x v="41"/>
    <d v="2025-08-01T00:00:00"/>
    <s v="CUST-1142"/>
    <s v="Small Business"/>
    <s v="Philippines"/>
    <x v="1"/>
    <s v="Las Pinas"/>
    <x v="3"/>
    <s v="Office Chair"/>
    <s v="Office Chair"/>
    <s v="Website"/>
    <s v="Debit Card"/>
    <n v="2"/>
    <n v="8100.43"/>
    <n v="0.1"/>
    <n v="533.35"/>
    <n v="14580.774000000001"/>
    <n v="2966.0357600000002"/>
    <s v="No"/>
    <n v="4.3"/>
    <n v="4"/>
    <n v="0"/>
  </r>
  <r>
    <s v="ORD-202500043"/>
    <x v="42"/>
    <d v="2025-06-30T00:00:00"/>
    <s v="CUST-1190"/>
    <s v="Corporate"/>
    <s v="Philippines"/>
    <x v="2"/>
    <s v="Taguig"/>
    <x v="0"/>
    <s v="Keyboard"/>
    <s v="Keyboard"/>
    <s v="Website"/>
    <s v="Debit Card"/>
    <n v="2"/>
    <n v="1985.16"/>
    <n v="0.2"/>
    <n v="532.95000000000005"/>
    <n v="3176.2560000000003"/>
    <n v="38.776079999999979"/>
    <s v="No"/>
    <n v="4.3"/>
    <n v="4"/>
    <n v="0"/>
  </r>
  <r>
    <s v="ORD-202500044"/>
    <x v="43"/>
    <d v="2025-11-05T00:00:00"/>
    <s v="CUST-1134"/>
    <s v="Corporate"/>
    <s v="Philippines"/>
    <x v="3"/>
    <s v="Quezon City"/>
    <x v="0"/>
    <s v="Keyboard"/>
    <s v="Keyboard"/>
    <s v="Website"/>
    <s v="Credit Card"/>
    <n v="3"/>
    <n v="1652.35"/>
    <n v="0"/>
    <n v="185.44"/>
    <n v="4957.0499999999993"/>
    <n v="706.82899999999995"/>
    <s v="No"/>
    <n v="3.9"/>
    <n v="7"/>
    <n v="0"/>
  </r>
  <r>
    <s v="ORD-202500045"/>
    <x v="36"/>
    <d v="2025-03-12T00:00:00"/>
    <s v="CUST-1192"/>
    <s v="Corporate"/>
    <s v="Philippines"/>
    <x v="3"/>
    <s v="Baguio"/>
    <x v="3"/>
    <s v="Filing Cabinet"/>
    <s v="Filing Cabinet"/>
    <s v="Website"/>
    <s v="Credit Card"/>
    <n v="1"/>
    <n v="8197.32"/>
    <n v="0"/>
    <n v="240.21"/>
    <n v="8197.32"/>
    <n v="1727.1467999999998"/>
    <s v="No"/>
    <n v="3.6"/>
    <n v="6"/>
    <n v="0"/>
  </r>
  <r>
    <s v="ORD-202500046"/>
    <x v="44"/>
    <d v="2025-03-21T00:00:00"/>
    <s v="CUST-1207"/>
    <s v="Corporate"/>
    <s v="Philippines"/>
    <x v="2"/>
    <s v="Antipolo"/>
    <x v="2"/>
    <s v="Air Purifier"/>
    <s v="Air Purifier"/>
    <s v="Mobile App"/>
    <s v="Bank Transfer"/>
    <n v="3"/>
    <n v="10613.61"/>
    <n v="0"/>
    <n v="855.48"/>
    <n v="31840.83"/>
    <n v="7423.1358000000018"/>
    <s v="No"/>
    <n v="4"/>
    <n v="2"/>
    <n v="0"/>
  </r>
  <r>
    <s v="ORD-202500047"/>
    <x v="45"/>
    <d v="2025-08-18T00:00:00"/>
    <s v="CUST-1150"/>
    <s v="Home Office"/>
    <s v="Philippines"/>
    <x v="2"/>
    <s v="Antipolo"/>
    <x v="1"/>
    <s v="Printer Paper"/>
    <s v="Printer Paper"/>
    <s v="Social Commerce"/>
    <s v="Debit Card"/>
    <n v="3"/>
    <n v="402.95"/>
    <n v="0"/>
    <n v="234.86"/>
    <n v="1208.8499999999999"/>
    <n v="151.97199999999998"/>
    <s v="No"/>
    <n v="4.5999999999999996"/>
    <n v="3"/>
    <n v="0"/>
  </r>
  <r>
    <s v="ORD-202500048"/>
    <x v="46"/>
    <d v="2025-12-24T00:00:00"/>
    <s v="CUST-1120"/>
    <s v="Consumer"/>
    <s v="Philippines"/>
    <x v="0"/>
    <s v="Iloilo City"/>
    <x v="1"/>
    <s v="Stapler"/>
    <s v="Stapler"/>
    <s v="Website"/>
    <s v="Debit Card"/>
    <n v="6"/>
    <n v="290.25"/>
    <n v="0.05"/>
    <n v="483"/>
    <n v="1654.425"/>
    <n v="46.41599999999994"/>
    <s v="No"/>
    <n v="4.7"/>
    <n v="5"/>
    <n v="0"/>
  </r>
  <r>
    <s v="ORD-202500049"/>
    <x v="47"/>
    <d v="2025-08-07T00:00:00"/>
    <s v="CUST-1139"/>
    <s v="Consumer"/>
    <s v="Philippines"/>
    <x v="0"/>
    <s v="Iloilo City"/>
    <x v="2"/>
    <s v="Air Purifier"/>
    <s v="Air Purifier"/>
    <s v="Website"/>
    <s v="E-Wallet"/>
    <n v="3"/>
    <n v="10709.08"/>
    <n v="0.2"/>
    <n v="812.23"/>
    <n v="25701.792000000001"/>
    <n v="5870.235920000001"/>
    <s v="No"/>
    <n v="4.2"/>
    <n v="1"/>
    <n v="0"/>
  </r>
  <r>
    <s v="ORD-202500050"/>
    <x v="48"/>
    <d v="2025-05-25T00:00:00"/>
    <s v="CUST-1138"/>
    <s v="Corporate"/>
    <s v="Philippines"/>
    <x v="3"/>
    <s v="Manila"/>
    <x v="2"/>
    <s v="Desk Lamp"/>
    <s v="Desk Lamp"/>
    <s v="Marketplace"/>
    <s v="Credit Card"/>
    <n v="1"/>
    <n v="1519.15"/>
    <n v="0.15"/>
    <n v="430.65"/>
    <n v="1291.2775000000001"/>
    <n v="-94.91784999999993"/>
    <s v="No"/>
    <n v="4.8"/>
    <n v="5"/>
    <n v="0"/>
  </r>
  <r>
    <s v="ORD-202500051"/>
    <x v="49"/>
    <d v="2025-12-18T00:00:00"/>
    <s v="CUST-1068"/>
    <s v="Corporate"/>
    <s v="Philippines"/>
    <x v="0"/>
    <s v="Cagayan de Oro"/>
    <x v="3"/>
    <s v="Filing Cabinet"/>
    <s v="Filing Cabinet"/>
    <s v="Social Commerce"/>
    <s v="Debit Card"/>
    <n v="8"/>
    <n v="7277.51"/>
    <n v="0.15"/>
    <n v="1505.66"/>
    <n v="49487.067999999999"/>
    <n v="10371.23632"/>
    <s v="No"/>
    <n v="3.9"/>
    <n v="7"/>
    <n v="0"/>
  </r>
  <r>
    <s v="ORD-202500052"/>
    <x v="50"/>
    <d v="2025-03-02T00:00:00"/>
    <s v="CUST-1041"/>
    <s v="Consumer"/>
    <s v="Philippines"/>
    <x v="1"/>
    <s v="Pasay"/>
    <x v="1"/>
    <s v="Stapler"/>
    <s v="Stapler"/>
    <s v="Retail Store"/>
    <s v="Cash on Delivery"/>
    <n v="1"/>
    <n v="235.67"/>
    <n v="0"/>
    <n v="149.61000000000001"/>
    <n v="235.67"/>
    <n v="-74.195600000000013"/>
    <s v="No"/>
    <n v="4.5"/>
    <n v="7"/>
    <n v="0"/>
  </r>
  <r>
    <s v="ORD-202500053"/>
    <x v="51"/>
    <d v="2025-09-28T00:00:00"/>
    <s v="CUST-1000"/>
    <s v="Corporate"/>
    <s v="Philippines"/>
    <x v="1"/>
    <s v="Las Pinas"/>
    <x v="0"/>
    <s v="Headphones"/>
    <s v="Headphones"/>
    <s v="Mobile App"/>
    <s v="Bank Transfer"/>
    <n v="3"/>
    <n v="3877.99"/>
    <n v="0"/>
    <n v="567.55999999999995"/>
    <n v="11633.97"/>
    <n v="1526.5545999999999"/>
    <s v="No"/>
    <n v="3.6"/>
    <n v="7"/>
    <n v="0"/>
  </r>
  <r>
    <s v="ORD-202500054"/>
    <x v="52"/>
    <d v="2025-03-05T00:00:00"/>
    <s v="CUST-1161"/>
    <s v="Corporate"/>
    <s v="Philippines"/>
    <x v="0"/>
    <s v="Davao City"/>
    <x v="0"/>
    <s v="Laptop"/>
    <s v="Laptop"/>
    <s v="Mobile App"/>
    <s v="Credit Card"/>
    <n v="1"/>
    <n v="58885.93"/>
    <n v="0"/>
    <n v="1503.11"/>
    <n v="58885.93"/>
    <n v="9096.357399999999"/>
    <s v="No"/>
    <n v="4.5999999999999996"/>
    <n v="1"/>
    <n v="0"/>
  </r>
  <r>
    <s v="ORD-202500055"/>
    <x v="53"/>
    <d v="2025-03-24T00:00:00"/>
    <s v="CUST-1183"/>
    <s v="Consumer"/>
    <s v="Philippines"/>
    <x v="2"/>
    <s v="Taguig"/>
    <x v="2"/>
    <s v="Storage Bin"/>
    <s v="Storage Bin"/>
    <s v="Website"/>
    <s v="Cash on Delivery"/>
    <n v="1"/>
    <n v="515.45000000000005"/>
    <n v="0.05"/>
    <n v="513.12"/>
    <n v="489.67750000000001"/>
    <n v="-385.80385000000001"/>
    <s v="No"/>
    <n v="5"/>
    <n v="4"/>
    <n v="0"/>
  </r>
  <r>
    <s v="ORD-202500056"/>
    <x v="54"/>
    <d v="2025-08-04T00:00:00"/>
    <s v="CUST-1201"/>
    <s v="Corporate"/>
    <s v="Philippines"/>
    <x v="3"/>
    <s v="Baguio"/>
    <x v="1"/>
    <s v="Desk Organizer"/>
    <s v="Desk Organizer"/>
    <s v="Mobile App"/>
    <s v="Bank Transfer"/>
    <n v="5"/>
    <n v="709.77"/>
    <n v="0.05"/>
    <n v="322.72000000000003"/>
    <n v="3371.4074999999998"/>
    <n v="756.13040000000001"/>
    <s v="No"/>
    <n v="4.7"/>
    <n v="3"/>
    <n v="0"/>
  </r>
  <r>
    <s v="ORD-202500057"/>
    <x v="55"/>
    <d v="2025-07-17T00:00:00"/>
    <s v="CUST-1082"/>
    <s v="Small Business"/>
    <s v="Philippines"/>
    <x v="0"/>
    <s v="Cagayan de Oro"/>
    <x v="0"/>
    <s v="Wireless Mouse"/>
    <s v="Wireless Mouse"/>
    <s v="Website"/>
    <s v="Bank Transfer"/>
    <n v="3"/>
    <n v="1348.11"/>
    <n v="0"/>
    <n v="518.97"/>
    <n v="4044.33"/>
    <n v="209.00939999999991"/>
    <s v="No"/>
    <n v="4.9000000000000004"/>
    <n v="4"/>
    <n v="0"/>
  </r>
  <r>
    <s v="ORD-202500058"/>
    <x v="56"/>
    <d v="2025-01-21T00:00:00"/>
    <s v="CUST-1128"/>
    <s v="Home Office"/>
    <s v="Philippines"/>
    <x v="2"/>
    <s v="Antipolo"/>
    <x v="2"/>
    <s v="Storage Bin"/>
    <s v="Storage Bin"/>
    <s v="Website"/>
    <s v="Bank Transfer"/>
    <n v="1"/>
    <n v="507.79"/>
    <n v="0.15"/>
    <n v="640.49"/>
    <n v="431.62150000000003"/>
    <n v="-528.26841000000002"/>
    <s v="No"/>
    <n v="4.3"/>
    <n v="2"/>
    <n v="0"/>
  </r>
  <r>
    <s v="ORD-202500059"/>
    <x v="57"/>
    <d v="2025-05-19T00:00:00"/>
    <s v="CUST-1159"/>
    <s v="Corporate"/>
    <s v="Philippines"/>
    <x v="3"/>
    <s v="Baguio"/>
    <x v="2"/>
    <s v="Storage Bin"/>
    <s v="Storage Bin"/>
    <s v="Social Commerce"/>
    <s v="Bank Transfer"/>
    <n v="5"/>
    <n v="489.92"/>
    <n v="0"/>
    <n v="476.51"/>
    <n v="2449.6"/>
    <n v="160.38599999999997"/>
    <s v="No"/>
    <n v="5"/>
    <n v="3"/>
    <n v="0"/>
  </r>
  <r>
    <s v="ORD-202500060"/>
    <x v="58"/>
    <d v="2025-08-12T00:00:00"/>
    <s v="CUST-1194"/>
    <s v="Corporate"/>
    <s v="Philippines"/>
    <x v="3"/>
    <s v="Laoag"/>
    <x v="0"/>
    <s v="Keyboard"/>
    <s v="Keyboard"/>
    <s v="Social Commerce"/>
    <s v="Credit Card"/>
    <n v="2"/>
    <n v="1614.3"/>
    <n v="0"/>
    <n v="373.92"/>
    <n v="3228.6"/>
    <n v="207.22799999999989"/>
    <s v="No"/>
    <n v="4.3"/>
    <n v="1"/>
    <n v="0"/>
  </r>
  <r>
    <s v="ORD-202500061"/>
    <x v="59"/>
    <d v="2025-08-04T00:00:00"/>
    <s v="CUST-1174"/>
    <s v="Small Business"/>
    <s v="Philippines"/>
    <x v="0"/>
    <s v="Davao City"/>
    <x v="0"/>
    <s v="Wireless Mouse"/>
    <s v="Wireless Mouse"/>
    <s v="Marketplace"/>
    <s v="Debit Card"/>
    <n v="2"/>
    <n v="1265.94"/>
    <n v="0"/>
    <n v="481.58"/>
    <n v="2531.88"/>
    <n v="-25.841599999999971"/>
    <s v="No"/>
    <n v="3.9"/>
    <n v="5"/>
    <n v="0"/>
  </r>
  <r>
    <s v="ORD-202500062"/>
    <x v="60"/>
    <d v="2025-08-30T00:00:00"/>
    <s v="CUST-1173"/>
    <s v="Corporate"/>
    <s v="Philippines"/>
    <x v="3"/>
    <s v="Laoag"/>
    <x v="2"/>
    <s v="Desk Lamp"/>
    <s v="Desk Lamp"/>
    <s v="Marketplace"/>
    <s v="Bank Transfer"/>
    <n v="3"/>
    <n v="1322.17"/>
    <n v="0"/>
    <n v="709.14"/>
    <n v="3966.51"/>
    <n v="322.15260000000001"/>
    <s v="No"/>
    <n v="3.5"/>
    <n v="3"/>
    <n v="0"/>
  </r>
  <r>
    <s v="ORD-202500063"/>
    <x v="19"/>
    <d v="2025-02-26T00:00:00"/>
    <s v="CUST-1097"/>
    <s v="Corporate"/>
    <s v="Philippines"/>
    <x v="2"/>
    <s v="Pasig"/>
    <x v="0"/>
    <s v="Wireless Mouse"/>
    <s v="Wireless Mouse"/>
    <s v="Website"/>
    <s v="Cash on Delivery"/>
    <n v="5"/>
    <n v="1336.19"/>
    <n v="0.25"/>
    <n v="699.27"/>
    <n v="5010.7125000000005"/>
    <n v="202.65825000000007"/>
    <s v="No"/>
    <n v="4.8"/>
    <n v="2"/>
    <n v="0"/>
  </r>
  <r>
    <s v="ORD-202500064"/>
    <x v="61"/>
    <d v="2025-05-03T00:00:00"/>
    <s v="CUST-1205"/>
    <s v="Consumer"/>
    <s v="Philippines"/>
    <x v="0"/>
    <s v="Iloilo City"/>
    <x v="1"/>
    <s v="Notebook"/>
    <s v="Notebook"/>
    <s v="Marketplace"/>
    <s v="Credit Card"/>
    <n v="2"/>
    <n v="121.47"/>
    <n v="0.05"/>
    <n v="501.09"/>
    <n v="230.79299999999998"/>
    <n v="-427.23623999999995"/>
    <s v="No"/>
    <n v="3.5"/>
    <n v="5"/>
    <n v="0"/>
  </r>
  <r>
    <s v="ORD-202500065"/>
    <x v="62"/>
    <d v="2025-06-04T00:00:00"/>
    <s v="CUST-1191"/>
    <s v="Consumer"/>
    <s v="Philippines"/>
    <x v="0"/>
    <s v="Davao City"/>
    <x v="1"/>
    <s v="Pen Set"/>
    <s v="Pen Set"/>
    <s v="Mobile App"/>
    <s v="E-Wallet"/>
    <n v="4"/>
    <n v="172.28"/>
    <n v="0.15"/>
    <n v="364.99"/>
    <n v="585.75199999999995"/>
    <n v="-177.54936000000001"/>
    <s v="No"/>
    <n v="4.3"/>
    <n v="3"/>
    <n v="0"/>
  </r>
  <r>
    <s v="ORD-202500066"/>
    <x v="63"/>
    <d v="2025-03-04T00:00:00"/>
    <s v="CUST-1019"/>
    <s v="Consumer"/>
    <s v="Philippines"/>
    <x v="0"/>
    <s v="Cagayan de Oro"/>
    <x v="2"/>
    <s v="Desk Lamp"/>
    <s v="Desk Lamp"/>
    <s v="Website"/>
    <s v="Bank Transfer"/>
    <n v="1"/>
    <n v="1353.26"/>
    <n v="0.05"/>
    <n v="483.81"/>
    <n v="1285.597"/>
    <n v="-149.55477999999999"/>
    <s v="No"/>
    <n v="3.9"/>
    <n v="4"/>
    <n v="0"/>
  </r>
  <r>
    <s v="ORD-202500067"/>
    <x v="64"/>
    <d v="2025-10-31T00:00:00"/>
    <s v="CUST-1210"/>
    <s v="Corporate"/>
    <s v="Philippines"/>
    <x v="2"/>
    <s v="Antipolo"/>
    <x v="1"/>
    <s v="Stapler"/>
    <s v="Stapler"/>
    <s v="Website"/>
    <s v="Cash on Delivery"/>
    <n v="2"/>
    <n v="276.39"/>
    <n v="0.1"/>
    <n v="450.47"/>
    <n v="497.50200000000001"/>
    <n v="-291.26936000000001"/>
    <s v="No"/>
    <n v="4.2"/>
    <n v="4"/>
    <n v="0"/>
  </r>
  <r>
    <s v="ORD-202500068"/>
    <x v="65"/>
    <d v="2025-03-03T00:00:00"/>
    <s v="CUST-1011"/>
    <s v="Home Office"/>
    <s v="Philippines"/>
    <x v="2"/>
    <s v="Taguig"/>
    <x v="0"/>
    <s v="Monitor"/>
    <s v="Monitor"/>
    <s v="Retail Store"/>
    <s v="Debit Card"/>
    <n v="2"/>
    <n v="10904.34"/>
    <n v="0.2"/>
    <n v="804.13"/>
    <n v="17446.944"/>
    <n v="2336.3199199999999"/>
    <s v="No"/>
    <n v="3.7"/>
    <n v="2"/>
    <n v="0"/>
  </r>
  <r>
    <s v="ORD-202500069"/>
    <x v="66"/>
    <d v="2025-11-03T00:00:00"/>
    <s v="CUST-1186"/>
    <s v="Consumer"/>
    <s v="Philippines"/>
    <x v="1"/>
    <s v="Makati"/>
    <x v="2"/>
    <s v="Storage Bin"/>
    <s v="Storage Bin"/>
    <s v="Social Commerce"/>
    <s v="E-Wallet"/>
    <n v="1"/>
    <n v="545.14"/>
    <n v="0"/>
    <n v="629.99"/>
    <n v="545.14"/>
    <n v="-488.25360000000001"/>
    <s v="No"/>
    <n v="4.8"/>
    <n v="6"/>
    <n v="0"/>
  </r>
  <r>
    <s v="ORD-202500070"/>
    <x v="67"/>
    <d v="2025-10-12T00:00:00"/>
    <s v="CUST-1091"/>
    <s v="Consumer"/>
    <s v="Philippines"/>
    <x v="2"/>
    <s v="Marikina"/>
    <x v="2"/>
    <s v="Storage Bin"/>
    <s v="Storage Bin"/>
    <s v="Website"/>
    <s v="Debit Card"/>
    <n v="3"/>
    <n v="582.53"/>
    <n v="0"/>
    <n v="554.69000000000005"/>
    <n v="1747.59"/>
    <n v="-100.31660000000005"/>
    <s v="No"/>
    <n v="4.7"/>
    <n v="6"/>
    <n v="0"/>
  </r>
  <r>
    <s v="ORD-202500071"/>
    <x v="36"/>
    <d v="2025-03-13T00:00:00"/>
    <s v="CUST-1144"/>
    <s v="Consumer"/>
    <s v="Philippines"/>
    <x v="0"/>
    <s v="Davao City"/>
    <x v="1"/>
    <s v="Notebook"/>
    <s v="Notebook"/>
    <s v="Website"/>
    <s v="Debit Card"/>
    <n v="4"/>
    <n v="127.06"/>
    <n v="0"/>
    <n v="648.52"/>
    <n v="508.24"/>
    <n v="-485.88319999999999"/>
    <s v="No"/>
    <n v="3.5"/>
    <n v="7"/>
    <n v="0"/>
  </r>
  <r>
    <s v="ORD-202500072"/>
    <x v="68"/>
    <d v="2025-03-04T00:00:00"/>
    <s v="CUST-1006"/>
    <s v="Consumer"/>
    <s v="Philippines"/>
    <x v="2"/>
    <s v="Marikina"/>
    <x v="1"/>
    <s v="Printer Paper"/>
    <s v="Printer Paper"/>
    <s v="Website"/>
    <s v="Credit Card"/>
    <n v="1"/>
    <n v="422.64"/>
    <n v="0"/>
    <n v="122.57"/>
    <n v="422.64"/>
    <n v="12.674800000000005"/>
    <s v="No"/>
    <n v="4"/>
    <n v="6"/>
    <n v="0"/>
  </r>
  <r>
    <s v="ORD-202500073"/>
    <x v="69"/>
    <d v="2025-07-10T00:00:00"/>
    <s v="CUST-1151"/>
    <s v="Consumer"/>
    <s v="Philippines"/>
    <x v="0"/>
    <s v="Cebu City"/>
    <x v="1"/>
    <s v="Desk Organizer"/>
    <s v="Desk Organizer"/>
    <s v="Website"/>
    <s v="Credit Card"/>
    <n v="1"/>
    <n v="716.59"/>
    <n v="0"/>
    <n v="481.82"/>
    <n v="716.59"/>
    <n v="-252.51119999999997"/>
    <s v="No"/>
    <n v="4.5"/>
    <n v="5"/>
    <n v="0"/>
  </r>
  <r>
    <s v="ORD-202500074"/>
    <x v="70"/>
    <d v="2025-02-14T00:00:00"/>
    <s v="CUST-1155"/>
    <s v="Consumer"/>
    <s v="Philippines"/>
    <x v="0"/>
    <s v="Iloilo City"/>
    <x v="1"/>
    <s v="Desk Organizer"/>
    <s v="Desk Organizer"/>
    <s v="Mobile App"/>
    <s v="E-Wallet"/>
    <n v="2"/>
    <n v="741.45"/>
    <n v="0"/>
    <n v="390.41"/>
    <n v="1482.9"/>
    <n v="84.117999999999995"/>
    <s v="No"/>
    <n v="4.3"/>
    <n v="3"/>
    <n v="0"/>
  </r>
  <r>
    <s v="ORD-202500075"/>
    <x v="71"/>
    <d v="2025-12-27T00:00:00"/>
    <s v="CUST-1167"/>
    <s v="Corporate"/>
    <s v="Philippines"/>
    <x v="0"/>
    <s v="Cagayan de Oro"/>
    <x v="3"/>
    <s v="Standing Desk"/>
    <s v="Standing Desk"/>
    <s v="Mobile App"/>
    <s v="Bank Transfer"/>
    <n v="2"/>
    <n v="19779.91"/>
    <n v="0"/>
    <n v="851.54"/>
    <n v="39559.82"/>
    <n v="8642.8168000000005"/>
    <s v="No"/>
    <n v="5"/>
    <n v="1"/>
    <n v="0"/>
  </r>
  <r>
    <s v="ORD-202500076"/>
    <x v="12"/>
    <d v="2025-09-01T00:00:00"/>
    <s v="CUST-1023"/>
    <s v="Small Business"/>
    <s v="Philippines"/>
    <x v="3"/>
    <s v="Laoag"/>
    <x v="0"/>
    <s v="Keyboard"/>
    <s v="Keyboard"/>
    <s v="Retail Store"/>
    <s v="Cash on Delivery"/>
    <n v="1"/>
    <n v="2100.58"/>
    <n v="0.05"/>
    <n v="493.42"/>
    <n v="1995.5509999999999"/>
    <n v="-134.22082000000006"/>
    <s v="No"/>
    <n v="4.2"/>
    <n v="1"/>
    <n v="0"/>
  </r>
  <r>
    <s v="ORD-202500077"/>
    <x v="72"/>
    <d v="2025-12-14T00:00:00"/>
    <s v="CUST-1108"/>
    <s v="Small Business"/>
    <s v="Philippines"/>
    <x v="3"/>
    <s v="Baguio"/>
    <x v="1"/>
    <s v="Pen Set"/>
    <s v="Pen Set"/>
    <s v="Website"/>
    <s v="Cash on Delivery"/>
    <n v="1"/>
    <n v="193.86"/>
    <n v="0"/>
    <n v="144.59"/>
    <n v="193.86"/>
    <n v="-82.5548"/>
    <s v="No"/>
    <n v="3.7"/>
    <n v="7"/>
    <n v="0"/>
  </r>
  <r>
    <s v="ORD-202500078"/>
    <x v="73"/>
    <d v="2025-10-23T00:00:00"/>
    <s v="CUST-1206"/>
    <s v="Consumer"/>
    <s v="Philippines"/>
    <x v="3"/>
    <s v="Baguio"/>
    <x v="0"/>
    <s v="Keyboard"/>
    <s v="Keyboard"/>
    <s v="Marketplace"/>
    <s v="E-Wallet"/>
    <n v="6"/>
    <n v="1773.55"/>
    <n v="0"/>
    <n v="321.27"/>
    <n v="10641.3"/>
    <n v="1594.1639999999998"/>
    <s v="No"/>
    <n v="4.9000000000000004"/>
    <n v="2"/>
    <n v="0"/>
  </r>
  <r>
    <s v="ORD-202500079"/>
    <x v="74"/>
    <d v="2025-02-07T00:00:00"/>
    <s v="CUST-1189"/>
    <s v="Corporate"/>
    <s v="Philippines"/>
    <x v="3"/>
    <s v="Manila"/>
    <x v="1"/>
    <s v="Notebook"/>
    <s v="Notebook"/>
    <s v="Mobile App"/>
    <s v="Bank Transfer"/>
    <n v="2"/>
    <n v="118.92"/>
    <n v="0.1"/>
    <n v="526.36"/>
    <n v="214.05600000000001"/>
    <n v="-457.86207999999999"/>
    <s v="No"/>
    <n v="4.5"/>
    <n v="2"/>
    <n v="0"/>
  </r>
  <r>
    <s v="ORD-202500080"/>
    <x v="75"/>
    <d v="2025-03-29T00:00:00"/>
    <s v="CUST-1158"/>
    <s v="Consumer"/>
    <s v="Philippines"/>
    <x v="3"/>
    <s v="Baguio"/>
    <x v="3"/>
    <s v="Filing Cabinet"/>
    <s v="Filing Cabinet"/>
    <s v="Mobile App"/>
    <s v="Bank Transfer"/>
    <n v="2"/>
    <n v="6801.63"/>
    <n v="0.05"/>
    <n v="480.8"/>
    <n v="12923.097"/>
    <n v="2620.7432799999997"/>
    <s v="No"/>
    <n v="4.3"/>
    <n v="7"/>
    <n v="0"/>
  </r>
  <r>
    <s v="ORD-202500081"/>
    <x v="76"/>
    <d v="2025-12-20T00:00:00"/>
    <s v="CUST-1151"/>
    <s v="Corporate"/>
    <s v="Philippines"/>
    <x v="2"/>
    <s v="Antipolo"/>
    <x v="0"/>
    <s v="Headphones"/>
    <s v="Headphones"/>
    <s v="Website"/>
    <s v="Debit Card"/>
    <n v="2"/>
    <n v="3301.8"/>
    <n v="0"/>
    <n v="324.7"/>
    <n v="6603.6"/>
    <n v="863.94799999999987"/>
    <s v="No"/>
    <n v="5"/>
    <n v="6"/>
    <n v="0"/>
  </r>
  <r>
    <s v="ORD-202500082"/>
    <x v="77"/>
    <d v="2025-04-02T00:00:00"/>
    <s v="CUST-1097"/>
    <s v="Corporate"/>
    <s v="Philippines"/>
    <x v="0"/>
    <s v="Iloilo City"/>
    <x v="0"/>
    <s v="Laptop"/>
    <s v="Laptop"/>
    <s v="Mobile App"/>
    <s v="Bank Transfer"/>
    <n v="6"/>
    <n v="59208.92"/>
    <n v="0.05"/>
    <n v="5735.64"/>
    <n v="337490.84399999998"/>
    <n v="55012.711919999994"/>
    <s v="No"/>
    <n v="4.4000000000000004"/>
    <n v="2"/>
    <n v="0"/>
  </r>
  <r>
    <s v="ORD-202500083"/>
    <x v="78"/>
    <d v="2025-08-05T00:00:00"/>
    <s v="CUST-1029"/>
    <s v="Consumer"/>
    <s v="Philippines"/>
    <x v="2"/>
    <s v="Marikina"/>
    <x v="1"/>
    <s v="Desk Organizer"/>
    <s v="Desk Organizer"/>
    <s v="Mobile App"/>
    <s v="E-Wallet"/>
    <n v="1"/>
    <n v="793.34"/>
    <n v="0"/>
    <n v="427.56"/>
    <n v="793.34"/>
    <n v="-173.69119999999998"/>
    <s v="No"/>
    <n v="4"/>
    <n v="3"/>
    <n v="0"/>
  </r>
  <r>
    <s v="ORD-202500084"/>
    <x v="79"/>
    <d v="2025-06-25T00:00:00"/>
    <s v="CUST-1085"/>
    <s v="Small Business"/>
    <s v="Philippines"/>
    <x v="3"/>
    <s v="Manila"/>
    <x v="3"/>
    <s v="Standing Desk"/>
    <s v="Standing Desk"/>
    <s v="Social Commerce"/>
    <s v="E-Wallet"/>
    <n v="2"/>
    <n v="21014.41"/>
    <n v="0.1"/>
    <n v="794.62"/>
    <n v="37825.938000000002"/>
    <n v="8283.6051200000002"/>
    <s v="No"/>
    <n v="4.5999999999999996"/>
    <n v="2"/>
    <n v="0"/>
  </r>
  <r>
    <s v="ORD-202500085"/>
    <x v="80"/>
    <d v="2025-05-14T00:00:00"/>
    <s v="CUST-1044"/>
    <s v="Corporate"/>
    <s v="Philippines"/>
    <x v="3"/>
    <s v="Quezon City"/>
    <x v="2"/>
    <s v="Storage Bin"/>
    <s v="Storage Bin"/>
    <s v="Mobile App"/>
    <s v="Cash on Delivery"/>
    <n v="4"/>
    <n v="558.07000000000005"/>
    <n v="0.2"/>
    <n v="435.24"/>
    <n v="1785.8240000000003"/>
    <n v="29.074240000000088"/>
    <s v="No"/>
    <n v="3.7"/>
    <n v="2"/>
    <n v="0"/>
  </r>
  <r>
    <s v="ORD-202500086"/>
    <x v="81"/>
    <d v="2025-11-21T00:00:00"/>
    <s v="CUST-1038"/>
    <s v="Consumer"/>
    <s v="Philippines"/>
    <x v="1"/>
    <s v="Las Pinas"/>
    <x v="1"/>
    <s v="Pen Set"/>
    <s v="Pen Set"/>
    <s v="Mobile App"/>
    <s v="E-Wallet"/>
    <n v="2"/>
    <n v="175.16"/>
    <n v="0.05"/>
    <n v="117.68"/>
    <n v="332.80399999999997"/>
    <n v="-11.182720000000018"/>
    <s v="No"/>
    <n v="3.7"/>
    <n v="3"/>
    <n v="0"/>
  </r>
  <r>
    <s v="ORD-202500087"/>
    <x v="82"/>
    <d v="2025-02-15T00:00:00"/>
    <s v="CUST-1023"/>
    <s v="Corporate"/>
    <s v="Philippines"/>
    <x v="1"/>
    <s v="Las Pinas"/>
    <x v="1"/>
    <s v="Printer Paper"/>
    <s v="Printer Paper"/>
    <s v="Mobile App"/>
    <s v="Cash on Delivery"/>
    <n v="3"/>
    <n v="410.11"/>
    <n v="0.05"/>
    <n v="184.45"/>
    <n v="1168.8135"/>
    <n v="189.57032000000004"/>
    <s v="No"/>
    <n v="5"/>
    <n v="6"/>
    <n v="0"/>
  </r>
  <r>
    <s v="ORD-202500088"/>
    <x v="83"/>
    <d v="2025-07-01T00:00:00"/>
    <s v="CUST-1021"/>
    <s v="Corporate"/>
    <s v="Philippines"/>
    <x v="0"/>
    <s v="Cebu City"/>
    <x v="0"/>
    <s v="Wireless Mouse"/>
    <s v="Wireless Mouse"/>
    <s v="Social Commerce"/>
    <s v="Cash on Delivery"/>
    <n v="2"/>
    <n v="1113.1500000000001"/>
    <n v="0"/>
    <n v="274.64"/>
    <n v="2226.3000000000002"/>
    <n v="126.09400000000005"/>
    <s v="No"/>
    <n v="4.8"/>
    <n v="6"/>
    <n v="0"/>
  </r>
  <r>
    <s v="ORD-202500089"/>
    <x v="79"/>
    <d v="2025-06-29T00:00:00"/>
    <s v="CUST-1153"/>
    <s v="Consumer"/>
    <s v="Philippines"/>
    <x v="2"/>
    <s v="Antipolo"/>
    <x v="3"/>
    <s v="Filing Cabinet"/>
    <s v="Filing Cabinet"/>
    <s v="Website"/>
    <s v="Cash on Delivery"/>
    <n v="5"/>
    <n v="7056.06"/>
    <n v="0.05"/>
    <n v="689.82"/>
    <n v="33516.285000000003"/>
    <n v="7354.0884000000005"/>
    <s v="No"/>
    <n v="4.9000000000000004"/>
    <n v="6"/>
    <n v="0"/>
  </r>
  <r>
    <s v="ORD-202500090"/>
    <x v="84"/>
    <d v="2025-07-22T00:00:00"/>
    <s v="CUST-1152"/>
    <s v="Small Business"/>
    <s v="Philippines"/>
    <x v="3"/>
    <s v="Baguio"/>
    <x v="1"/>
    <s v="Pen Set"/>
    <s v="Pen Set"/>
    <s v="Retail Store"/>
    <s v="Cash on Delivery"/>
    <n v="1"/>
    <n v="194.6"/>
    <n v="0.05"/>
    <n v="93.31"/>
    <n v="184.86999999999998"/>
    <n v="-34.151600000000009"/>
    <s v="No"/>
    <n v="4.2"/>
    <n v="2"/>
    <n v="0"/>
  </r>
  <r>
    <s v="ORD-202500091"/>
    <x v="85"/>
    <d v="2025-04-23T00:00:00"/>
    <s v="CUST-1196"/>
    <s v="Corporate"/>
    <s v="Philippines"/>
    <x v="0"/>
    <s v="Davao City"/>
    <x v="0"/>
    <s v="Keyboard"/>
    <s v="Keyboard"/>
    <s v="Retail Store"/>
    <s v="Credit Card"/>
    <n v="2"/>
    <n v="1875.48"/>
    <n v="0.1"/>
    <n v="436.39"/>
    <n v="3375.864"/>
    <n v="171.26552000000004"/>
    <s v="No"/>
    <n v="4.8"/>
    <n v="3"/>
    <n v="0"/>
  </r>
  <r>
    <s v="ORD-202500092"/>
    <x v="86"/>
    <d v="2025-11-06T00:00:00"/>
    <s v="CUST-1039"/>
    <s v="Consumer"/>
    <s v="Philippines"/>
    <x v="0"/>
    <s v="Cagayan de Oro"/>
    <x v="0"/>
    <s v="Keyboard"/>
    <s v="Keyboard"/>
    <s v="Marketplace"/>
    <s v="Debit Card"/>
    <n v="7"/>
    <n v="1913.72"/>
    <n v="0.1"/>
    <n v="727.71"/>
    <n v="12056.436000000002"/>
    <n v="1442.44848"/>
    <s v="No"/>
    <n v="3.9"/>
    <n v="4"/>
    <n v="0"/>
  </r>
  <r>
    <s v="ORD-202500093"/>
    <x v="9"/>
    <d v="2025-05-06T00:00:00"/>
    <s v="CUST-1207"/>
    <s v="Small Business"/>
    <s v="Philippines"/>
    <x v="0"/>
    <s v="Iloilo City"/>
    <x v="1"/>
    <s v="Desk Organizer"/>
    <s v="Desk Organizer"/>
    <s v="Social Commerce"/>
    <s v="Bank Transfer"/>
    <n v="4"/>
    <n v="779.41"/>
    <n v="0.05"/>
    <n v="365.4"/>
    <n v="2961.7579999999998"/>
    <n v="582.36256000000003"/>
    <s v="No"/>
    <n v="4.5"/>
    <n v="3"/>
    <n v="0"/>
  </r>
  <r>
    <s v="ORD-202500094"/>
    <x v="87"/>
    <d v="2025-05-10T00:00:00"/>
    <s v="CUST-1164"/>
    <s v="Corporate"/>
    <s v="Philippines"/>
    <x v="2"/>
    <s v="Antipolo"/>
    <x v="1"/>
    <s v="Desk Organizer"/>
    <s v="Desk Organizer"/>
    <s v="Retail Store"/>
    <s v="E-Wallet"/>
    <n v="1"/>
    <n v="649.66999999999996"/>
    <n v="0"/>
    <n v="382.36"/>
    <n v="649.66999999999996"/>
    <n v="-174.46560000000002"/>
    <s v="No"/>
    <n v="4.9000000000000004"/>
    <n v="1"/>
    <n v="0"/>
  </r>
  <r>
    <s v="ORD-202500095"/>
    <x v="88"/>
    <d v="2025-02-18T00:00:00"/>
    <s v="CUST-1209"/>
    <s v="Corporate"/>
    <s v="Philippines"/>
    <x v="2"/>
    <s v="Antipolo"/>
    <x v="3"/>
    <s v="Filing Cabinet"/>
    <s v="Filing Cabinet"/>
    <s v="Mobile App"/>
    <s v="Debit Card"/>
    <n v="2"/>
    <n v="6512.27"/>
    <n v="0"/>
    <n v="457.02"/>
    <n v="13024.54"/>
    <n v="2668.8696"/>
    <s v="No"/>
    <n v="4.3"/>
    <n v="2"/>
    <n v="0"/>
  </r>
  <r>
    <s v="ORD-202500096"/>
    <x v="89"/>
    <d v="2025-03-18T00:00:00"/>
    <s v="CUST-1009"/>
    <s v="Consumer"/>
    <s v="Philippines"/>
    <x v="1"/>
    <s v="Paranaque"/>
    <x v="1"/>
    <s v="Stapler"/>
    <s v="Stapler"/>
    <s v="Mobile App"/>
    <s v="Credit Card"/>
    <n v="5"/>
    <n v="230.28"/>
    <n v="0"/>
    <n v="182.5"/>
    <n v="1151.4000000000001"/>
    <n v="185.94800000000004"/>
    <s v="No"/>
    <n v="4"/>
    <n v="2"/>
    <n v="0"/>
  </r>
  <r>
    <s v="ORD-202500097"/>
    <x v="90"/>
    <d v="2025-11-13T00:00:00"/>
    <s v="CUST-1108"/>
    <s v="Consumer"/>
    <s v="Philippines"/>
    <x v="2"/>
    <s v="Marikina"/>
    <x v="0"/>
    <s v="Laptop"/>
    <s v="Laptop"/>
    <s v="Website"/>
    <s v="Cash on Delivery"/>
    <n v="2"/>
    <n v="47489.38"/>
    <n v="0.2"/>
    <n v="1844.82"/>
    <n v="75983.008000000002"/>
    <n v="-3364.480160000001"/>
    <s v="Yes"/>
    <n v="3.2"/>
    <n v="5"/>
    <n v="1"/>
  </r>
  <r>
    <s v="ORD-202500098"/>
    <x v="91"/>
    <d v="2025-03-18T00:00:00"/>
    <s v="CUST-1109"/>
    <s v="Consumer"/>
    <s v="Philippines"/>
    <x v="2"/>
    <s v="Marikina"/>
    <x v="1"/>
    <s v="Notebook"/>
    <s v="Notebook"/>
    <s v="Marketplace"/>
    <s v="Credit Card"/>
    <n v="2"/>
    <n v="118.58"/>
    <n v="0.2"/>
    <n v="393.68"/>
    <n v="189.72800000000001"/>
    <n v="-332.96704"/>
    <s v="No"/>
    <n v="4.3"/>
    <n v="3"/>
    <n v="0"/>
  </r>
  <r>
    <s v="ORD-202500099"/>
    <x v="92"/>
    <d v="2025-09-22T00:00:00"/>
    <s v="CUST-1005"/>
    <s v="Consumer"/>
    <s v="Philippines"/>
    <x v="1"/>
    <s v="Makati"/>
    <x v="1"/>
    <s v="Pen Set"/>
    <s v="Pen Set"/>
    <s v="Website"/>
    <s v="Credit Card"/>
    <n v="2"/>
    <n v="162.05000000000001"/>
    <n v="0"/>
    <n v="459.41"/>
    <n v="324.10000000000002"/>
    <n v="-355.69800000000004"/>
    <s v="No"/>
    <n v="3.7"/>
    <n v="5"/>
    <n v="0"/>
  </r>
  <r>
    <s v="ORD-202500100"/>
    <x v="93"/>
    <d v="2025-03-11T00:00:00"/>
    <s v="CUST-1090"/>
    <s v="Corporate"/>
    <s v="Philippines"/>
    <x v="0"/>
    <s v="Cagayan de Oro"/>
    <x v="2"/>
    <s v="Storage Bin"/>
    <s v="Storage Bin"/>
    <s v="Marketplace"/>
    <s v="Debit Card"/>
    <n v="1"/>
    <n v="612.07000000000005"/>
    <n v="0.05"/>
    <n v="256.44"/>
    <n v="581.4665"/>
    <n v="-221.55201"/>
    <s v="Yes"/>
    <n v="3.2"/>
    <n v="1"/>
    <n v="1"/>
  </r>
  <r>
    <s v="ORD-202500101"/>
    <x v="94"/>
    <d v="2025-04-14T00:00:00"/>
    <s v="CUST-1080"/>
    <s v="Home Office"/>
    <s v="Philippines"/>
    <x v="1"/>
    <s v="Las Pinas"/>
    <x v="0"/>
    <s v="Monitor"/>
    <s v="Monitor"/>
    <s v="Website"/>
    <s v="Credit Card"/>
    <n v="5"/>
    <n v="10775.35"/>
    <n v="0"/>
    <n v="1097.92"/>
    <n v="53876.75"/>
    <n v="8599.8950000000004"/>
    <s v="No"/>
    <n v="4.3"/>
    <n v="1"/>
    <n v="0"/>
  </r>
  <r>
    <s v="ORD-202500102"/>
    <x v="95"/>
    <d v="2025-07-20T00:00:00"/>
    <s v="CUST-1047"/>
    <s v="Corporate"/>
    <s v="Philippines"/>
    <x v="1"/>
    <s v="Pasay"/>
    <x v="2"/>
    <s v="Desk Lamp"/>
    <s v="Desk Lamp"/>
    <s v="Retail Store"/>
    <s v="Bank Transfer"/>
    <n v="1"/>
    <n v="1378.96"/>
    <n v="0.15"/>
    <n v="411.6"/>
    <n v="1172.116"/>
    <n v="-106.84984000000003"/>
    <s v="No"/>
    <n v="3.4"/>
    <n v="3"/>
    <n v="0"/>
  </r>
  <r>
    <s v="ORD-202500103"/>
    <x v="96"/>
    <d v="2025-02-13T00:00:00"/>
    <s v="CUST-1169"/>
    <s v="Consumer"/>
    <s v="Philippines"/>
    <x v="1"/>
    <s v="Las Pinas"/>
    <x v="0"/>
    <s v="Wireless Mouse"/>
    <s v="Wireless Mouse"/>
    <s v="Mobile App"/>
    <s v="Credit Card"/>
    <n v="4"/>
    <n v="1384.18"/>
    <n v="0.05"/>
    <n v="410.97"/>
    <n v="5259.884"/>
    <n v="535.80911999999989"/>
    <s v="No"/>
    <n v="4.4000000000000004"/>
    <n v="3"/>
    <n v="0"/>
  </r>
  <r>
    <s v="ORD-202500104"/>
    <x v="97"/>
    <d v="2025-12-16T00:00:00"/>
    <s v="CUST-1103"/>
    <s v="Consumer"/>
    <s v="Philippines"/>
    <x v="0"/>
    <s v="Cebu City"/>
    <x v="0"/>
    <s v="Headphones"/>
    <s v="Headphones"/>
    <s v="Marketplace"/>
    <s v="Bank Transfer"/>
    <n v="1"/>
    <n v="3150.6"/>
    <n v="0.1"/>
    <n v="336.07"/>
    <n v="2835.54"/>
    <n v="174.3272"/>
    <s v="No"/>
    <n v="4.0999999999999996"/>
    <n v="6"/>
    <n v="0"/>
  </r>
  <r>
    <s v="ORD-202500105"/>
    <x v="98"/>
    <d v="2025-10-19T00:00:00"/>
    <s v="CUST-1154"/>
    <s v="Consumer"/>
    <s v="Philippines"/>
    <x v="1"/>
    <s v="Pasay"/>
    <x v="3"/>
    <s v="Office Chair"/>
    <s v="Office Chair"/>
    <s v="Mobile App"/>
    <s v="Cash on Delivery"/>
    <n v="2"/>
    <n v="8281.68"/>
    <n v="0"/>
    <n v="875.95"/>
    <n v="16563.36"/>
    <n v="-213.41560000000027"/>
    <s v="Yes"/>
    <n v="3.8"/>
    <n v="1"/>
    <n v="1"/>
  </r>
  <r>
    <s v="ORD-202500106"/>
    <x v="99"/>
    <d v="2025-10-16T00:00:00"/>
    <s v="CUST-1067"/>
    <s v="Small Business"/>
    <s v="Philippines"/>
    <x v="1"/>
    <s v="Paranaque"/>
    <x v="2"/>
    <s v="Desk Lamp"/>
    <s v="Desk Lamp"/>
    <s v="Marketplace"/>
    <s v="Bank Transfer"/>
    <n v="1"/>
    <n v="1196.93"/>
    <n v="0"/>
    <n v="196.37"/>
    <n v="1196.93"/>
    <n v="114.83180000000004"/>
    <s v="No"/>
    <n v="4.9000000000000004"/>
    <n v="1"/>
    <n v="0"/>
  </r>
  <r>
    <s v="ORD-202500107"/>
    <x v="100"/>
    <d v="2025-02-21T00:00:00"/>
    <s v="CUST-1174"/>
    <s v="Home Office"/>
    <s v="Philippines"/>
    <x v="2"/>
    <s v="Pasig"/>
    <x v="1"/>
    <s v="Desk Organizer"/>
    <s v="Desk Organizer"/>
    <s v="Mobile App"/>
    <s v="E-Wallet"/>
    <n v="5"/>
    <n v="765.48"/>
    <n v="0.2"/>
    <n v="500.9"/>
    <n v="3061.92"/>
    <n v="478.91440000000011"/>
    <s v="No"/>
    <n v="4"/>
    <n v="7"/>
    <n v="0"/>
  </r>
  <r>
    <s v="ORD-202500108"/>
    <x v="94"/>
    <d v="2025-04-20T00:00:00"/>
    <s v="CUST-1035"/>
    <s v="Consumer"/>
    <s v="Philippines"/>
    <x v="1"/>
    <s v="Makati"/>
    <x v="3"/>
    <s v="Bookshelf"/>
    <s v="Bookshelf"/>
    <s v="Mobile App"/>
    <s v="Cash on Delivery"/>
    <n v="1"/>
    <n v="7444.28"/>
    <n v="0"/>
    <n v="418.62"/>
    <n v="7444.28"/>
    <n v="1368.0072"/>
    <s v="No"/>
    <n v="4.2"/>
    <n v="7"/>
    <n v="0"/>
  </r>
  <r>
    <s v="ORD-202500109"/>
    <x v="101"/>
    <d v="2025-09-08T00:00:00"/>
    <s v="CUST-1105"/>
    <s v="Small Business"/>
    <s v="Philippines"/>
    <x v="3"/>
    <s v="Quezon City"/>
    <x v="2"/>
    <s v="Air Purifier"/>
    <s v="Air Purifier"/>
    <s v="Mobile App"/>
    <s v="Cash on Delivery"/>
    <n v="2"/>
    <n v="10862.19"/>
    <n v="0.1"/>
    <n v="770.55"/>
    <n v="19551.942000000003"/>
    <n v="4312.954920000001"/>
    <s v="No"/>
    <n v="4.8"/>
    <n v="5"/>
    <n v="0"/>
  </r>
  <r>
    <s v="ORD-202500110"/>
    <x v="102"/>
    <d v="2025-02-05T00:00:00"/>
    <s v="CUST-1031"/>
    <s v="Corporate"/>
    <s v="Philippines"/>
    <x v="2"/>
    <s v="Marikina"/>
    <x v="0"/>
    <s v="Monitor"/>
    <s v="Monitor"/>
    <s v="Website"/>
    <s v="Cash on Delivery"/>
    <n v="5"/>
    <n v="12471.58"/>
    <n v="0"/>
    <n v="1377.35"/>
    <n v="62357.9"/>
    <n v="9847.0720000000001"/>
    <s v="No"/>
    <n v="4.0999999999999996"/>
    <n v="7"/>
    <n v="0"/>
  </r>
  <r>
    <s v="ORD-202500111"/>
    <x v="36"/>
    <d v="2025-03-12T00:00:00"/>
    <s v="CUST-1077"/>
    <s v="Corporate"/>
    <s v="Philippines"/>
    <x v="3"/>
    <s v="Quezon City"/>
    <x v="1"/>
    <s v="Desk Organizer"/>
    <s v="Desk Organizer"/>
    <s v="Website"/>
    <s v="Cash on Delivery"/>
    <n v="4"/>
    <n v="743.08"/>
    <n v="0.15"/>
    <n v="445.85"/>
    <n v="2526.4720000000002"/>
    <n v="362.62104000000011"/>
    <s v="No"/>
    <n v="4.4000000000000004"/>
    <n v="6"/>
    <n v="0"/>
  </r>
  <r>
    <s v="ORD-202500112"/>
    <x v="103"/>
    <d v="2025-12-02T00:00:00"/>
    <s v="CUST-1147"/>
    <s v="Consumer"/>
    <s v="Philippines"/>
    <x v="0"/>
    <s v="Cagayan de Oro"/>
    <x v="1"/>
    <s v="Printer Paper"/>
    <s v="Printer Paper"/>
    <s v="Mobile App"/>
    <s v="Cash on Delivery"/>
    <n v="1"/>
    <n v="490.14"/>
    <n v="0.05"/>
    <n v="546.02"/>
    <n v="465.63299999999998"/>
    <n v="-397.01743999999997"/>
    <s v="No"/>
    <n v="4.3"/>
    <n v="7"/>
    <n v="0"/>
  </r>
  <r>
    <s v="ORD-202500113"/>
    <x v="104"/>
    <d v="2025-06-06T00:00:00"/>
    <s v="CUST-1018"/>
    <s v="Corporate"/>
    <s v="Philippines"/>
    <x v="0"/>
    <s v="Cagayan de Oro"/>
    <x v="3"/>
    <s v="Filing Cabinet"/>
    <s v="Filing Cabinet"/>
    <s v="Website"/>
    <s v="Cash on Delivery"/>
    <n v="1"/>
    <n v="8196.81"/>
    <n v="0"/>
    <n v="766.13"/>
    <n v="8196.81"/>
    <n v="1201.1043999999997"/>
    <s v="No"/>
    <n v="3.7"/>
    <n v="4"/>
    <n v="0"/>
  </r>
  <r>
    <s v="ORD-202500114"/>
    <x v="51"/>
    <d v="2025-09-26T00:00:00"/>
    <s v="CUST-1027"/>
    <s v="Consumer"/>
    <s v="Philippines"/>
    <x v="1"/>
    <s v="Makati"/>
    <x v="0"/>
    <s v="Monitor"/>
    <s v="Monitor"/>
    <s v="Website"/>
    <s v="Credit Card"/>
    <n v="1"/>
    <n v="10947.69"/>
    <n v="0.05"/>
    <n v="385.73"/>
    <n v="10400.3055"/>
    <n v="1486.3249900000001"/>
    <s v="No"/>
    <n v="4.8"/>
    <n v="5"/>
    <n v="0"/>
  </r>
  <r>
    <s v="ORD-202500115"/>
    <x v="23"/>
    <d v="2025-03-30T00:00:00"/>
    <s v="CUST-1083"/>
    <s v="Home Office"/>
    <s v="Philippines"/>
    <x v="2"/>
    <s v="Marikina"/>
    <x v="1"/>
    <s v="Stapler"/>
    <s v="Stapler"/>
    <s v="Social Commerce"/>
    <s v="Bank Transfer"/>
    <n v="2"/>
    <n v="252.87"/>
    <n v="0"/>
    <n v="626.37"/>
    <n v="505.74"/>
    <n v="-464.53319999999997"/>
    <s v="No"/>
    <n v="4.5999999999999996"/>
    <n v="7"/>
    <n v="0"/>
  </r>
  <r>
    <s v="ORD-202500116"/>
    <x v="105"/>
    <d v="2025-07-01T00:00:00"/>
    <s v="CUST-1012"/>
    <s v="Consumer"/>
    <s v="Philippines"/>
    <x v="1"/>
    <s v="Pasay"/>
    <x v="3"/>
    <s v="Office Chair"/>
    <s v="Office Chair"/>
    <s v="Mobile App"/>
    <s v="E-Wallet"/>
    <n v="4"/>
    <n v="9427.83"/>
    <n v="0"/>
    <n v="874"/>
    <n v="37711.32"/>
    <n v="8176.7168000000001"/>
    <s v="No"/>
    <n v="4.3"/>
    <n v="1"/>
    <n v="0"/>
  </r>
  <r>
    <s v="ORD-202500117"/>
    <x v="106"/>
    <d v="2025-04-13T00:00:00"/>
    <s v="CUST-1141"/>
    <s v="Consumer"/>
    <s v="Philippines"/>
    <x v="1"/>
    <s v="Las Pinas"/>
    <x v="1"/>
    <s v="Pen Set"/>
    <s v="Pen Set"/>
    <s v="Retail Store"/>
    <s v="Cash on Delivery"/>
    <n v="3"/>
    <n v="164.82"/>
    <n v="0.25"/>
    <n v="311.94"/>
    <n v="370.84499999999997"/>
    <n v="-193.26960000000003"/>
    <s v="No"/>
    <n v="3.8"/>
    <n v="3"/>
    <n v="0"/>
  </r>
  <r>
    <s v="ORD-202500118"/>
    <x v="91"/>
    <d v="2025-03-17T00:00:00"/>
    <s v="CUST-1154"/>
    <s v="Corporate"/>
    <s v="Philippines"/>
    <x v="3"/>
    <s v="Manila"/>
    <x v="0"/>
    <s v="Keyboard"/>
    <s v="Keyboard"/>
    <s v="Retail Store"/>
    <s v="Cash on Delivery"/>
    <n v="2"/>
    <n v="1911.38"/>
    <n v="0.05"/>
    <n v="324.27999999999997"/>
    <n v="3631.6219999999998"/>
    <n v="329.41196000000002"/>
    <s v="No"/>
    <n v="5"/>
    <n v="2"/>
    <n v="0"/>
  </r>
  <r>
    <s v="ORD-202500119"/>
    <x v="107"/>
    <d v="2025-03-29T00:00:00"/>
    <s v="CUST-1157"/>
    <s v="Small Business"/>
    <s v="Philippines"/>
    <x v="2"/>
    <s v="Pasig"/>
    <x v="3"/>
    <s v="Filing Cabinet"/>
    <s v="Filing Cabinet"/>
    <s v="Marketplace"/>
    <s v="E-Wallet"/>
    <n v="2"/>
    <n v="6371.94"/>
    <n v="0"/>
    <n v="333.63"/>
    <n v="12743.88"/>
    <n v="2724.9011999999998"/>
    <s v="No"/>
    <n v="4"/>
    <n v="4"/>
    <n v="0"/>
  </r>
  <r>
    <s v="ORD-202500120"/>
    <x v="46"/>
    <d v="2025-12-25T00:00:00"/>
    <s v="CUST-1006"/>
    <s v="Corporate"/>
    <s v="Philippines"/>
    <x v="2"/>
    <s v="Marikina"/>
    <x v="1"/>
    <s v="Desk Organizer"/>
    <s v="Desk Organizer"/>
    <s v="Mobile App"/>
    <s v="Cash on Delivery"/>
    <n v="3"/>
    <n v="746.14"/>
    <n v="0.15"/>
    <n v="197.81"/>
    <n v="1902.6569999999999"/>
    <n v="411.04023999999998"/>
    <s v="No"/>
    <n v="5"/>
    <n v="6"/>
    <n v="0"/>
  </r>
  <r>
    <s v="ORD-202500121"/>
    <x v="108"/>
    <d v="2025-01-22T00:00:00"/>
    <s v="CUST-1179"/>
    <s v="Consumer"/>
    <s v="Philippines"/>
    <x v="3"/>
    <s v="Laoag"/>
    <x v="0"/>
    <s v="Monitor"/>
    <s v="Monitor"/>
    <s v="Mobile App"/>
    <s v="Debit Card"/>
    <n v="2"/>
    <n v="12237.41"/>
    <n v="0.2"/>
    <n v="944.63"/>
    <n v="19579.856"/>
    <n v="2579.7440799999999"/>
    <s v="No"/>
    <n v="4.5999999999999996"/>
    <n v="5"/>
    <n v="0"/>
  </r>
  <r>
    <s v="ORD-202500122"/>
    <x v="109"/>
    <d v="2025-04-22T00:00:00"/>
    <s v="CUST-1083"/>
    <s v="Home Office"/>
    <s v="Philippines"/>
    <x v="1"/>
    <s v="Las Pinas"/>
    <x v="0"/>
    <s v="Monitor"/>
    <s v="Monitor"/>
    <s v="Mobile App"/>
    <s v="Cash on Delivery"/>
    <n v="2"/>
    <n v="10849.15"/>
    <n v="0.1"/>
    <n v="816.4"/>
    <n v="19528.47"/>
    <n v="2698.7246"/>
    <s v="No"/>
    <n v="4.4000000000000004"/>
    <n v="5"/>
    <n v="0"/>
  </r>
  <r>
    <s v="ORD-202500123"/>
    <x v="110"/>
    <d v="2025-12-24T00:00:00"/>
    <s v="CUST-1156"/>
    <s v="Corporate"/>
    <s v="Philippines"/>
    <x v="0"/>
    <s v="Iloilo City"/>
    <x v="1"/>
    <s v="Notebook"/>
    <s v="Notebook"/>
    <s v="Social Commerce"/>
    <s v="E-Wallet"/>
    <n v="4"/>
    <n v="130.97999999999999"/>
    <n v="0.1"/>
    <n v="366.59"/>
    <n v="471.52799999999996"/>
    <n v="-215.70103999999998"/>
    <s v="No"/>
    <n v="3.4"/>
    <n v="3"/>
    <n v="0"/>
  </r>
  <r>
    <s v="ORD-202500124"/>
    <x v="111"/>
    <d v="2025-05-24T00:00:00"/>
    <s v="CUST-1031"/>
    <s v="Corporate"/>
    <s v="Philippines"/>
    <x v="1"/>
    <s v="Las Pinas"/>
    <x v="1"/>
    <s v="Notebook"/>
    <s v="Notebook"/>
    <s v="Website"/>
    <s v="E-Wallet"/>
    <n v="6"/>
    <n v="108.45"/>
    <n v="0.2"/>
    <n v="463.66"/>
    <n v="520.56000000000006"/>
    <n v="-297.08080000000001"/>
    <s v="No"/>
    <n v="4"/>
    <n v="3"/>
    <n v="0"/>
  </r>
  <r>
    <s v="ORD-202500125"/>
    <x v="85"/>
    <d v="2025-04-22T00:00:00"/>
    <s v="CUST-1137"/>
    <s v="Consumer"/>
    <s v="Philippines"/>
    <x v="2"/>
    <s v="Marikina"/>
    <x v="0"/>
    <s v="Headphones"/>
    <s v="Headphones"/>
    <s v="Website"/>
    <s v="Credit Card"/>
    <n v="3"/>
    <n v="3637.59"/>
    <n v="0.1"/>
    <n v="273.61"/>
    <n v="9821.4930000000004"/>
    <n v="1494.2587400000002"/>
    <s v="No"/>
    <n v="4.3"/>
    <n v="2"/>
    <n v="0"/>
  </r>
  <r>
    <s v="ORD-202500126"/>
    <x v="112"/>
    <d v="2025-03-13T00:00:00"/>
    <s v="CUST-1140"/>
    <s v="Home Office"/>
    <s v="Philippines"/>
    <x v="0"/>
    <s v="Cagayan de Oro"/>
    <x v="1"/>
    <s v="Stapler"/>
    <s v="Stapler"/>
    <s v="Mobile App"/>
    <s v="Debit Card"/>
    <n v="4"/>
    <n v="251.21"/>
    <n v="0"/>
    <n v="128.80000000000001"/>
    <n v="1004.84"/>
    <n v="192.74880000000002"/>
    <s v="No"/>
    <n v="4.0999999999999996"/>
    <n v="1"/>
    <n v="0"/>
  </r>
  <r>
    <s v="ORD-202500127"/>
    <x v="39"/>
    <d v="2025-12-05T00:00:00"/>
    <s v="CUST-1059"/>
    <s v="Corporate"/>
    <s v="Philippines"/>
    <x v="3"/>
    <s v="Quezon City"/>
    <x v="3"/>
    <s v="Standing Desk"/>
    <s v="Standing Desk"/>
    <s v="Social Commerce"/>
    <s v="Credit Card"/>
    <n v="8"/>
    <n v="17983.77"/>
    <n v="0.05"/>
    <n v="2771.92"/>
    <n v="136676.652"/>
    <n v="30030.476479999998"/>
    <s v="No"/>
    <n v="5"/>
    <n v="5"/>
    <n v="0"/>
  </r>
  <r>
    <s v="ORD-202500128"/>
    <x v="113"/>
    <d v="2025-01-08T00:00:00"/>
    <s v="CUST-1145"/>
    <s v="Corporate"/>
    <s v="Philippines"/>
    <x v="2"/>
    <s v="Pasig"/>
    <x v="3"/>
    <s v="Filing Cabinet"/>
    <s v="Filing Cabinet"/>
    <s v="Retail Store"/>
    <s v="Debit Card"/>
    <n v="5"/>
    <n v="7346.92"/>
    <n v="0"/>
    <n v="695.23"/>
    <n v="36734.6"/>
    <n v="8121.0740000000005"/>
    <s v="No"/>
    <n v="3.9"/>
    <n v="3"/>
    <n v="0"/>
  </r>
  <r>
    <s v="ORD-202500129"/>
    <x v="114"/>
    <d v="2025-08-29T00:00:00"/>
    <s v="CUST-1065"/>
    <s v="Small Business"/>
    <s v="Philippines"/>
    <x v="3"/>
    <s v="Baguio"/>
    <x v="1"/>
    <s v="Desk Organizer"/>
    <s v="Desk Organizer"/>
    <s v="Marketplace"/>
    <s v="Debit Card"/>
    <n v="1"/>
    <n v="795.79"/>
    <n v="0.2"/>
    <n v="563.32000000000005"/>
    <n v="636.63200000000006"/>
    <n v="-359.59775999999999"/>
    <s v="No"/>
    <n v="4.8"/>
    <n v="6"/>
    <n v="0"/>
  </r>
  <r>
    <s v="ORD-202500130"/>
    <x v="115"/>
    <d v="2025-04-07T00:00:00"/>
    <s v="CUST-1122"/>
    <s v="Consumer"/>
    <s v="Philippines"/>
    <x v="0"/>
    <s v="Cebu City"/>
    <x v="0"/>
    <s v="Monitor"/>
    <s v="Monitor"/>
    <s v="Mobile App"/>
    <s v="E-Wallet"/>
    <n v="6"/>
    <n v="10676.42"/>
    <n v="0.1"/>
    <n v="1047.4000000000001"/>
    <n v="57652.668000000005"/>
    <n v="9330.0802400000011"/>
    <s v="No"/>
    <n v="4.7"/>
    <n v="2"/>
    <n v="0"/>
  </r>
  <r>
    <s v="ORD-202500131"/>
    <x v="110"/>
    <d v="2025-12-23T00:00:00"/>
    <s v="CUST-1015"/>
    <s v="Corporate"/>
    <s v="Philippines"/>
    <x v="1"/>
    <s v="Pasay"/>
    <x v="0"/>
    <s v="Headphones"/>
    <s v="Headphones"/>
    <s v="Social Commerce"/>
    <s v="E-Wallet"/>
    <n v="3"/>
    <n v="3750.65"/>
    <n v="0.2"/>
    <n v="458.28"/>
    <n v="9001.5600000000013"/>
    <n v="1162.0008000000003"/>
    <s v="No"/>
    <n v="4.8"/>
    <n v="2"/>
    <n v="0"/>
  </r>
  <r>
    <s v="ORD-202500132"/>
    <x v="116"/>
    <d v="2025-08-27T00:00:00"/>
    <s v="CUST-1155"/>
    <s v="Consumer"/>
    <s v="Philippines"/>
    <x v="1"/>
    <s v="Paranaque"/>
    <x v="1"/>
    <s v="Desk Organizer"/>
    <s v="Desk Organizer"/>
    <s v="Retail Store"/>
    <s v="Credit Card"/>
    <n v="2"/>
    <n v="726.92"/>
    <n v="0"/>
    <n v="624.64"/>
    <n v="1453.84"/>
    <n v="-159.41120000000001"/>
    <s v="No"/>
    <n v="4.0999999999999996"/>
    <n v="6"/>
    <n v="0"/>
  </r>
  <r>
    <s v="ORD-202500133"/>
    <x v="117"/>
    <d v="2025-10-13T00:00:00"/>
    <s v="CUST-1051"/>
    <s v="Corporate"/>
    <s v="Philippines"/>
    <x v="0"/>
    <s v="Davao City"/>
    <x v="3"/>
    <s v="Filing Cabinet"/>
    <s v="Filing Cabinet"/>
    <s v="Website"/>
    <s v="Debit Card"/>
    <n v="3"/>
    <n v="7391.87"/>
    <n v="0.2"/>
    <n v="666.56"/>
    <n v="17740.488000000001"/>
    <n v="43.059519999999793"/>
    <s v="Yes"/>
    <n v="3.9"/>
    <n v="5"/>
    <n v="1"/>
  </r>
  <r>
    <s v="ORD-202500134"/>
    <x v="118"/>
    <d v="2025-10-17T00:00:00"/>
    <s v="CUST-1143"/>
    <s v="Corporate"/>
    <s v="Philippines"/>
    <x v="2"/>
    <s v="Antipolo"/>
    <x v="3"/>
    <s v="Office Chair"/>
    <s v="Office Chair"/>
    <s v="Marketplace"/>
    <s v="Cash on Delivery"/>
    <n v="1"/>
    <n v="8560.43"/>
    <n v="0.1"/>
    <n v="516.87"/>
    <n v="7704.3870000000006"/>
    <n v="1332.1828800000003"/>
    <s v="No"/>
    <n v="4.7"/>
    <n v="1"/>
    <n v="0"/>
  </r>
  <r>
    <s v="ORD-202500135"/>
    <x v="74"/>
    <d v="2025-02-09T00:00:00"/>
    <s v="CUST-1008"/>
    <s v="Consumer"/>
    <s v="Philippines"/>
    <x v="0"/>
    <s v="Davao City"/>
    <x v="1"/>
    <s v="Stapler"/>
    <s v="Stapler"/>
    <s v="Mobile App"/>
    <s v="Bank Transfer"/>
    <n v="2"/>
    <n v="300.33"/>
    <n v="0"/>
    <n v="134.75"/>
    <n v="600.66"/>
    <n v="57.461199999999991"/>
    <s v="No"/>
    <n v="4.5"/>
    <n v="4"/>
    <n v="0"/>
  </r>
  <r>
    <s v="ORD-202500136"/>
    <x v="18"/>
    <d v="2025-06-29T00:00:00"/>
    <s v="CUST-1045"/>
    <s v="Home Office"/>
    <s v="Philippines"/>
    <x v="1"/>
    <s v="Paranaque"/>
    <x v="1"/>
    <s v="Notebook"/>
    <s v="Notebook"/>
    <s v="Retail Store"/>
    <s v="Credit Card"/>
    <n v="7"/>
    <n v="122.27"/>
    <n v="0.1"/>
    <n v="334.59"/>
    <n v="770.30100000000004"/>
    <n v="-88.093679999999949"/>
    <s v="No"/>
    <n v="4.2"/>
    <n v="1"/>
    <n v="0"/>
  </r>
  <r>
    <s v="ORD-202500137"/>
    <x v="61"/>
    <d v="2025-04-30T00:00:00"/>
    <s v="CUST-1117"/>
    <s v="Consumer"/>
    <s v="Philippines"/>
    <x v="2"/>
    <s v="Marikina"/>
    <x v="2"/>
    <s v="Air Purifier"/>
    <s v="Air Purifier"/>
    <s v="Website"/>
    <s v="Bank Transfer"/>
    <n v="3"/>
    <n v="11028.28"/>
    <n v="0.15"/>
    <n v="713.45"/>
    <n v="28122.114000000001"/>
    <n v="6598.2996400000011"/>
    <s v="No"/>
    <n v="3.9"/>
    <n v="2"/>
    <n v="0"/>
  </r>
  <r>
    <s v="ORD-202500138"/>
    <x v="49"/>
    <d v="2025-12-17T00:00:00"/>
    <s v="CUST-1012"/>
    <s v="Consumer"/>
    <s v="Philippines"/>
    <x v="3"/>
    <s v="Laoag"/>
    <x v="3"/>
    <s v="Standing Desk"/>
    <s v="Standing Desk"/>
    <s v="Marketplace"/>
    <s v="Credit Card"/>
    <n v="1"/>
    <n v="21204.81"/>
    <n v="0"/>
    <n v="920.42"/>
    <n v="21204.81"/>
    <n v="4168.7344000000003"/>
    <s v="No"/>
    <n v="4"/>
    <n v="6"/>
    <n v="0"/>
  </r>
  <r>
    <s v="ORD-202500139"/>
    <x v="25"/>
    <d v="2025-10-28T00:00:00"/>
    <s v="CUST-1197"/>
    <s v="Corporate"/>
    <s v="Philippines"/>
    <x v="2"/>
    <s v="Marikina"/>
    <x v="0"/>
    <s v="Monitor"/>
    <s v="Monitor"/>
    <s v="Social Commerce"/>
    <s v="Cash on Delivery"/>
    <n v="1"/>
    <n v="10671.65"/>
    <n v="0"/>
    <n v="780.73"/>
    <n v="10671.65"/>
    <n v="1140.1669999999999"/>
    <s v="No"/>
    <n v="4.9000000000000004"/>
    <n v="5"/>
    <n v="0"/>
  </r>
  <r>
    <s v="ORD-202500140"/>
    <x v="119"/>
    <d v="2025-08-12T00:00:00"/>
    <s v="CUST-1126"/>
    <s v="Consumer"/>
    <s v="Philippines"/>
    <x v="2"/>
    <s v="Taguig"/>
    <x v="1"/>
    <s v="Pen Set"/>
    <s v="Pen Set"/>
    <s v="Marketplace"/>
    <s v="Bank Transfer"/>
    <n v="1"/>
    <n v="178.73"/>
    <n v="0.1"/>
    <n v="352.59"/>
    <n v="160.857"/>
    <n v="-301.11575999999997"/>
    <s v="No"/>
    <n v="4"/>
    <n v="5"/>
    <n v="0"/>
  </r>
  <r>
    <s v="ORD-202500141"/>
    <x v="26"/>
    <d v="2025-06-10T00:00:00"/>
    <s v="CUST-1181"/>
    <s v="Consumer"/>
    <s v="Philippines"/>
    <x v="1"/>
    <s v="Makati"/>
    <x v="1"/>
    <s v="Stapler"/>
    <s v="Stapler"/>
    <s v="Mobile App"/>
    <s v="Debit Card"/>
    <n v="2"/>
    <n v="248.69"/>
    <n v="0"/>
    <n v="132.53"/>
    <n v="497.38"/>
    <n v="26.631599999999992"/>
    <s v="No"/>
    <n v="3.9"/>
    <n v="7"/>
    <n v="0"/>
  </r>
  <r>
    <s v="ORD-202500142"/>
    <x v="13"/>
    <d v="2025-04-09T00:00:00"/>
    <s v="CUST-1068"/>
    <s v="Consumer"/>
    <s v="Philippines"/>
    <x v="3"/>
    <s v="Manila"/>
    <x v="0"/>
    <s v="Headphones"/>
    <s v="Headphones"/>
    <s v="Marketplace"/>
    <s v="Cash on Delivery"/>
    <n v="1"/>
    <n v="3299.33"/>
    <n v="0.2"/>
    <n v="302.31"/>
    <n v="2639.4639999999999"/>
    <n v="172.79351999999994"/>
    <s v="No"/>
    <n v="4.8"/>
    <n v="1"/>
    <n v="0"/>
  </r>
  <r>
    <s v="ORD-202500143"/>
    <x v="120"/>
    <d v="2025-04-21T00:00:00"/>
    <s v="CUST-1189"/>
    <s v="Consumer"/>
    <s v="Philippines"/>
    <x v="1"/>
    <s v="Paranaque"/>
    <x v="1"/>
    <s v="Notebook"/>
    <s v="Notebook"/>
    <s v="Mobile App"/>
    <s v="Debit Card"/>
    <n v="3"/>
    <n v="133.52000000000001"/>
    <n v="0"/>
    <n v="390.19"/>
    <n v="400.56000000000006"/>
    <n v="-262.01080000000002"/>
    <s v="No"/>
    <n v="4.3"/>
    <n v="2"/>
    <n v="0"/>
  </r>
  <r>
    <s v="ORD-202500144"/>
    <x v="121"/>
    <d v="2025-09-16T00:00:00"/>
    <s v="CUST-1025"/>
    <s v="Small Business"/>
    <s v="Philippines"/>
    <x v="1"/>
    <s v="Pasay"/>
    <x v="2"/>
    <s v="Desk Lamp"/>
    <s v="Desk Lamp"/>
    <s v="Website"/>
    <s v="Credit Card"/>
    <n v="3"/>
    <n v="1230.3"/>
    <n v="0"/>
    <n v="284"/>
    <n v="3690.8999999999996"/>
    <n v="675.6339999999999"/>
    <s v="No"/>
    <n v="4.9000000000000004"/>
    <n v="4"/>
    <n v="0"/>
  </r>
  <r>
    <s v="ORD-202500145"/>
    <x v="122"/>
    <d v="2025-10-30T00:00:00"/>
    <s v="CUST-1106"/>
    <s v="Consumer"/>
    <s v="Philippines"/>
    <x v="0"/>
    <s v="Iloilo City"/>
    <x v="0"/>
    <s v="Headphones"/>
    <s v="Headphones"/>
    <s v="Retail Store"/>
    <s v="Bank Transfer"/>
    <n v="3"/>
    <n v="4070.64"/>
    <n v="0"/>
    <n v="698.29"/>
    <n v="12211.92"/>
    <n v="1499.8555999999999"/>
    <s v="No"/>
    <n v="4.0999999999999996"/>
    <n v="6"/>
    <n v="0"/>
  </r>
  <r>
    <s v="ORD-202500146"/>
    <x v="123"/>
    <d v="2025-08-26T00:00:00"/>
    <s v="CUST-1187"/>
    <s v="Small Business"/>
    <s v="Philippines"/>
    <x v="0"/>
    <s v="Davao City"/>
    <x v="1"/>
    <s v="Stapler"/>
    <s v="Stapler"/>
    <s v="Website"/>
    <s v="Cash on Delivery"/>
    <n v="8"/>
    <n v="303.45999999999998"/>
    <n v="0.05"/>
    <n v="594.67999999999995"/>
    <n v="2306.2959999999998"/>
    <n v="143.33472000000006"/>
    <s v="No"/>
    <n v="3.6"/>
    <n v="2"/>
    <n v="0"/>
  </r>
  <r>
    <s v="ORD-202500147"/>
    <x v="124"/>
    <d v="2025-12-10T00:00:00"/>
    <s v="CUST-1195"/>
    <s v="Consumer"/>
    <s v="Philippines"/>
    <x v="0"/>
    <s v="Davao City"/>
    <x v="0"/>
    <s v="Monitor"/>
    <s v="Monitor"/>
    <s v="Website"/>
    <s v="Cash on Delivery"/>
    <n v="2"/>
    <n v="9879.49"/>
    <n v="0.1"/>
    <n v="908.71"/>
    <n v="17783.081999999999"/>
    <n v="2292.2447599999996"/>
    <s v="No"/>
    <n v="4.3"/>
    <n v="1"/>
    <n v="0"/>
  </r>
  <r>
    <s v="ORD-202500148"/>
    <x v="125"/>
    <d v="2025-10-05T00:00:00"/>
    <s v="CUST-1105"/>
    <s v="Consumer"/>
    <s v="Philippines"/>
    <x v="2"/>
    <s v="Pasig"/>
    <x v="0"/>
    <s v="Wireless Mouse"/>
    <s v="Wireless Mouse"/>
    <s v="Retail Store"/>
    <s v="Debit Card"/>
    <n v="1"/>
    <n v="1090.67"/>
    <n v="0"/>
    <n v="205.76"/>
    <n v="1090.67"/>
    <n v="-9.4393999999999778"/>
    <s v="No"/>
    <n v="4.3"/>
    <n v="5"/>
    <n v="0"/>
  </r>
  <r>
    <s v="ORD-202500149"/>
    <x v="126"/>
    <d v="2025-07-04T00:00:00"/>
    <s v="CUST-1203"/>
    <s v="Consumer"/>
    <s v="Philippines"/>
    <x v="2"/>
    <s v="Taguig"/>
    <x v="3"/>
    <s v="Standing Desk"/>
    <s v="Standing Desk"/>
    <s v="Social Commerce"/>
    <s v="Debit Card"/>
    <n v="1"/>
    <n v="20311.54"/>
    <n v="0"/>
    <n v="949.93"/>
    <n v="20311.54"/>
    <n v="3924.8395999999998"/>
    <s v="No"/>
    <n v="4.8"/>
    <n v="3"/>
    <n v="0"/>
  </r>
  <r>
    <s v="ORD-202500150"/>
    <x v="55"/>
    <d v="2025-07-18T00:00:00"/>
    <s v="CUST-1121"/>
    <s v="Consumer"/>
    <s v="Philippines"/>
    <x v="3"/>
    <s v="Quezon City"/>
    <x v="0"/>
    <s v="Wireless Mouse"/>
    <s v="Wireless Mouse"/>
    <s v="Marketplace"/>
    <s v="E-Wallet"/>
    <n v="3"/>
    <n v="1364.87"/>
    <n v="0"/>
    <n v="442.47"/>
    <n v="4094.6099999999997"/>
    <n v="-524.36220000000014"/>
    <s v="Yes"/>
    <n v="3.6"/>
    <n v="5"/>
    <n v="1"/>
  </r>
  <r>
    <s v="ORD-202500151"/>
    <x v="120"/>
    <d v="2025-04-26T00:00:00"/>
    <s v="CUST-1177"/>
    <s v="Home Office"/>
    <s v="Philippines"/>
    <x v="1"/>
    <s v="Pasay"/>
    <x v="0"/>
    <s v="Laptop"/>
    <s v="Laptop"/>
    <s v="Marketplace"/>
    <s v="E-Wallet"/>
    <n v="5"/>
    <n v="54550.75"/>
    <n v="0"/>
    <n v="4700.7"/>
    <n v="272753.75"/>
    <n v="44394.974999999999"/>
    <s v="No"/>
    <n v="4.8"/>
    <n v="7"/>
    <n v="0"/>
  </r>
  <r>
    <s v="ORD-202500152"/>
    <x v="127"/>
    <d v="2026-01-07T00:00:00"/>
    <s v="CUST-1101"/>
    <s v="Home Office"/>
    <s v="Philippines"/>
    <x v="2"/>
    <s v="Marikina"/>
    <x v="1"/>
    <s v="Desk Organizer"/>
    <s v="Desk Organizer"/>
    <s v="Retail Store"/>
    <s v="Bank Transfer"/>
    <n v="3"/>
    <n v="729.52"/>
    <n v="0"/>
    <n v="534.48"/>
    <n v="2188.56"/>
    <n v="165.85919999999999"/>
    <s v="No"/>
    <n v="4.0999999999999996"/>
    <n v="7"/>
    <n v="0"/>
  </r>
  <r>
    <s v="ORD-202500153"/>
    <x v="46"/>
    <d v="2025-12-25T00:00:00"/>
    <s v="CUST-1020"/>
    <s v="Corporate"/>
    <s v="Philippines"/>
    <x v="2"/>
    <s v="Antipolo"/>
    <x v="0"/>
    <s v="Monitor"/>
    <s v="Monitor"/>
    <s v="Retail Store"/>
    <s v="E-Wallet"/>
    <n v="3"/>
    <n v="11705.76"/>
    <n v="0.05"/>
    <n v="1159.04"/>
    <n v="33361.415999999997"/>
    <n v="4846.0148799999997"/>
    <s v="No"/>
    <n v="3.7"/>
    <n v="6"/>
    <n v="0"/>
  </r>
  <r>
    <s v="ORD-202500154"/>
    <x v="128"/>
    <d v="2025-08-23T00:00:00"/>
    <s v="CUST-1058"/>
    <s v="Consumer"/>
    <s v="Philippines"/>
    <x v="1"/>
    <s v="Las Pinas"/>
    <x v="0"/>
    <s v="Headphones"/>
    <s v="Headphones"/>
    <s v="Marketplace"/>
    <s v="Credit Card"/>
    <n v="4"/>
    <n v="3390.15"/>
    <n v="0"/>
    <n v="325.31"/>
    <n v="13560.6"/>
    <n v="2115.598"/>
    <s v="No"/>
    <n v="3.8"/>
    <n v="4"/>
    <n v="0"/>
  </r>
  <r>
    <s v="ORD-202500155"/>
    <x v="129"/>
    <d v="2025-07-20T00:00:00"/>
    <s v="CUST-1200"/>
    <s v="Corporate"/>
    <s v="Philippines"/>
    <x v="1"/>
    <s v="Pasay"/>
    <x v="3"/>
    <s v="Office Chair"/>
    <s v="Office Chair"/>
    <s v="Website"/>
    <s v="E-Wallet"/>
    <n v="2"/>
    <n v="9421.43"/>
    <n v="0"/>
    <n v="412.4"/>
    <n v="18842.86"/>
    <n v="4109.8864000000003"/>
    <s v="No"/>
    <n v="3.7"/>
    <n v="6"/>
    <n v="0"/>
  </r>
  <r>
    <s v="ORD-202500156"/>
    <x v="130"/>
    <d v="2025-02-23T00:00:00"/>
    <s v="CUST-1022"/>
    <s v="Consumer"/>
    <s v="Philippines"/>
    <x v="3"/>
    <s v="Baguio"/>
    <x v="2"/>
    <s v="Air Purifier"/>
    <s v="Air Purifier"/>
    <s v="Website"/>
    <s v="Bank Transfer"/>
    <n v="4"/>
    <n v="10425.799999999999"/>
    <n v="0.05"/>
    <n v="1271.4000000000001"/>
    <n v="39618.039999999994"/>
    <n v="9029.2903999999999"/>
    <s v="No"/>
    <n v="4.2"/>
    <n v="1"/>
    <n v="0"/>
  </r>
  <r>
    <s v="ORD-202500157"/>
    <x v="131"/>
    <d v="2025-09-26T00:00:00"/>
    <s v="CUST-1175"/>
    <s v="Consumer"/>
    <s v="Philippines"/>
    <x v="0"/>
    <s v="Iloilo City"/>
    <x v="0"/>
    <s v="Wireless Mouse"/>
    <s v="Wireless Mouse"/>
    <s v="Website"/>
    <s v="Debit Card"/>
    <n v="2"/>
    <n v="1207.5999999999999"/>
    <n v="0.05"/>
    <n v="160.07"/>
    <n v="2294.4399999999996"/>
    <n v="252.92919999999992"/>
    <s v="No"/>
    <n v="4.4000000000000004"/>
    <n v="2"/>
    <n v="0"/>
  </r>
  <r>
    <s v="ORD-202500158"/>
    <x v="132"/>
    <d v="2025-11-06T00:00:00"/>
    <s v="CUST-1050"/>
    <s v="Corporate"/>
    <s v="Philippines"/>
    <x v="0"/>
    <s v="Iloilo City"/>
    <x v="0"/>
    <s v="Wireless Mouse"/>
    <s v="Wireless Mouse"/>
    <s v="Website"/>
    <s v="Cash on Delivery"/>
    <n v="2"/>
    <n v="1366.39"/>
    <n v="0"/>
    <n v="366.44"/>
    <n v="2732.78"/>
    <n v="125.46039999999999"/>
    <s v="No"/>
    <n v="5"/>
    <n v="5"/>
    <n v="0"/>
  </r>
  <r>
    <s v="ORD-202500159"/>
    <x v="39"/>
    <d v="2025-12-05T00:00:00"/>
    <s v="CUST-1034"/>
    <s v="Consumer"/>
    <s v="Philippines"/>
    <x v="0"/>
    <s v="Cagayan de Oro"/>
    <x v="0"/>
    <s v="Wireless Mouse"/>
    <s v="Wireless Mouse"/>
    <s v="Social Commerce"/>
    <s v="E-Wallet"/>
    <n v="4"/>
    <n v="1283.8399999999999"/>
    <n v="0.25"/>
    <n v="602.76"/>
    <n v="3851.5199999999995"/>
    <n v="90.513599999999883"/>
    <s v="No"/>
    <n v="4.2"/>
    <n v="5"/>
    <n v="0"/>
  </r>
  <r>
    <s v="ORD-202500160"/>
    <x v="133"/>
    <d v="2025-07-07T00:00:00"/>
    <s v="CUST-1144"/>
    <s v="Consumer"/>
    <s v="Philippines"/>
    <x v="0"/>
    <s v="Cebu City"/>
    <x v="2"/>
    <s v="Storage Bin"/>
    <s v="Storage Bin"/>
    <s v="Social Commerce"/>
    <s v="Debit Card"/>
    <n v="2"/>
    <n v="532.07000000000005"/>
    <n v="0.1"/>
    <n v="562.77"/>
    <n v="957.72600000000011"/>
    <n v="-313.76123999999993"/>
    <s v="No"/>
    <n v="5"/>
    <n v="1"/>
    <n v="0"/>
  </r>
  <r>
    <s v="ORD-202500161"/>
    <x v="134"/>
    <d v="2025-08-04T00:00:00"/>
    <s v="CUST-1127"/>
    <s v="Consumer"/>
    <s v="Philippines"/>
    <x v="2"/>
    <s v="Marikina"/>
    <x v="0"/>
    <s v="Monitor"/>
    <s v="Monitor"/>
    <s v="Marketplace"/>
    <s v="Bank Transfer"/>
    <n v="1"/>
    <n v="12949.31"/>
    <n v="0.05"/>
    <n v="502.7"/>
    <n v="12301.844499999999"/>
    <n v="1711.6320099999996"/>
    <s v="No"/>
    <n v="4.9000000000000004"/>
    <n v="6"/>
    <n v="0"/>
  </r>
  <r>
    <s v="ORD-202500162"/>
    <x v="67"/>
    <d v="2025-10-07T00:00:00"/>
    <s v="CUST-1202"/>
    <s v="Home Office"/>
    <s v="Philippines"/>
    <x v="3"/>
    <s v="Manila"/>
    <x v="1"/>
    <s v="Pen Set"/>
    <s v="Pen Set"/>
    <s v="Website"/>
    <s v="Cash on Delivery"/>
    <n v="1"/>
    <n v="211.51"/>
    <n v="0.1"/>
    <n v="310.95"/>
    <n v="190.35900000000001"/>
    <n v="-250.03511999999998"/>
    <s v="No"/>
    <n v="4"/>
    <n v="1"/>
    <n v="0"/>
  </r>
  <r>
    <s v="ORD-202500163"/>
    <x v="135"/>
    <d v="2025-08-10T00:00:00"/>
    <s v="CUST-1002"/>
    <s v="Consumer"/>
    <s v="Philippines"/>
    <x v="0"/>
    <s v="Davao City"/>
    <x v="3"/>
    <s v="Filing Cabinet"/>
    <s v="Filing Cabinet"/>
    <s v="Mobile App"/>
    <s v="Cash on Delivery"/>
    <n v="3"/>
    <n v="6661.61"/>
    <n v="0.25"/>
    <n v="654.95000000000005"/>
    <n v="14988.622499999998"/>
    <n v="2942.3193999999994"/>
    <s v="No"/>
    <n v="4.5"/>
    <n v="1"/>
    <n v="0"/>
  </r>
  <r>
    <s v="ORD-202500164"/>
    <x v="136"/>
    <d v="2025-03-17T00:00:00"/>
    <s v="CUST-1079"/>
    <s v="Consumer"/>
    <s v="Philippines"/>
    <x v="0"/>
    <s v="Cagayan de Oro"/>
    <x v="3"/>
    <s v="Office Chair"/>
    <s v="Office Chair"/>
    <s v="Mobile App"/>
    <s v="Bank Transfer"/>
    <n v="2"/>
    <n v="8245.67"/>
    <n v="0.15"/>
    <n v="392.97"/>
    <n v="14017.638999999999"/>
    <n v="2971.2633599999999"/>
    <s v="No"/>
    <n v="4.3"/>
    <n v="3"/>
    <n v="0"/>
  </r>
  <r>
    <s v="ORD-202500165"/>
    <x v="137"/>
    <d v="2025-11-29T00:00:00"/>
    <s v="CUST-1173"/>
    <s v="Small Business"/>
    <s v="Philippines"/>
    <x v="0"/>
    <s v="Davao City"/>
    <x v="1"/>
    <s v="Pen Set"/>
    <s v="Pen Set"/>
    <s v="Mobile App"/>
    <s v="Bank Transfer"/>
    <n v="1"/>
    <n v="180.27"/>
    <n v="0"/>
    <n v="447.78"/>
    <n v="180.27"/>
    <n v="-390.09359999999998"/>
    <s v="No"/>
    <n v="5"/>
    <n v="1"/>
    <n v="0"/>
  </r>
  <r>
    <s v="ORD-202500166"/>
    <x v="138"/>
    <d v="2025-04-16T00:00:00"/>
    <s v="CUST-1151"/>
    <s v="Consumer"/>
    <s v="Philippines"/>
    <x v="3"/>
    <s v="Quezon City"/>
    <x v="0"/>
    <s v="Laptop"/>
    <s v="Laptop"/>
    <s v="Mobile App"/>
    <s v="Cash on Delivery"/>
    <n v="1"/>
    <n v="50845.36"/>
    <n v="0.05"/>
    <n v="992.22"/>
    <n v="48303.091999999997"/>
    <n v="7702.3365599999988"/>
    <s v="No"/>
    <n v="4.5"/>
    <n v="4"/>
    <n v="0"/>
  </r>
  <r>
    <s v="ORD-202500167"/>
    <x v="139"/>
    <d v="2025-10-04T00:00:00"/>
    <s v="CUST-1080"/>
    <s v="Corporate"/>
    <s v="Philippines"/>
    <x v="1"/>
    <s v="Makati"/>
    <x v="3"/>
    <s v="Filing Cabinet"/>
    <s v="Filing Cabinet"/>
    <s v="Marketplace"/>
    <s v="E-Wallet"/>
    <n v="5"/>
    <n v="7610.76"/>
    <n v="0.1"/>
    <n v="829.32"/>
    <n v="34248.420000000006"/>
    <n v="7390.3008000000009"/>
    <s v="No"/>
    <n v="4.5999999999999996"/>
    <n v="6"/>
    <n v="0"/>
  </r>
  <r>
    <s v="ORD-202500168"/>
    <x v="136"/>
    <d v="2025-03-19T00:00:00"/>
    <s v="CUST-1099"/>
    <s v="Consumer"/>
    <s v="Philippines"/>
    <x v="0"/>
    <s v="Cagayan de Oro"/>
    <x v="3"/>
    <s v="Filing Cabinet"/>
    <s v="Filing Cabinet"/>
    <s v="Marketplace"/>
    <s v="Debit Card"/>
    <n v="3"/>
    <n v="7393.63"/>
    <n v="0"/>
    <n v="592.02"/>
    <n v="22180.89"/>
    <n v="4731.3935999999994"/>
    <s v="No"/>
    <n v="4.5999999999999996"/>
    <n v="5"/>
    <n v="0"/>
  </r>
  <r>
    <s v="ORD-202500169"/>
    <x v="140"/>
    <d v="2025-02-04T00:00:00"/>
    <s v="CUST-1091"/>
    <s v="Home Office"/>
    <s v="Philippines"/>
    <x v="1"/>
    <s v="Paranaque"/>
    <x v="0"/>
    <s v="Wireless Mouse"/>
    <s v="Wireless Mouse"/>
    <s v="Social Commerce"/>
    <s v="Cash on Delivery"/>
    <n v="3"/>
    <n v="1203.29"/>
    <n v="0.05"/>
    <n v="538.92999999999995"/>
    <n v="3429.3764999999999"/>
    <n v="78.35776999999996"/>
    <s v="No"/>
    <n v="4.5"/>
    <n v="7"/>
    <n v="0"/>
  </r>
  <r>
    <s v="ORD-202500170"/>
    <x v="141"/>
    <d v="2025-04-26T00:00:00"/>
    <s v="CUST-1008"/>
    <s v="Consumer"/>
    <s v="Philippines"/>
    <x v="2"/>
    <s v="Marikina"/>
    <x v="1"/>
    <s v="Desk Organizer"/>
    <s v="Desk Organizer"/>
    <s v="Marketplace"/>
    <s v="Bank Transfer"/>
    <n v="3"/>
    <n v="639.77"/>
    <n v="0"/>
    <n v="550.6"/>
    <n v="1919.31"/>
    <n v="63.579200000000014"/>
    <s v="No"/>
    <n v="4.9000000000000004"/>
    <n v="3"/>
    <n v="0"/>
  </r>
  <r>
    <s v="ORD-202500171"/>
    <x v="142"/>
    <d v="2025-07-12T00:00:00"/>
    <s v="CUST-1210"/>
    <s v="Small Business"/>
    <s v="Philippines"/>
    <x v="1"/>
    <s v="Paranaque"/>
    <x v="2"/>
    <s v="Air Purifier"/>
    <s v="Air Purifier"/>
    <s v="Marketplace"/>
    <s v="Debit Card"/>
    <n v="1"/>
    <n v="11208.04"/>
    <n v="0"/>
    <n v="446.81"/>
    <n v="11208.04"/>
    <n v="2467.2804000000006"/>
    <s v="No"/>
    <n v="3"/>
    <n v="5"/>
    <n v="0"/>
  </r>
  <r>
    <s v="ORD-202500172"/>
    <x v="14"/>
    <d v="2025-05-04T00:00:00"/>
    <s v="CUST-1207"/>
    <s v="Small Business"/>
    <s v="Philippines"/>
    <x v="2"/>
    <s v="Taguig"/>
    <x v="0"/>
    <s v="Monitor"/>
    <s v="Monitor"/>
    <s v="Retail Store"/>
    <s v="Debit Card"/>
    <n v="4"/>
    <n v="11561.25"/>
    <n v="0.05"/>
    <n v="1113.8800000000001"/>
    <n v="43932.75"/>
    <n v="6794.0149999999994"/>
    <s v="No"/>
    <n v="4.9000000000000004"/>
    <n v="2"/>
    <n v="0"/>
  </r>
  <r>
    <s v="ORD-202500173"/>
    <x v="143"/>
    <d v="2025-12-30T00:00:00"/>
    <s v="CUST-1074"/>
    <s v="Corporate"/>
    <s v="Philippines"/>
    <x v="3"/>
    <s v="Quezon City"/>
    <x v="2"/>
    <s v="Storage Bin"/>
    <s v="Storage Bin"/>
    <s v="Social Commerce"/>
    <s v="E-Wallet"/>
    <n v="5"/>
    <n v="504.94"/>
    <n v="0.15"/>
    <n v="260.19"/>
    <n v="2145.9949999999999"/>
    <n v="297.76870000000002"/>
    <s v="No"/>
    <n v="4.7"/>
    <n v="3"/>
    <n v="0"/>
  </r>
  <r>
    <s v="ORD-202500174"/>
    <x v="144"/>
    <d v="2025-12-17T00:00:00"/>
    <s v="CUST-1125"/>
    <s v="Consumer"/>
    <s v="Philippines"/>
    <x v="2"/>
    <s v="Taguig"/>
    <x v="3"/>
    <s v="Office Chair"/>
    <s v="Office Chair"/>
    <s v="Marketplace"/>
    <s v="Credit Card"/>
    <n v="2"/>
    <n v="9392"/>
    <n v="0.1"/>
    <n v="861.83"/>
    <n v="16905.600000000002"/>
    <n v="3195.5140000000006"/>
    <s v="No"/>
    <n v="3.7"/>
    <n v="4"/>
    <n v="0"/>
  </r>
  <r>
    <s v="ORD-202500175"/>
    <x v="15"/>
    <d v="2025-09-10T00:00:00"/>
    <s v="CUST-1148"/>
    <s v="Consumer"/>
    <s v="Philippines"/>
    <x v="3"/>
    <s v="Laoag"/>
    <x v="1"/>
    <s v="Pen Set"/>
    <s v="Pen Set"/>
    <s v="Retail Store"/>
    <s v="Cash on Delivery"/>
    <n v="2"/>
    <n v="210.68"/>
    <n v="0.15"/>
    <n v="368.31"/>
    <n v="358.15600000000001"/>
    <n v="-253.70008000000001"/>
    <s v="No"/>
    <n v="4.2"/>
    <n v="3"/>
    <n v="0"/>
  </r>
  <r>
    <s v="ORD-202500176"/>
    <x v="145"/>
    <d v="2025-03-13T00:00:00"/>
    <s v="CUST-1124"/>
    <s v="Small Business"/>
    <s v="Philippines"/>
    <x v="3"/>
    <s v="Manila"/>
    <x v="0"/>
    <s v="Wireless Mouse"/>
    <s v="Wireless Mouse"/>
    <s v="Website"/>
    <s v="Debit Card"/>
    <n v="2"/>
    <n v="1056.24"/>
    <n v="0.2"/>
    <n v="227.01"/>
    <n v="1689.9840000000002"/>
    <n v="77.18712000000005"/>
    <s v="No"/>
    <n v="4.9000000000000004"/>
    <n v="5"/>
    <n v="0"/>
  </r>
  <r>
    <s v="ORD-202500177"/>
    <x v="146"/>
    <d v="2025-03-15T00:00:00"/>
    <s v="CUST-1077"/>
    <s v="Consumer"/>
    <s v="Philippines"/>
    <x v="2"/>
    <s v="Antipolo"/>
    <x v="1"/>
    <s v="Pen Set"/>
    <s v="Pen Set"/>
    <s v="Website"/>
    <s v="Debit Card"/>
    <n v="1"/>
    <n v="192.18"/>
    <n v="0.1"/>
    <n v="513.37"/>
    <n v="172.96200000000002"/>
    <n v="-458.02215999999999"/>
    <s v="No"/>
    <n v="4.4000000000000004"/>
    <n v="6"/>
    <n v="0"/>
  </r>
  <r>
    <s v="ORD-202500178"/>
    <x v="85"/>
    <d v="2025-04-24T00:00:00"/>
    <s v="CUST-1019"/>
    <s v="Consumer"/>
    <s v="Philippines"/>
    <x v="0"/>
    <s v="Cagayan de Oro"/>
    <x v="0"/>
    <s v="Keyboard"/>
    <s v="Keyboard"/>
    <s v="Retail Store"/>
    <s v="Bank Transfer"/>
    <n v="3"/>
    <n v="1841.96"/>
    <n v="0"/>
    <n v="213.81"/>
    <n v="5525.88"/>
    <n v="780.84840000000008"/>
    <s v="No"/>
    <n v="4.5"/>
    <n v="4"/>
    <n v="0"/>
  </r>
  <r>
    <s v="ORD-202500179"/>
    <x v="130"/>
    <d v="2025-02-25T00:00:00"/>
    <s v="CUST-1094"/>
    <s v="Home Office"/>
    <s v="Philippines"/>
    <x v="0"/>
    <s v="Cagayan de Oro"/>
    <x v="1"/>
    <s v="Notebook"/>
    <s v="Notebook"/>
    <s v="Marketplace"/>
    <s v="Debit Card"/>
    <n v="1"/>
    <n v="125.88"/>
    <n v="0.05"/>
    <n v="175.43"/>
    <n v="119.58599999999998"/>
    <n v="-137.16248000000002"/>
    <s v="No"/>
    <n v="4.5"/>
    <n v="3"/>
    <n v="0"/>
  </r>
  <r>
    <s v="ORD-202500180"/>
    <x v="59"/>
    <d v="2025-08-04T00:00:00"/>
    <s v="CUST-1175"/>
    <s v="Consumer"/>
    <s v="Philippines"/>
    <x v="0"/>
    <s v="Cebu City"/>
    <x v="2"/>
    <s v="Coffee Maker"/>
    <s v="Coffee Maker"/>
    <s v="Marketplace"/>
    <s v="Cash on Delivery"/>
    <n v="4"/>
    <n v="4730.21"/>
    <n v="0"/>
    <n v="814.73"/>
    <n v="18920.84"/>
    <n v="4104.6884000000009"/>
    <s v="No"/>
    <n v="5"/>
    <n v="5"/>
    <n v="0"/>
  </r>
  <r>
    <s v="ORD-202500181"/>
    <x v="147"/>
    <d v="2025-11-28T00:00:00"/>
    <s v="CUST-1063"/>
    <s v="Corporate"/>
    <s v="Philippines"/>
    <x v="2"/>
    <s v="Antipolo"/>
    <x v="2"/>
    <s v="Desk Lamp"/>
    <s v="Desk Lamp"/>
    <s v="Website"/>
    <s v="Cash on Delivery"/>
    <n v="2"/>
    <n v="1435.66"/>
    <n v="0"/>
    <n v="154.16999999999999"/>
    <n v="2871.32"/>
    <n v="592.37320000000011"/>
    <s v="No"/>
    <n v="4.9000000000000004"/>
    <n v="1"/>
    <n v="0"/>
  </r>
  <r>
    <s v="ORD-202500182"/>
    <x v="148"/>
    <d v="2025-03-01T00:00:00"/>
    <s v="CUST-1127"/>
    <s v="Corporate"/>
    <s v="Philippines"/>
    <x v="3"/>
    <s v="Manila"/>
    <x v="2"/>
    <s v="Desk Lamp"/>
    <s v="Desk Lamp"/>
    <s v="Website"/>
    <s v="Cash on Delivery"/>
    <n v="2"/>
    <n v="1357.08"/>
    <n v="0"/>
    <n v="389.19"/>
    <n v="2714.16"/>
    <n v="316.49160000000001"/>
    <s v="No"/>
    <n v="4.2"/>
    <n v="2"/>
    <n v="0"/>
  </r>
  <r>
    <s v="ORD-202500183"/>
    <x v="149"/>
    <d v="2025-02-08T00:00:00"/>
    <s v="CUST-1150"/>
    <s v="Consumer"/>
    <s v="Philippines"/>
    <x v="2"/>
    <s v="Marikina"/>
    <x v="0"/>
    <s v="Laptop"/>
    <s v="Laptop"/>
    <s v="Social Commerce"/>
    <s v="Bank Transfer"/>
    <n v="2"/>
    <n v="55565.7"/>
    <n v="0.05"/>
    <n v="1983.77"/>
    <n v="105574.82999999999"/>
    <n v="17019.699399999998"/>
    <s v="No"/>
    <n v="4.8"/>
    <n v="1"/>
    <n v="0"/>
  </r>
  <r>
    <s v="ORD-202500184"/>
    <x v="150"/>
    <d v="2025-11-14T00:00:00"/>
    <s v="CUST-1071"/>
    <s v="Consumer"/>
    <s v="Philippines"/>
    <x v="3"/>
    <s v="Quezon City"/>
    <x v="2"/>
    <s v="Coffee Maker"/>
    <s v="Coffee Maker"/>
    <s v="Mobile App"/>
    <s v="Bank Transfer"/>
    <n v="3"/>
    <n v="5323.04"/>
    <n v="0.1"/>
    <n v="686.13"/>
    <n v="14372.207999999999"/>
    <n v="3050.6440799999996"/>
    <s v="No"/>
    <n v="4.5999999999999996"/>
    <n v="2"/>
    <n v="0"/>
  </r>
  <r>
    <s v="ORD-202500185"/>
    <x v="151"/>
    <d v="2025-08-18T00:00:00"/>
    <s v="CUST-1061"/>
    <s v="Consumer"/>
    <s v="Philippines"/>
    <x v="3"/>
    <s v="Laoag"/>
    <x v="0"/>
    <s v="Headphones"/>
    <s v="Headphones"/>
    <s v="Marketplace"/>
    <s v="E-Wallet"/>
    <n v="3"/>
    <n v="3770.95"/>
    <n v="0"/>
    <n v="256.91000000000003"/>
    <n v="11312.849999999999"/>
    <n v="1779.4029999999996"/>
    <s v="No"/>
    <n v="4.8"/>
    <n v="6"/>
    <n v="0"/>
  </r>
  <r>
    <s v="ORD-202500186"/>
    <x v="38"/>
    <d v="2025-07-02T00:00:00"/>
    <s v="CUST-1132"/>
    <s v="Small Business"/>
    <s v="Philippines"/>
    <x v="2"/>
    <s v="Marikina"/>
    <x v="3"/>
    <s v="Bookshelf"/>
    <s v="Bookshelf"/>
    <s v="Marketplace"/>
    <s v="Credit Card"/>
    <n v="4"/>
    <n v="5777.24"/>
    <n v="0.15"/>
    <n v="581.66"/>
    <n v="19642.615999999998"/>
    <n v="4132.5678399999997"/>
    <s v="No"/>
    <n v="4.4000000000000004"/>
    <n v="5"/>
    <n v="0"/>
  </r>
  <r>
    <s v="ORD-202500187"/>
    <x v="127"/>
    <d v="2026-01-05T00:00:00"/>
    <s v="CUST-1160"/>
    <s v="Consumer"/>
    <s v="Philippines"/>
    <x v="1"/>
    <s v="Pasay"/>
    <x v="0"/>
    <s v="Headphones"/>
    <s v="Headphones"/>
    <s v="Website"/>
    <s v="Debit Card"/>
    <n v="1"/>
    <n v="3188.05"/>
    <n v="0.05"/>
    <n v="539.79999999999995"/>
    <n v="3028.6475"/>
    <n v="5.3565500000000839"/>
    <s v="No"/>
    <n v="4.2"/>
    <n v="5"/>
    <n v="0"/>
  </r>
  <r>
    <s v="ORD-202500188"/>
    <x v="152"/>
    <d v="2025-01-09T00:00:00"/>
    <s v="CUST-1011"/>
    <s v="Corporate"/>
    <s v="Philippines"/>
    <x v="1"/>
    <s v="Paranaque"/>
    <x v="0"/>
    <s v="Laptop"/>
    <s v="Laptop"/>
    <s v="Mobile App"/>
    <s v="Bank Transfer"/>
    <n v="1"/>
    <n v="49632.91"/>
    <n v="0.2"/>
    <n v="1006.86"/>
    <n v="39706.328000000009"/>
    <n v="6140.2790400000013"/>
    <s v="No"/>
    <n v="4.3"/>
    <n v="2"/>
    <n v="0"/>
  </r>
  <r>
    <s v="ORD-202500189"/>
    <x v="153"/>
    <d v="2025-10-23T00:00:00"/>
    <s v="CUST-1030"/>
    <s v="Corporate"/>
    <s v="Philippines"/>
    <x v="3"/>
    <s v="Quezon City"/>
    <x v="0"/>
    <s v="Headphones"/>
    <s v="Headphones"/>
    <s v="Social Commerce"/>
    <s v="Bank Transfer"/>
    <n v="1"/>
    <n v="3568.35"/>
    <n v="0"/>
    <n v="615.09"/>
    <n v="3568.35"/>
    <n v="27.212999999999965"/>
    <s v="No"/>
    <n v="4.3"/>
    <n v="3"/>
    <n v="0"/>
  </r>
  <r>
    <s v="ORD-202500190"/>
    <x v="94"/>
    <d v="2025-04-16T00:00:00"/>
    <s v="CUST-1144"/>
    <s v="Small Business"/>
    <s v="Philippines"/>
    <x v="0"/>
    <s v="Cagayan de Oro"/>
    <x v="3"/>
    <s v="Filing Cabinet"/>
    <s v="Filing Cabinet"/>
    <s v="Social Commerce"/>
    <s v="Debit Card"/>
    <n v="4"/>
    <n v="7516.57"/>
    <n v="0.15"/>
    <n v="616.82000000000005"/>
    <n v="25556.338"/>
    <n v="5516.7011199999997"/>
    <s v="No"/>
    <n v="4.3"/>
    <n v="3"/>
    <n v="0"/>
  </r>
  <r>
    <s v="ORD-202500191"/>
    <x v="154"/>
    <d v="2025-01-15T00:00:00"/>
    <s v="CUST-1138"/>
    <s v="Consumer"/>
    <s v="Philippines"/>
    <x v="3"/>
    <s v="Baguio"/>
    <x v="0"/>
    <s v="Wireless Mouse"/>
    <s v="Wireless Mouse"/>
    <s v="Retail Store"/>
    <s v="E-Wallet"/>
    <n v="1"/>
    <n v="1246.73"/>
    <n v="0"/>
    <n v="379.16"/>
    <n v="1246.73"/>
    <n v="-404.09460000000001"/>
    <s v="Yes"/>
    <n v="4.3"/>
    <n v="2"/>
    <n v="1"/>
  </r>
  <r>
    <s v="ORD-202500192"/>
    <x v="2"/>
    <d v="2025-02-18T00:00:00"/>
    <s v="CUST-1059"/>
    <s v="Home Office"/>
    <s v="Philippines"/>
    <x v="1"/>
    <s v="Pasay"/>
    <x v="3"/>
    <s v="Office Chair"/>
    <s v="Office Chair"/>
    <s v="Mobile App"/>
    <s v="Cash on Delivery"/>
    <n v="1"/>
    <n v="9570.91"/>
    <n v="0"/>
    <n v="547.22"/>
    <n v="9570.91"/>
    <n v="1749.7983999999999"/>
    <s v="No"/>
    <n v="4.3"/>
    <n v="1"/>
    <n v="0"/>
  </r>
  <r>
    <s v="ORD-202500193"/>
    <x v="145"/>
    <d v="2025-03-10T00:00:00"/>
    <s v="CUST-1074"/>
    <s v="Consumer"/>
    <s v="Philippines"/>
    <x v="2"/>
    <s v="Taguig"/>
    <x v="1"/>
    <s v="Pen Set"/>
    <s v="Pen Set"/>
    <s v="Website"/>
    <s v="E-Wallet"/>
    <n v="1"/>
    <n v="209.35"/>
    <n v="0"/>
    <n v="522.12"/>
    <n v="209.35"/>
    <n v="-455.12799999999999"/>
    <s v="No"/>
    <n v="4.7"/>
    <n v="2"/>
    <n v="0"/>
  </r>
  <r>
    <s v="ORD-202500194"/>
    <x v="17"/>
    <d v="2025-06-14T00:00:00"/>
    <s v="CUST-1030"/>
    <s v="Corporate"/>
    <s v="Philippines"/>
    <x v="0"/>
    <s v="Cagayan de Oro"/>
    <x v="0"/>
    <s v="Keyboard"/>
    <s v="Keyboard"/>
    <s v="Retail Store"/>
    <s v="Credit Card"/>
    <n v="1"/>
    <n v="1954.47"/>
    <n v="0.15"/>
    <n v="506.54"/>
    <n v="1661.2995000000001"/>
    <n v="-539.7659900000001"/>
    <s v="Yes"/>
    <n v="3.9"/>
    <n v="4"/>
    <n v="1"/>
  </r>
  <r>
    <s v="ORD-202500195"/>
    <x v="155"/>
    <d v="2025-06-19T00:00:00"/>
    <s v="CUST-1023"/>
    <s v="Small Business"/>
    <s v="Philippines"/>
    <x v="2"/>
    <s v="Taguig"/>
    <x v="3"/>
    <s v="Bookshelf"/>
    <s v="Bookshelf"/>
    <s v="Website"/>
    <s v="Debit Card"/>
    <n v="1"/>
    <n v="6508.56"/>
    <n v="0.05"/>
    <n v="604.03"/>
    <n v="6183.1320000000005"/>
    <n v="879.92168000000015"/>
    <s v="No"/>
    <n v="3.6"/>
    <n v="2"/>
    <n v="0"/>
  </r>
  <r>
    <s v="ORD-202500196"/>
    <x v="156"/>
    <d v="2025-03-14T00:00:00"/>
    <s v="CUST-1003"/>
    <s v="Consumer"/>
    <s v="Philippines"/>
    <x v="0"/>
    <s v="Davao City"/>
    <x v="0"/>
    <s v="Wireless Mouse"/>
    <s v="Wireless Mouse"/>
    <s v="Mobile App"/>
    <s v="Credit Card"/>
    <n v="3"/>
    <n v="1149.18"/>
    <n v="0.15"/>
    <n v="144.13999999999999"/>
    <n v="2930.4090000000001"/>
    <n v="-202.74818000000005"/>
    <s v="Yes"/>
    <n v="3.7"/>
    <n v="1"/>
    <n v="1"/>
  </r>
  <r>
    <s v="ORD-202500197"/>
    <x v="147"/>
    <d v="2025-12-01T00:00:00"/>
    <s v="CUST-1207"/>
    <s v="Consumer"/>
    <s v="Philippines"/>
    <x v="2"/>
    <s v="Antipolo"/>
    <x v="0"/>
    <s v="Wireless Mouse"/>
    <s v="Wireless Mouse"/>
    <s v="Website"/>
    <s v="Cash on Delivery"/>
    <n v="2"/>
    <n v="1316.8"/>
    <n v="0.05"/>
    <n v="337.66"/>
    <n v="2501.9199999999996"/>
    <n v="112.68559999999991"/>
    <s v="No"/>
    <n v="3.8"/>
    <n v="4"/>
    <n v="0"/>
  </r>
  <r>
    <s v="ORD-202500198"/>
    <x v="111"/>
    <d v="2025-05-24T00:00:00"/>
    <s v="CUST-1114"/>
    <s v="Home Office"/>
    <s v="Philippines"/>
    <x v="3"/>
    <s v="Quezon City"/>
    <x v="1"/>
    <s v="Stapler"/>
    <s v="Stapler"/>
    <s v="Mobile App"/>
    <s v="Cash on Delivery"/>
    <n v="2"/>
    <n v="235.64"/>
    <n v="0"/>
    <n v="326.02999999999997"/>
    <n v="471.28"/>
    <n v="-175.22039999999998"/>
    <s v="No"/>
    <n v="5"/>
    <n v="3"/>
    <n v="0"/>
  </r>
  <r>
    <s v="ORD-202500199"/>
    <x v="157"/>
    <d v="2025-09-29T00:00:00"/>
    <s v="CUST-1161"/>
    <s v="Home Office"/>
    <s v="Philippines"/>
    <x v="3"/>
    <s v="Laoag"/>
    <x v="1"/>
    <s v="Pen Set"/>
    <s v="Pen Set"/>
    <s v="Mobile App"/>
    <s v="Bank Transfer"/>
    <n v="2"/>
    <n v="188.95"/>
    <n v="0"/>
    <n v="239.82"/>
    <n v="377.9"/>
    <n v="-194.47199999999998"/>
    <s v="Yes"/>
    <n v="3.5"/>
    <n v="2"/>
    <n v="1"/>
  </r>
  <r>
    <s v="ORD-202500200"/>
    <x v="158"/>
    <d v="2025-05-25T00:00:00"/>
    <s v="CUST-1207"/>
    <s v="Home Office"/>
    <s v="Philippines"/>
    <x v="2"/>
    <s v="Marikina"/>
    <x v="2"/>
    <s v="Air Purifier"/>
    <s v="Air Purifier"/>
    <s v="Website"/>
    <s v="Debit Card"/>
    <n v="1"/>
    <n v="10686.41"/>
    <n v="0.2"/>
    <n v="272.16000000000003"/>
    <n v="8549.1280000000006"/>
    <n v="1950.6132800000003"/>
    <s v="No"/>
    <n v="4.3"/>
    <n v="1"/>
    <n v="0"/>
  </r>
  <r>
    <s v="ORD-202500201"/>
    <x v="141"/>
    <d v="2025-04-28T00:00:00"/>
    <s v="CUST-1204"/>
    <s v="Consumer"/>
    <s v="Philippines"/>
    <x v="0"/>
    <s v="Davao City"/>
    <x v="0"/>
    <s v="Keyboard"/>
    <s v="Keyboard"/>
    <s v="Retail Store"/>
    <s v="E-Wallet"/>
    <n v="5"/>
    <n v="1599.23"/>
    <n v="0.1"/>
    <n v="740.05"/>
    <n v="7196.5349999999999"/>
    <n v="555.32629999999995"/>
    <s v="No"/>
    <n v="4.0999999999999996"/>
    <n v="5"/>
    <n v="0"/>
  </r>
  <r>
    <s v="ORD-202500202"/>
    <x v="159"/>
    <d v="2025-09-15T00:00:00"/>
    <s v="CUST-1079"/>
    <s v="Consumer"/>
    <s v="Philippines"/>
    <x v="3"/>
    <s v="Manila"/>
    <x v="0"/>
    <s v="Headphones"/>
    <s v="Headphones"/>
    <s v="Website"/>
    <s v="Cash on Delivery"/>
    <n v="2"/>
    <n v="3428.32"/>
    <n v="0.05"/>
    <n v="642.52"/>
    <n v="6513.808"/>
    <n v="529.96543999999994"/>
    <s v="No"/>
    <n v="4.2"/>
    <n v="5"/>
    <n v="0"/>
  </r>
  <r>
    <s v="ORD-202500203"/>
    <x v="160"/>
    <d v="2025-04-08T00:00:00"/>
    <s v="CUST-1082"/>
    <s v="Consumer"/>
    <s v="Philippines"/>
    <x v="0"/>
    <s v="Davao City"/>
    <x v="1"/>
    <s v="Desk Organizer"/>
    <s v="Desk Organizer"/>
    <s v="Retail Store"/>
    <s v="Credit Card"/>
    <n v="2"/>
    <n v="813.8"/>
    <n v="0"/>
    <n v="162"/>
    <n v="1627.6"/>
    <n v="358.83199999999999"/>
    <s v="No"/>
    <n v="4.4000000000000004"/>
    <n v="7"/>
    <n v="0"/>
  </r>
  <r>
    <s v="ORD-202500204"/>
    <x v="151"/>
    <d v="2025-08-19T00:00:00"/>
    <s v="CUST-1163"/>
    <s v="Home Office"/>
    <s v="Philippines"/>
    <x v="2"/>
    <s v="Marikina"/>
    <x v="1"/>
    <s v="Desk Organizer"/>
    <s v="Desk Organizer"/>
    <s v="Marketplace"/>
    <s v="Cash on Delivery"/>
    <n v="4"/>
    <n v="662.88"/>
    <n v="0.05"/>
    <n v="219.72"/>
    <n v="2518.944"/>
    <n v="586.34208000000001"/>
    <s v="No"/>
    <n v="4.4000000000000004"/>
    <n v="7"/>
    <n v="0"/>
  </r>
  <r>
    <s v="ORD-202500205"/>
    <x v="46"/>
    <d v="2025-12-22T00:00:00"/>
    <s v="CUST-1032"/>
    <s v="Consumer"/>
    <s v="Philippines"/>
    <x v="3"/>
    <s v="Laoag"/>
    <x v="2"/>
    <s v="Air Purifier"/>
    <s v="Air Purifier"/>
    <s v="Website"/>
    <s v="E-Wallet"/>
    <n v="6"/>
    <n v="11117.47"/>
    <n v="0"/>
    <n v="1402.94"/>
    <n v="66704.819999999992"/>
    <n v="15940.313199999999"/>
    <s v="No"/>
    <n v="4.8"/>
    <n v="3"/>
    <n v="0"/>
  </r>
  <r>
    <s v="ORD-202500206"/>
    <x v="14"/>
    <d v="2025-05-05T00:00:00"/>
    <s v="CUST-1081"/>
    <s v="Consumer"/>
    <s v="Philippines"/>
    <x v="3"/>
    <s v="Baguio"/>
    <x v="3"/>
    <s v="Bookshelf"/>
    <s v="Bookshelf"/>
    <s v="Website"/>
    <s v="Credit Card"/>
    <n v="2"/>
    <n v="7254.69"/>
    <n v="0.1"/>
    <n v="325.08"/>
    <n v="13058.441999999999"/>
    <n v="2808.9460799999997"/>
    <s v="No"/>
    <n v="4.9000000000000004"/>
    <n v="3"/>
    <n v="0"/>
  </r>
  <r>
    <s v="ORD-202500207"/>
    <x v="161"/>
    <d v="2025-08-05T00:00:00"/>
    <s v="CUST-1105"/>
    <s v="Corporate"/>
    <s v="Philippines"/>
    <x v="1"/>
    <s v="Pasay"/>
    <x v="1"/>
    <s v="Printer Paper"/>
    <s v="Printer Paper"/>
    <s v="Retail Store"/>
    <s v="Cash on Delivery"/>
    <n v="3"/>
    <n v="456.18"/>
    <n v="0"/>
    <n v="142.54"/>
    <n v="1368.54"/>
    <n v="295.39279999999997"/>
    <s v="No"/>
    <n v="4.2"/>
    <n v="2"/>
    <n v="0"/>
  </r>
  <r>
    <s v="ORD-202500208"/>
    <x v="50"/>
    <d v="2025-02-24T00:00:00"/>
    <s v="CUST-1087"/>
    <s v="Consumer"/>
    <s v="Philippines"/>
    <x v="1"/>
    <s v="Paranaque"/>
    <x v="1"/>
    <s v="Desk Organizer"/>
    <s v="Desk Organizer"/>
    <s v="Social Commerce"/>
    <s v="Credit Card"/>
    <n v="2"/>
    <n v="822.91"/>
    <n v="0.2"/>
    <n v="506.25"/>
    <n v="1316.6559999999999"/>
    <n v="-84.920079999999984"/>
    <s v="No"/>
    <n v="4.7"/>
    <n v="1"/>
    <n v="0"/>
  </r>
  <r>
    <s v="ORD-202500209"/>
    <x v="162"/>
    <d v="2025-12-03T00:00:00"/>
    <s v="CUST-1155"/>
    <s v="Home Office"/>
    <s v="Philippines"/>
    <x v="0"/>
    <s v="Cebu City"/>
    <x v="0"/>
    <s v="Monitor"/>
    <s v="Monitor"/>
    <s v="Social Commerce"/>
    <s v="Bank Transfer"/>
    <n v="3"/>
    <n v="12062.73"/>
    <n v="0.1"/>
    <n v="774.02"/>
    <n v="32569.371000000003"/>
    <n v="5088.4667800000007"/>
    <s v="No"/>
    <n v="4.4000000000000004"/>
    <n v="2"/>
    <n v="0"/>
  </r>
  <r>
    <s v="ORD-202500210"/>
    <x v="153"/>
    <d v="2025-10-25T00:00:00"/>
    <s v="CUST-1125"/>
    <s v="Consumer"/>
    <s v="Philippines"/>
    <x v="2"/>
    <s v="Antipolo"/>
    <x v="3"/>
    <s v="Bookshelf"/>
    <s v="Bookshelf"/>
    <s v="Retail Store"/>
    <s v="Cash on Delivery"/>
    <n v="2"/>
    <n v="5909.12"/>
    <n v="0"/>
    <n v="621.04"/>
    <n v="11818.24"/>
    <n v="2215.3375999999998"/>
    <s v="No"/>
    <n v="4.5"/>
    <n v="5"/>
    <n v="0"/>
  </r>
  <r>
    <s v="ORD-202500211"/>
    <x v="12"/>
    <d v="2025-09-07T00:00:00"/>
    <s v="CUST-1029"/>
    <s v="Consumer"/>
    <s v="Philippines"/>
    <x v="1"/>
    <s v="Las Pinas"/>
    <x v="3"/>
    <s v="Bookshelf"/>
    <s v="Bookshelf"/>
    <s v="Website"/>
    <s v="Cash on Delivery"/>
    <n v="2"/>
    <n v="6443.49"/>
    <n v="0"/>
    <n v="379.66"/>
    <n v="12886.98"/>
    <n v="135.81919999999991"/>
    <s v="Yes"/>
    <n v="3.1"/>
    <n v="7"/>
    <n v="1"/>
  </r>
  <r>
    <s v="ORD-202500212"/>
    <x v="163"/>
    <d v="2025-05-23T00:00:00"/>
    <s v="CUST-1015"/>
    <s v="Consumer"/>
    <s v="Philippines"/>
    <x v="3"/>
    <s v="Manila"/>
    <x v="1"/>
    <s v="Desk Organizer"/>
    <s v="Desk Organizer"/>
    <s v="Mobile App"/>
    <s v="Cash on Delivery"/>
    <n v="1"/>
    <n v="628.80999999999995"/>
    <n v="0"/>
    <n v="387.3"/>
    <n v="628.80999999999995"/>
    <n v="-186.08080000000001"/>
    <s v="No"/>
    <n v="4.5"/>
    <n v="5"/>
    <n v="0"/>
  </r>
  <r>
    <s v="ORD-202500213"/>
    <x v="164"/>
    <d v="2025-12-25T00:00:00"/>
    <s v="CUST-1121"/>
    <s v="Corporate"/>
    <s v="Philippines"/>
    <x v="0"/>
    <s v="Cagayan de Oro"/>
    <x v="0"/>
    <s v="Wireless Mouse"/>
    <s v="Wireless Mouse"/>
    <s v="Social Commerce"/>
    <s v="Credit Card"/>
    <n v="2"/>
    <n v="1380.16"/>
    <n v="0.15"/>
    <n v="507.6"/>
    <n v="2346.2719999999999"/>
    <n v="-85.271040000000028"/>
    <s v="No"/>
    <n v="4.8"/>
    <n v="7"/>
    <n v="0"/>
  </r>
  <r>
    <s v="ORD-202500214"/>
    <x v="165"/>
    <d v="2025-04-01T00:00:00"/>
    <s v="CUST-1054"/>
    <s v="Small Business"/>
    <s v="Philippines"/>
    <x v="0"/>
    <s v="Cebu City"/>
    <x v="3"/>
    <s v="Filing Cabinet"/>
    <s v="Filing Cabinet"/>
    <s v="Website"/>
    <s v="Debit Card"/>
    <n v="4"/>
    <n v="6893.03"/>
    <n v="0.2"/>
    <n v="1014.66"/>
    <n v="22057.696"/>
    <n v="4279.1870399999998"/>
    <s v="No"/>
    <n v="4.9000000000000004"/>
    <n v="2"/>
    <n v="0"/>
  </r>
  <r>
    <s v="ORD-202500215"/>
    <x v="166"/>
    <d v="2025-07-23T00:00:00"/>
    <s v="CUST-1101"/>
    <s v="Corporate"/>
    <s v="Philippines"/>
    <x v="2"/>
    <s v="Taguig"/>
    <x v="2"/>
    <s v="Air Purifier"/>
    <s v="Air Purifier"/>
    <s v="Retail Store"/>
    <s v="Cash on Delivery"/>
    <n v="3"/>
    <n v="10587.8"/>
    <n v="0"/>
    <n v="641.75"/>
    <n v="31763.399999999998"/>
    <n v="7616.7340000000004"/>
    <s v="No"/>
    <n v="3.3"/>
    <n v="5"/>
    <n v="0"/>
  </r>
  <r>
    <s v="ORD-202500216"/>
    <x v="167"/>
    <d v="2025-02-22T00:00:00"/>
    <s v="CUST-1144"/>
    <s v="Small Business"/>
    <s v="Philippines"/>
    <x v="2"/>
    <s v="Pasig"/>
    <x v="2"/>
    <s v="Desk Lamp"/>
    <s v="Desk Lamp"/>
    <s v="Mobile App"/>
    <s v="Bank Transfer"/>
    <n v="3"/>
    <n v="1328.49"/>
    <n v="0"/>
    <n v="369.48"/>
    <n v="3985.4700000000003"/>
    <n v="666.74220000000014"/>
    <s v="No"/>
    <n v="3.8"/>
    <n v="1"/>
    <n v="0"/>
  </r>
  <r>
    <s v="ORD-202500217"/>
    <x v="168"/>
    <d v="2025-12-21T00:00:00"/>
    <s v="CUST-1102"/>
    <s v="Consumer"/>
    <s v="Philippines"/>
    <x v="2"/>
    <s v="Marikina"/>
    <x v="0"/>
    <s v="Wireless Mouse"/>
    <s v="Wireless Mouse"/>
    <s v="Social Commerce"/>
    <s v="E-Wallet"/>
    <n v="1"/>
    <n v="1350.26"/>
    <n v="0"/>
    <n v="260.05"/>
    <n v="1350.26"/>
    <n v="-17.003200000000021"/>
    <s v="No"/>
    <n v="4.2"/>
    <n v="6"/>
    <n v="0"/>
  </r>
  <r>
    <s v="ORD-202500218"/>
    <x v="169"/>
    <d v="2025-04-29T00:00:00"/>
    <s v="CUST-1076"/>
    <s v="Home Office"/>
    <s v="Philippines"/>
    <x v="1"/>
    <s v="Pasay"/>
    <x v="0"/>
    <s v="Wireless Mouse"/>
    <s v="Wireless Mouse"/>
    <s v="Marketplace"/>
    <s v="Credit Card"/>
    <n v="1"/>
    <n v="1132.0999999999999"/>
    <n v="0.15"/>
    <n v="519.32000000000005"/>
    <n v="962.28499999999985"/>
    <n v="-346.10870000000011"/>
    <s v="No"/>
    <n v="4.2"/>
    <n v="2"/>
    <n v="0"/>
  </r>
  <r>
    <s v="ORD-202500219"/>
    <x v="170"/>
    <d v="2025-07-18T00:00:00"/>
    <s v="CUST-1014"/>
    <s v="Corporate"/>
    <s v="Philippines"/>
    <x v="0"/>
    <s v="Cebu City"/>
    <x v="0"/>
    <s v="Headphones"/>
    <s v="Headphones"/>
    <s v="Mobile App"/>
    <s v="Cash on Delivery"/>
    <n v="5"/>
    <n v="3110.4"/>
    <n v="0"/>
    <n v="788.05"/>
    <n v="15552"/>
    <n v="2011.3099999999997"/>
    <s v="No"/>
    <n v="4.3"/>
    <n v="7"/>
    <n v="0"/>
  </r>
  <r>
    <s v="ORD-202500220"/>
    <x v="171"/>
    <d v="2025-07-10T00:00:00"/>
    <s v="CUST-1050"/>
    <s v="Consumer"/>
    <s v="Philippines"/>
    <x v="1"/>
    <s v="Las Pinas"/>
    <x v="1"/>
    <s v="Printer Paper"/>
    <s v="Printer Paper"/>
    <s v="Marketplace"/>
    <s v="Debit Card"/>
    <n v="2"/>
    <n v="444.45"/>
    <n v="0"/>
    <n v="589.51"/>
    <n v="888.9"/>
    <n v="-305.06200000000001"/>
    <s v="No"/>
    <n v="4.7"/>
    <n v="6"/>
    <n v="0"/>
  </r>
  <r>
    <s v="ORD-202500221"/>
    <x v="172"/>
    <d v="2025-07-02T00:00:00"/>
    <s v="CUST-1041"/>
    <s v="Small Business"/>
    <s v="Philippines"/>
    <x v="2"/>
    <s v="Antipolo"/>
    <x v="0"/>
    <s v="Wireless Mouse"/>
    <s v="Wireless Mouse"/>
    <s v="Website"/>
    <s v="Cash on Delivery"/>
    <n v="4"/>
    <n v="1133.1500000000001"/>
    <n v="0"/>
    <n v="276.3"/>
    <n v="4532.6000000000004"/>
    <n v="539.56799999999998"/>
    <s v="No"/>
    <n v="4"/>
    <n v="3"/>
    <n v="0"/>
  </r>
  <r>
    <s v="ORD-202500222"/>
    <x v="173"/>
    <d v="2025-12-17T00:00:00"/>
    <s v="CUST-1121"/>
    <s v="Home Office"/>
    <s v="Philippines"/>
    <x v="0"/>
    <s v="Cebu City"/>
    <x v="0"/>
    <s v="Headphones"/>
    <s v="Headphones"/>
    <s v="Retail Store"/>
    <s v="E-Wallet"/>
    <n v="3"/>
    <n v="3824.84"/>
    <n v="0"/>
    <n v="762.54"/>
    <n v="11474.52"/>
    <n v="1302.8735999999999"/>
    <s v="No"/>
    <n v="3.9"/>
    <n v="1"/>
    <n v="0"/>
  </r>
  <r>
    <s v="ORD-202500223"/>
    <x v="123"/>
    <d v="2025-08-27T00:00:00"/>
    <s v="CUST-1055"/>
    <s v="Corporate"/>
    <s v="Philippines"/>
    <x v="1"/>
    <s v="Makati"/>
    <x v="0"/>
    <s v="Keyboard"/>
    <s v="Keyboard"/>
    <s v="Mobile App"/>
    <s v="Cash on Delivery"/>
    <n v="3"/>
    <n v="1745.18"/>
    <n v="0"/>
    <n v="194.92"/>
    <n v="5235.54"/>
    <n v="747.47720000000004"/>
    <s v="No"/>
    <n v="3.8"/>
    <n v="3"/>
    <n v="0"/>
  </r>
  <r>
    <s v="ORD-202500224"/>
    <x v="174"/>
    <d v="2025-05-20T00:00:00"/>
    <s v="CUST-1182"/>
    <s v="Home Office"/>
    <s v="Philippines"/>
    <x v="2"/>
    <s v="Marikina"/>
    <x v="0"/>
    <s v="Monitor"/>
    <s v="Monitor"/>
    <s v="Retail Store"/>
    <s v="Cash on Delivery"/>
    <n v="2"/>
    <n v="10734.63"/>
    <n v="0"/>
    <n v="416.55"/>
    <n v="21469.26"/>
    <n v="3447.9167999999995"/>
    <s v="No"/>
    <n v="3.6"/>
    <n v="6"/>
    <n v="0"/>
  </r>
  <r>
    <s v="ORD-202500225"/>
    <x v="62"/>
    <d v="2025-06-04T00:00:00"/>
    <s v="CUST-1107"/>
    <s v="Consumer"/>
    <s v="Philippines"/>
    <x v="3"/>
    <s v="Quezon City"/>
    <x v="3"/>
    <s v="Standing Desk"/>
    <s v="Standing Desk"/>
    <s v="Marketplace"/>
    <s v="Bank Transfer"/>
    <n v="5"/>
    <n v="19468.09"/>
    <n v="0.05"/>
    <n v="2022"/>
    <n v="92473.427499999991"/>
    <n v="20171.622599999995"/>
    <s v="No"/>
    <n v="4.5999999999999996"/>
    <n v="3"/>
    <n v="0"/>
  </r>
  <r>
    <s v="ORD-202500226"/>
    <x v="175"/>
    <d v="2025-02-23T00:00:00"/>
    <s v="CUST-1032"/>
    <s v="Small Business"/>
    <s v="Philippines"/>
    <x v="0"/>
    <s v="Iloilo City"/>
    <x v="1"/>
    <s v="Notebook"/>
    <s v="Notebook"/>
    <s v="Mobile App"/>
    <s v="E-Wallet"/>
    <n v="2"/>
    <n v="137.53"/>
    <n v="0"/>
    <n v="417.9"/>
    <n v="275.06"/>
    <n v="-329.88079999999997"/>
    <s v="No"/>
    <n v="4.2"/>
    <n v="4"/>
    <n v="0"/>
  </r>
  <r>
    <s v="ORD-202500227"/>
    <x v="176"/>
    <d v="2025-03-06T00:00:00"/>
    <s v="CUST-1013"/>
    <s v="Small Business"/>
    <s v="Philippines"/>
    <x v="3"/>
    <s v="Laoag"/>
    <x v="2"/>
    <s v="Air Purifier"/>
    <s v="Air Purifier"/>
    <s v="Retail Store"/>
    <s v="Bank Transfer"/>
    <n v="2"/>
    <n v="9537.36"/>
    <n v="0.15"/>
    <n v="452.06"/>
    <n v="16213.512000000001"/>
    <n v="3763.4531200000006"/>
    <s v="No"/>
    <n v="3.6"/>
    <n v="4"/>
    <n v="0"/>
  </r>
  <r>
    <s v="ORD-202500228"/>
    <x v="114"/>
    <d v="2025-08-25T00:00:00"/>
    <s v="CUST-1080"/>
    <s v="Small Business"/>
    <s v="Philippines"/>
    <x v="0"/>
    <s v="Cebu City"/>
    <x v="3"/>
    <s v="Standing Desk"/>
    <s v="Standing Desk"/>
    <s v="Website"/>
    <s v="Credit Card"/>
    <n v="1"/>
    <n v="17317.05"/>
    <n v="0.1"/>
    <n v="435.86"/>
    <n v="15585.344999999999"/>
    <n v="3304.6227999999996"/>
    <s v="No"/>
    <n v="5"/>
    <n v="2"/>
    <n v="0"/>
  </r>
  <r>
    <s v="ORD-202500229"/>
    <x v="177"/>
    <d v="2025-09-15T00:00:00"/>
    <s v="CUST-1195"/>
    <s v="Small Business"/>
    <s v="Philippines"/>
    <x v="0"/>
    <s v="Cagayan de Oro"/>
    <x v="1"/>
    <s v="Stapler"/>
    <s v="Stapler"/>
    <s v="Mobile App"/>
    <s v="Bank Transfer"/>
    <n v="2"/>
    <n v="231.74"/>
    <n v="0"/>
    <n v="299.62"/>
    <n v="463.48"/>
    <n v="-244.00240000000002"/>
    <s v="Yes"/>
    <n v="3.1"/>
    <n v="7"/>
    <n v="1"/>
  </r>
  <r>
    <s v="ORD-202500230"/>
    <x v="13"/>
    <d v="2025-04-09T00:00:00"/>
    <s v="CUST-1173"/>
    <s v="Consumer"/>
    <s v="Philippines"/>
    <x v="0"/>
    <s v="Davao City"/>
    <x v="1"/>
    <s v="Pen Set"/>
    <s v="Pen Set"/>
    <s v="Website"/>
    <s v="Credit Card"/>
    <n v="2"/>
    <n v="190.19"/>
    <n v="0"/>
    <n v="555.29999999999995"/>
    <n v="380.38"/>
    <n v="-433.57839999999999"/>
    <s v="No"/>
    <n v="5"/>
    <n v="1"/>
    <n v="0"/>
  </r>
  <r>
    <s v="ORD-202500231"/>
    <x v="178"/>
    <d v="2025-06-02T00:00:00"/>
    <s v="CUST-1186"/>
    <s v="Corporate"/>
    <s v="Philippines"/>
    <x v="2"/>
    <s v="Taguig"/>
    <x v="2"/>
    <s v="Coffee Maker"/>
    <s v="Coffee Maker"/>
    <s v="Website"/>
    <s v="Bank Transfer"/>
    <n v="2"/>
    <n v="4495.33"/>
    <n v="0.2"/>
    <n v="738.24"/>
    <n v="7192.5280000000002"/>
    <n v="1131.8172800000002"/>
    <s v="No"/>
    <n v="4.4000000000000004"/>
    <n v="4"/>
    <n v="0"/>
  </r>
  <r>
    <s v="ORD-202500232"/>
    <x v="146"/>
    <d v="2025-03-11T00:00:00"/>
    <s v="CUST-1187"/>
    <s v="Consumer"/>
    <s v="Philippines"/>
    <x v="0"/>
    <s v="Cebu City"/>
    <x v="3"/>
    <s v="Office Chair"/>
    <s v="Office Chair"/>
    <s v="Mobile App"/>
    <s v="E-Wallet"/>
    <n v="4"/>
    <n v="9068.99"/>
    <n v="0.05"/>
    <n v="651.48"/>
    <n v="34462.161999999997"/>
    <n v="7619.4388799999997"/>
    <s v="No"/>
    <n v="5"/>
    <n v="2"/>
    <n v="0"/>
  </r>
  <r>
    <s v="ORD-202500233"/>
    <x v="179"/>
    <d v="2025-01-12T00:00:00"/>
    <s v="CUST-1176"/>
    <s v="Consumer"/>
    <s v="Philippines"/>
    <x v="1"/>
    <s v="Las Pinas"/>
    <x v="0"/>
    <s v="Keyboard"/>
    <s v="Keyboard"/>
    <s v="Mobile App"/>
    <s v="Debit Card"/>
    <n v="1"/>
    <n v="1954.3"/>
    <n v="0"/>
    <n v="349.21"/>
    <n v="1954.3"/>
    <n v="2.5640000000000214"/>
    <s v="No"/>
    <n v="3.7"/>
    <n v="1"/>
    <n v="0"/>
  </r>
  <r>
    <s v="ORD-202500234"/>
    <x v="180"/>
    <d v="2025-12-27T00:00:00"/>
    <s v="CUST-1107"/>
    <s v="Small Business"/>
    <s v="Philippines"/>
    <x v="3"/>
    <s v="Manila"/>
    <x v="0"/>
    <s v="Laptop"/>
    <s v="Laptop"/>
    <s v="Mobile App"/>
    <s v="Cash on Delivery"/>
    <n v="1"/>
    <n v="49862.71"/>
    <n v="0.05"/>
    <n v="942.89"/>
    <n v="47369.574499999995"/>
    <n v="7583.6334099999976"/>
    <s v="No"/>
    <n v="4.3"/>
    <n v="2"/>
    <n v="0"/>
  </r>
  <r>
    <s v="ORD-202500235"/>
    <x v="62"/>
    <d v="2025-06-03T00:00:00"/>
    <s v="CUST-1010"/>
    <s v="Corporate"/>
    <s v="Philippines"/>
    <x v="0"/>
    <s v="Cagayan de Oro"/>
    <x v="3"/>
    <s v="Office Chair"/>
    <s v="Office Chair"/>
    <s v="Website"/>
    <s v="Credit Card"/>
    <n v="5"/>
    <n v="9609.84"/>
    <n v="0.1"/>
    <n v="885.75"/>
    <n v="43244.28"/>
    <n v="9492.877199999999"/>
    <s v="No"/>
    <n v="3.6"/>
    <n v="2"/>
    <n v="0"/>
  </r>
  <r>
    <s v="ORD-202500236"/>
    <x v="167"/>
    <d v="2025-02-24T00:00:00"/>
    <s v="CUST-1164"/>
    <s v="Consumer"/>
    <s v="Philippines"/>
    <x v="2"/>
    <s v="Pasig"/>
    <x v="3"/>
    <s v="Office Chair"/>
    <s v="Office Chair"/>
    <s v="Retail Store"/>
    <s v="Credit Card"/>
    <n v="5"/>
    <n v="8398.5499999999993"/>
    <n v="0.1"/>
    <n v="952.71"/>
    <n v="37793.474999999999"/>
    <n v="8117.7239999999993"/>
    <s v="No"/>
    <n v="4.3"/>
    <n v="3"/>
    <n v="0"/>
  </r>
  <r>
    <s v="ORD-202500237"/>
    <x v="181"/>
    <d v="2025-01-25T00:00:00"/>
    <s v="CUST-1035"/>
    <s v="Corporate"/>
    <s v="Philippines"/>
    <x v="0"/>
    <s v="Iloilo City"/>
    <x v="3"/>
    <s v="Filing Cabinet"/>
    <s v="Filing Cabinet"/>
    <s v="Social Commerce"/>
    <s v="E-Wallet"/>
    <n v="5"/>
    <n v="6536.77"/>
    <n v="0.15"/>
    <n v="674.49"/>
    <n v="27781.272500000003"/>
    <n v="5993.0154000000002"/>
    <s v="No"/>
    <n v="4.7"/>
    <n v="1"/>
    <n v="0"/>
  </r>
  <r>
    <s v="ORD-202500238"/>
    <x v="95"/>
    <d v="2025-07-23T00:00:00"/>
    <s v="CUST-1122"/>
    <s v="Small Business"/>
    <s v="Philippines"/>
    <x v="0"/>
    <s v="Cebu City"/>
    <x v="0"/>
    <s v="Laptop"/>
    <s v="Laptop"/>
    <s v="Social Commerce"/>
    <s v="Debit Card"/>
    <n v="1"/>
    <n v="59975.14"/>
    <n v="0.05"/>
    <n v="1303.92"/>
    <n v="56976.382999999994"/>
    <n v="8951.8289399999994"/>
    <s v="No"/>
    <n v="4.2"/>
    <n v="6"/>
    <n v="0"/>
  </r>
  <r>
    <s v="ORD-202500239"/>
    <x v="40"/>
    <d v="2025-11-13T00:00:00"/>
    <s v="CUST-1199"/>
    <s v="Consumer"/>
    <s v="Philippines"/>
    <x v="3"/>
    <s v="Quezon City"/>
    <x v="3"/>
    <s v="Filing Cabinet"/>
    <s v="Filing Cabinet"/>
    <s v="Website"/>
    <s v="Bank Transfer"/>
    <n v="2"/>
    <n v="6472.81"/>
    <n v="0.1"/>
    <n v="281.23"/>
    <n v="11651.058000000001"/>
    <n v="2515.0239200000001"/>
    <s v="No"/>
    <n v="3.6"/>
    <n v="4"/>
    <n v="0"/>
  </r>
  <r>
    <s v="ORD-202500240"/>
    <x v="182"/>
    <d v="2025-10-19T00:00:00"/>
    <s v="CUST-1171"/>
    <s v="Small Business"/>
    <s v="Philippines"/>
    <x v="3"/>
    <s v="Laoag"/>
    <x v="1"/>
    <s v="Notebook"/>
    <s v="Notebook"/>
    <s v="Mobile App"/>
    <s v="Bank Transfer"/>
    <n v="1"/>
    <n v="135.35"/>
    <n v="0.2"/>
    <n v="431.39"/>
    <n v="108.28"/>
    <n v="-418.39639999999997"/>
    <s v="Yes"/>
    <n v="3.4"/>
    <n v="2"/>
    <n v="1"/>
  </r>
  <r>
    <s v="ORD-202500241"/>
    <x v="75"/>
    <d v="2025-03-27T00:00:00"/>
    <s v="CUST-1120"/>
    <s v="Small Business"/>
    <s v="Philippines"/>
    <x v="0"/>
    <s v="Cebu City"/>
    <x v="1"/>
    <s v="Pen Set"/>
    <s v="Pen Set"/>
    <s v="Website"/>
    <s v="E-Wallet"/>
    <n v="1"/>
    <n v="170.43"/>
    <n v="0.1"/>
    <n v="312.42"/>
    <n v="153.387"/>
    <n v="-263.33616000000001"/>
    <s v="No"/>
    <n v="3.6"/>
    <n v="5"/>
    <n v="0"/>
  </r>
  <r>
    <s v="ORD-202500242"/>
    <x v="183"/>
    <d v="2025-08-19T00:00:00"/>
    <s v="CUST-1127"/>
    <s v="Consumer"/>
    <s v="Philippines"/>
    <x v="3"/>
    <s v="Laoag"/>
    <x v="1"/>
    <s v="Printer Paper"/>
    <s v="Printer Paper"/>
    <s v="Website"/>
    <s v="Bank Transfer"/>
    <n v="1"/>
    <n v="438.79"/>
    <n v="0.15"/>
    <n v="537.9"/>
    <n v="372.97149999999999"/>
    <n v="-418.54911999999996"/>
    <s v="No"/>
    <n v="4.5999999999999996"/>
    <n v="1"/>
    <n v="0"/>
  </r>
  <r>
    <s v="ORD-202500243"/>
    <x v="184"/>
    <d v="2025-11-26T00:00:00"/>
    <s v="CUST-1130"/>
    <s v="Corporate"/>
    <s v="Philippines"/>
    <x v="1"/>
    <s v="Pasay"/>
    <x v="3"/>
    <s v="Office Chair"/>
    <s v="Office Chair"/>
    <s v="Retail Store"/>
    <s v="Bank Transfer"/>
    <n v="2"/>
    <n v="9436.91"/>
    <n v="0.05"/>
    <n v="771.6"/>
    <n v="17930.128999999997"/>
    <n v="3531.630959999999"/>
    <s v="No"/>
    <n v="4.2"/>
    <n v="3"/>
    <n v="0"/>
  </r>
  <r>
    <s v="ORD-202500244"/>
    <x v="185"/>
    <d v="2025-12-06T00:00:00"/>
    <s v="CUST-1000"/>
    <s v="Consumer"/>
    <s v="Philippines"/>
    <x v="2"/>
    <s v="Pasig"/>
    <x v="1"/>
    <s v="Printer Paper"/>
    <s v="Printer Paper"/>
    <s v="Retail Store"/>
    <s v="Bank Transfer"/>
    <n v="1"/>
    <n v="459.92"/>
    <n v="0.1"/>
    <n v="147.87"/>
    <n v="413.928"/>
    <n v="-15.413039999999995"/>
    <s v="No"/>
    <n v="4.4000000000000004"/>
    <n v="2"/>
    <n v="0"/>
  </r>
  <r>
    <s v="ORD-202500245"/>
    <x v="186"/>
    <d v="2025-04-08T00:00:00"/>
    <s v="CUST-1100"/>
    <s v="Consumer"/>
    <s v="Philippines"/>
    <x v="0"/>
    <s v="Iloilo City"/>
    <x v="0"/>
    <s v="Wireless Mouse"/>
    <s v="Wireless Mouse"/>
    <s v="Website"/>
    <s v="Cash on Delivery"/>
    <n v="1"/>
    <n v="1377.03"/>
    <n v="0.05"/>
    <n v="436.57"/>
    <n v="1308.1785"/>
    <n v="-201.09787"/>
    <s v="No"/>
    <n v="4.4000000000000004"/>
    <n v="1"/>
    <n v="0"/>
  </r>
  <r>
    <s v="ORD-202500246"/>
    <x v="187"/>
    <d v="2025-01-30T00:00:00"/>
    <s v="CUST-1110"/>
    <s v="Small Business"/>
    <s v="Philippines"/>
    <x v="1"/>
    <s v="Paranaque"/>
    <x v="1"/>
    <s v="Notebook"/>
    <s v="Notebook"/>
    <s v="Marketplace"/>
    <s v="Debit Card"/>
    <n v="1"/>
    <n v="129.27000000000001"/>
    <n v="0.05"/>
    <n v="265.39"/>
    <n v="122.8065"/>
    <n v="-226.09191999999999"/>
    <s v="No"/>
    <n v="4.3"/>
    <n v="5"/>
    <n v="0"/>
  </r>
  <r>
    <s v="ORD-202500247"/>
    <x v="161"/>
    <d v="2025-08-08T00:00:00"/>
    <s v="CUST-1177"/>
    <s v="Small Business"/>
    <s v="Philippines"/>
    <x v="2"/>
    <s v="Taguig"/>
    <x v="2"/>
    <s v="Desk Lamp"/>
    <s v="Desk Lamp"/>
    <s v="Mobile App"/>
    <s v="Debit Card"/>
    <n v="1"/>
    <n v="1378.98"/>
    <n v="0.15"/>
    <n v="392.69"/>
    <n v="1172.133"/>
    <n v="-87.935419999999965"/>
    <s v="No"/>
    <n v="4"/>
    <n v="5"/>
    <n v="0"/>
  </r>
  <r>
    <s v="ORD-202500248"/>
    <x v="7"/>
    <d v="2025-10-17T00:00:00"/>
    <s v="CUST-1055"/>
    <s v="Consumer"/>
    <s v="Philippines"/>
    <x v="2"/>
    <s v="Pasig"/>
    <x v="2"/>
    <s v="Coffee Maker"/>
    <s v="Coffee Maker"/>
    <s v="Social Commerce"/>
    <s v="Debit Card"/>
    <n v="2"/>
    <n v="5223.8100000000004"/>
    <n v="0"/>
    <n v="302.5"/>
    <n v="10447.620000000001"/>
    <n v="2413.8812000000003"/>
    <s v="No"/>
    <n v="4.0999999999999996"/>
    <n v="6"/>
    <n v="0"/>
  </r>
  <r>
    <s v="ORD-202500249"/>
    <x v="101"/>
    <d v="2025-09-08T00:00:00"/>
    <s v="CUST-1146"/>
    <s v="Home Office"/>
    <s v="Philippines"/>
    <x v="1"/>
    <s v="Pasay"/>
    <x v="2"/>
    <s v="Storage Bin"/>
    <s v="Storage Bin"/>
    <s v="Retail Store"/>
    <s v="Cash on Delivery"/>
    <n v="1"/>
    <n v="546.84"/>
    <n v="0"/>
    <n v="120.47"/>
    <n v="546.84"/>
    <n v="21.708400000000012"/>
    <s v="No"/>
    <n v="4.5999999999999996"/>
    <n v="5"/>
    <n v="0"/>
  </r>
  <r>
    <s v="ORD-202500250"/>
    <x v="173"/>
    <d v="2025-12-19T00:00:00"/>
    <s v="CUST-1037"/>
    <s v="Small Business"/>
    <s v="Philippines"/>
    <x v="2"/>
    <s v="Marikina"/>
    <x v="1"/>
    <s v="Printer Paper"/>
    <s v="Printer Paper"/>
    <s v="Mobile App"/>
    <s v="Bank Transfer"/>
    <n v="1"/>
    <n v="478.97"/>
    <n v="0.1"/>
    <n v="580.14"/>
    <n v="431.07300000000004"/>
    <n v="-442.19664"/>
    <s v="No"/>
    <n v="3.1"/>
    <n v="3"/>
    <n v="0"/>
  </r>
  <r>
    <s v="ORD-202500251"/>
    <x v="99"/>
    <d v="2025-10-19T00:00:00"/>
    <s v="CUST-1060"/>
    <s v="Corporate"/>
    <s v="Philippines"/>
    <x v="2"/>
    <s v="Antipolo"/>
    <x v="2"/>
    <s v="Storage Bin"/>
    <s v="Storage Bin"/>
    <s v="Mobile App"/>
    <s v="E-Wallet"/>
    <n v="7"/>
    <n v="492.88"/>
    <n v="0.1"/>
    <n v="247.51"/>
    <n v="3105.1439999999998"/>
    <n v="559.82744000000002"/>
    <s v="No"/>
    <n v="4.7"/>
    <n v="4"/>
    <n v="0"/>
  </r>
  <r>
    <s v="ORD-202500252"/>
    <x v="188"/>
    <d v="2025-05-02T00:00:00"/>
    <s v="CUST-1180"/>
    <s v="Small Business"/>
    <s v="Philippines"/>
    <x v="2"/>
    <s v="Marikina"/>
    <x v="1"/>
    <s v="Notebook"/>
    <s v="Notebook"/>
    <s v="Website"/>
    <s v="Debit Card"/>
    <n v="7"/>
    <n v="108.28"/>
    <n v="0.25"/>
    <n v="510.36"/>
    <n v="568.47"/>
    <n v="-328.44960000000003"/>
    <s v="No"/>
    <n v="3.9"/>
    <n v="6"/>
    <n v="0"/>
  </r>
  <r>
    <s v="ORD-202500253"/>
    <x v="189"/>
    <d v="2025-01-25T00:00:00"/>
    <s v="CUST-1071"/>
    <s v="Corporate"/>
    <s v="Philippines"/>
    <x v="0"/>
    <s v="Davao City"/>
    <x v="1"/>
    <s v="Pen Set"/>
    <s v="Pen Set"/>
    <s v="Website"/>
    <s v="Bank Transfer"/>
    <n v="3"/>
    <n v="166.76"/>
    <n v="0"/>
    <n v="271.39999999999998"/>
    <n v="500.28"/>
    <n v="-111.31039999999999"/>
    <s v="No"/>
    <n v="4.9000000000000004"/>
    <n v="4"/>
    <n v="0"/>
  </r>
  <r>
    <s v="ORD-202500254"/>
    <x v="3"/>
    <d v="2025-12-08T00:00:00"/>
    <s v="CUST-1125"/>
    <s v="Small Business"/>
    <s v="Philippines"/>
    <x v="2"/>
    <s v="Antipolo"/>
    <x v="1"/>
    <s v="Pen Set"/>
    <s v="Pen Set"/>
    <s v="Mobile App"/>
    <s v="Debit Card"/>
    <n v="2"/>
    <n v="200.86"/>
    <n v="0"/>
    <n v="395.58"/>
    <n v="401.72"/>
    <n v="-267.02959999999996"/>
    <s v="No"/>
    <n v="4.0999999999999996"/>
    <n v="3"/>
    <n v="0"/>
  </r>
  <r>
    <s v="ORD-202500255"/>
    <x v="18"/>
    <d v="2025-06-30T00:00:00"/>
    <s v="CUST-1054"/>
    <s v="Corporate"/>
    <s v="Philippines"/>
    <x v="2"/>
    <s v="Pasig"/>
    <x v="0"/>
    <s v="Headphones"/>
    <s v="Headphones"/>
    <s v="Mobile App"/>
    <s v="Cash on Delivery"/>
    <n v="4"/>
    <n v="4110.1899999999996"/>
    <n v="0"/>
    <n v="707.91"/>
    <n v="16440.759999999998"/>
    <n v="2251.4267999999997"/>
    <s v="No"/>
    <n v="4.9000000000000004"/>
    <n v="2"/>
    <n v="0"/>
  </r>
  <r>
    <s v="ORD-202500256"/>
    <x v="34"/>
    <d v="2025-11-17T00:00:00"/>
    <s v="CUST-1010"/>
    <s v="Corporate"/>
    <s v="Philippines"/>
    <x v="2"/>
    <s v="Taguig"/>
    <x v="2"/>
    <s v="Air Purifier"/>
    <s v="Air Purifier"/>
    <s v="Mobile App"/>
    <s v="Cash on Delivery"/>
    <n v="4"/>
    <n v="8430.41"/>
    <n v="0.05"/>
    <n v="1025.01"/>
    <n v="32035.557999999997"/>
    <n v="7304.2350799999986"/>
    <s v="No"/>
    <n v="4"/>
    <n v="2"/>
    <n v="0"/>
  </r>
  <r>
    <s v="ORD-202500257"/>
    <x v="190"/>
    <d v="2025-09-22T00:00:00"/>
    <s v="CUST-1124"/>
    <s v="Consumer"/>
    <s v="Philippines"/>
    <x v="0"/>
    <s v="Iloilo City"/>
    <x v="3"/>
    <s v="Office Chair"/>
    <s v="Office Chair"/>
    <s v="Website"/>
    <s v="Cash on Delivery"/>
    <n v="2"/>
    <n v="9078.68"/>
    <n v="0"/>
    <n v="711.18"/>
    <n v="18157.36"/>
    <n v="3646.5864000000006"/>
    <s v="No"/>
    <n v="4"/>
    <n v="4"/>
    <n v="0"/>
  </r>
  <r>
    <s v="ORD-202500258"/>
    <x v="191"/>
    <d v="2025-04-21T00:00:00"/>
    <s v="CUST-1179"/>
    <s v="Small Business"/>
    <s v="Philippines"/>
    <x v="1"/>
    <s v="Makati"/>
    <x v="1"/>
    <s v="Notebook"/>
    <s v="Notebook"/>
    <s v="Website"/>
    <s v="E-Wallet"/>
    <n v="1"/>
    <n v="108.24"/>
    <n v="0"/>
    <n v="225.21"/>
    <n v="108.24"/>
    <n v="-190.57320000000001"/>
    <s v="No"/>
    <n v="3.6"/>
    <n v="5"/>
    <n v="0"/>
  </r>
  <r>
    <s v="ORD-202500259"/>
    <x v="169"/>
    <d v="2025-04-30T00:00:00"/>
    <s v="CUST-1104"/>
    <s v="Consumer"/>
    <s v="Philippines"/>
    <x v="1"/>
    <s v="Las Pinas"/>
    <x v="0"/>
    <s v="Wireless Mouse"/>
    <s v="Wireless Mouse"/>
    <s v="Marketplace"/>
    <s v="Cash on Delivery"/>
    <n v="1"/>
    <n v="1315.3"/>
    <n v="0"/>
    <n v="524.91999999999996"/>
    <n v="1315.3"/>
    <n v="-551.22599999999989"/>
    <s v="Yes"/>
    <n v="3.8"/>
    <n v="3"/>
    <n v="1"/>
  </r>
  <r>
    <s v="ORD-202500260"/>
    <x v="192"/>
    <d v="2025-09-16T00:00:00"/>
    <s v="CUST-1074"/>
    <s v="Small Business"/>
    <s v="Philippines"/>
    <x v="2"/>
    <s v="Antipolo"/>
    <x v="0"/>
    <s v="Wireless Mouse"/>
    <s v="Wireless Mouse"/>
    <s v="Mobile App"/>
    <s v="Credit Card"/>
    <n v="2"/>
    <n v="1248.05"/>
    <n v="0"/>
    <n v="340.31"/>
    <n v="2496.1"/>
    <n v="108.98799999999994"/>
    <s v="No"/>
    <n v="4"/>
    <n v="1"/>
    <n v="0"/>
  </r>
  <r>
    <s v="ORD-202500261"/>
    <x v="33"/>
    <d v="2025-10-10T00:00:00"/>
    <s v="CUST-1162"/>
    <s v="Consumer"/>
    <s v="Philippines"/>
    <x v="2"/>
    <s v="Antipolo"/>
    <x v="1"/>
    <s v="Desk Organizer"/>
    <s v="Desk Organizer"/>
    <s v="Website"/>
    <s v="Credit Card"/>
    <n v="1"/>
    <n v="741.3"/>
    <n v="0.05"/>
    <n v="630.9"/>
    <n v="704.2349999999999"/>
    <n v="-405.54480000000001"/>
    <s v="No"/>
    <n v="4.3"/>
    <n v="3"/>
    <n v="0"/>
  </r>
  <r>
    <s v="ORD-202500262"/>
    <x v="42"/>
    <d v="2025-06-28T00:00:00"/>
    <s v="CUST-1105"/>
    <s v="Home Office"/>
    <s v="Philippines"/>
    <x v="0"/>
    <s v="Davao City"/>
    <x v="0"/>
    <s v="Headphones"/>
    <s v="Headphones"/>
    <s v="Retail Store"/>
    <s v="Debit Card"/>
    <n v="1"/>
    <n v="3784.53"/>
    <n v="0.05"/>
    <n v="167.77"/>
    <n v="3595.3035"/>
    <n v="479.38463000000002"/>
    <s v="No"/>
    <n v="3.4"/>
    <n v="2"/>
    <n v="0"/>
  </r>
  <r>
    <s v="ORD-202500263"/>
    <x v="193"/>
    <d v="2025-10-13T00:00:00"/>
    <s v="CUST-1165"/>
    <s v="Corporate"/>
    <s v="Philippines"/>
    <x v="2"/>
    <s v="Antipolo"/>
    <x v="0"/>
    <s v="Monitor"/>
    <s v="Monitor"/>
    <s v="Marketplace"/>
    <s v="Bank Transfer"/>
    <n v="6"/>
    <n v="10858.56"/>
    <n v="0.1"/>
    <n v="1190.95"/>
    <n v="58636.224000000002"/>
    <n v="9363.5703199999989"/>
    <s v="No"/>
    <n v="4.5999999999999996"/>
    <n v="4"/>
    <n v="0"/>
  </r>
  <r>
    <s v="ORD-202500264"/>
    <x v="194"/>
    <d v="2025-09-10T00:00:00"/>
    <s v="CUST-1084"/>
    <s v="Corporate"/>
    <s v="Philippines"/>
    <x v="2"/>
    <s v="Marikina"/>
    <x v="1"/>
    <s v="Pen Set"/>
    <s v="Pen Set"/>
    <s v="Retail Store"/>
    <s v="Bank Transfer"/>
    <n v="1"/>
    <n v="175.31"/>
    <n v="0.1"/>
    <n v="488.58"/>
    <n v="157.779"/>
    <n v="-438.09071999999998"/>
    <s v="No"/>
    <n v="4.5"/>
    <n v="4"/>
    <n v="0"/>
  </r>
  <r>
    <s v="ORD-202500265"/>
    <x v="20"/>
    <d v="2025-05-29T00:00:00"/>
    <s v="CUST-1092"/>
    <s v="Consumer"/>
    <s v="Philippines"/>
    <x v="2"/>
    <s v="Taguig"/>
    <x v="3"/>
    <s v="Bookshelf"/>
    <s v="Bookshelf"/>
    <s v="Marketplace"/>
    <s v="Bank Transfer"/>
    <n v="3"/>
    <n v="6062.75"/>
    <n v="0.05"/>
    <n v="832.65"/>
    <n v="17278.837499999998"/>
    <n v="3314.2709999999993"/>
    <s v="No"/>
    <n v="4.5999999999999996"/>
    <n v="7"/>
    <n v="0"/>
  </r>
  <r>
    <s v="ORD-202500266"/>
    <x v="195"/>
    <d v="2025-05-21T00:00:00"/>
    <s v="CUST-1160"/>
    <s v="Consumer"/>
    <s v="Philippines"/>
    <x v="3"/>
    <s v="Manila"/>
    <x v="2"/>
    <s v="Air Purifier"/>
    <s v="Air Purifier"/>
    <s v="Retail Store"/>
    <s v="Cash on Delivery"/>
    <n v="2"/>
    <n v="10041.6"/>
    <n v="0.2"/>
    <n v="695.66"/>
    <n v="16066.560000000001"/>
    <n v="3481.6456000000007"/>
    <s v="No"/>
    <n v="4.7"/>
    <n v="6"/>
    <n v="0"/>
  </r>
  <r>
    <s v="ORD-202500267"/>
    <x v="196"/>
    <d v="2025-10-08T00:00:00"/>
    <s v="CUST-1167"/>
    <s v="Small Business"/>
    <s v="Philippines"/>
    <x v="2"/>
    <s v="Taguig"/>
    <x v="0"/>
    <s v="Headphones"/>
    <s v="Headphones"/>
    <s v="Marketplace"/>
    <s v="E-Wallet"/>
    <n v="1"/>
    <n v="3606.18"/>
    <n v="0"/>
    <n v="341.5"/>
    <n v="3606.18"/>
    <n v="-413.62360000000001"/>
    <s v="Yes"/>
    <n v="3.6"/>
    <n v="4"/>
    <n v="1"/>
  </r>
  <r>
    <s v="ORD-202500268"/>
    <x v="197"/>
    <d v="2025-11-17T00:00:00"/>
    <s v="CUST-1042"/>
    <s v="Small Business"/>
    <s v="Philippines"/>
    <x v="0"/>
    <s v="Cagayan de Oro"/>
    <x v="0"/>
    <s v="Headphones"/>
    <s v="Headphones"/>
    <s v="Social Commerce"/>
    <s v="Debit Card"/>
    <n v="4"/>
    <n v="3587.68"/>
    <n v="0"/>
    <n v="419.99"/>
    <n v="14350.72"/>
    <n v="2163.1395999999995"/>
    <s v="No"/>
    <n v="5"/>
    <n v="6"/>
    <n v="0"/>
  </r>
  <r>
    <s v="ORD-202500269"/>
    <x v="198"/>
    <d v="2025-02-05T00:00:00"/>
    <s v="CUST-1094"/>
    <s v="Consumer"/>
    <s v="Philippines"/>
    <x v="0"/>
    <s v="Iloilo City"/>
    <x v="3"/>
    <s v="Filing Cabinet"/>
    <s v="Filing Cabinet"/>
    <s v="Retail Store"/>
    <s v="Credit Card"/>
    <n v="7"/>
    <n v="7035.99"/>
    <n v="0.1"/>
    <n v="1115.96"/>
    <n v="44326.737000000001"/>
    <n v="9522.4568800000015"/>
    <s v="No"/>
    <n v="4.5"/>
    <n v="3"/>
    <n v="0"/>
  </r>
  <r>
    <s v="ORD-202500270"/>
    <x v="67"/>
    <d v="2025-10-11T00:00:00"/>
    <s v="CUST-1044"/>
    <s v="Consumer"/>
    <s v="Philippines"/>
    <x v="1"/>
    <s v="Pasay"/>
    <x v="1"/>
    <s v="Printer Paper"/>
    <s v="Printer Paper"/>
    <s v="Mobile App"/>
    <s v="Bank Transfer"/>
    <n v="7"/>
    <n v="397.69"/>
    <n v="0"/>
    <n v="587.58000000000004"/>
    <n v="2783.83"/>
    <n v="303.24559999999997"/>
    <s v="No"/>
    <n v="4"/>
    <n v="5"/>
    <n v="0"/>
  </r>
  <r>
    <s v="ORD-202500271"/>
    <x v="199"/>
    <d v="2025-09-09T00:00:00"/>
    <s v="CUST-1001"/>
    <s v="Corporate"/>
    <s v="Philippines"/>
    <x v="0"/>
    <s v="Cagayan de Oro"/>
    <x v="0"/>
    <s v="Laptop"/>
    <s v="Laptop"/>
    <s v="Mobile App"/>
    <s v="E-Wallet"/>
    <n v="1"/>
    <n v="48675.73"/>
    <n v="0"/>
    <n v="1219"/>
    <n v="48675.73"/>
    <n v="7542.6314000000002"/>
    <s v="No"/>
    <n v="4.5"/>
    <n v="5"/>
    <n v="0"/>
  </r>
  <r>
    <s v="ORD-202500272"/>
    <x v="63"/>
    <d v="2025-03-04T00:00:00"/>
    <s v="CUST-1172"/>
    <s v="Corporate"/>
    <s v="Philippines"/>
    <x v="0"/>
    <s v="Davao City"/>
    <x v="1"/>
    <s v="Stapler"/>
    <s v="Stapler"/>
    <s v="Website"/>
    <s v="Credit Card"/>
    <n v="1"/>
    <n v="275"/>
    <n v="0"/>
    <n v="376.33"/>
    <n v="275"/>
    <n v="-288.33"/>
    <s v="No"/>
    <n v="5"/>
    <n v="4"/>
    <n v="0"/>
  </r>
  <r>
    <s v="ORD-202500273"/>
    <x v="200"/>
    <d v="2025-03-18T00:00:00"/>
    <s v="CUST-1042"/>
    <s v="Consumer"/>
    <s v="Philippines"/>
    <x v="0"/>
    <s v="Cagayan de Oro"/>
    <x v="1"/>
    <s v="Desk Organizer"/>
    <s v="Desk Organizer"/>
    <s v="Marketplace"/>
    <s v="E-Wallet"/>
    <n v="6"/>
    <n v="661.48"/>
    <n v="0.05"/>
    <n v="408.24"/>
    <n v="3770.4360000000001"/>
    <n v="798.29952000000003"/>
    <s v="No"/>
    <n v="4.4000000000000004"/>
    <n v="1"/>
    <n v="0"/>
  </r>
  <r>
    <s v="ORD-202500274"/>
    <x v="91"/>
    <d v="2025-03-22T00:00:00"/>
    <s v="CUST-1149"/>
    <s v="Small Business"/>
    <s v="Philippines"/>
    <x v="0"/>
    <s v="Iloilo City"/>
    <x v="0"/>
    <s v="Keyboard"/>
    <s v="Keyboard"/>
    <s v="Social Commerce"/>
    <s v="Cash on Delivery"/>
    <n v="3"/>
    <n v="1708.1"/>
    <n v="0"/>
    <n v="218.75"/>
    <n v="5124.2999999999993"/>
    <n v="703.6239999999998"/>
    <s v="No"/>
    <n v="4.7"/>
    <n v="7"/>
    <n v="0"/>
  </r>
  <r>
    <s v="ORD-202500275"/>
    <x v="201"/>
    <d v="2025-09-22T00:00:00"/>
    <s v="CUST-1107"/>
    <s v="Small Business"/>
    <s v="Philippines"/>
    <x v="3"/>
    <s v="Quezon City"/>
    <x v="3"/>
    <s v="Office Chair"/>
    <s v="Office Chair"/>
    <s v="Retail Store"/>
    <s v="Cash on Delivery"/>
    <n v="2"/>
    <n v="7779.67"/>
    <n v="0.05"/>
    <n v="387.68"/>
    <n v="14781.373"/>
    <n v="3159.8495199999998"/>
    <s v="No"/>
    <n v="4.7"/>
    <n v="6"/>
    <n v="0"/>
  </r>
  <r>
    <s v="ORD-202500276"/>
    <x v="76"/>
    <d v="2025-12-20T00:00:00"/>
    <s v="CUST-1110"/>
    <s v="Corporate"/>
    <s v="Philippines"/>
    <x v="2"/>
    <s v="Antipolo"/>
    <x v="1"/>
    <s v="Stapler"/>
    <s v="Stapler"/>
    <s v="Website"/>
    <s v="Bank Transfer"/>
    <n v="4"/>
    <n v="258.54000000000002"/>
    <n v="0.05"/>
    <n v="518.11"/>
    <n v="982.452"/>
    <n v="-203.72536000000002"/>
    <s v="No"/>
    <n v="3.4"/>
    <n v="6"/>
    <n v="0"/>
  </r>
  <r>
    <s v="ORD-202500277"/>
    <x v="202"/>
    <d v="2025-12-28T00:00:00"/>
    <s v="CUST-1025"/>
    <s v="Consumer"/>
    <s v="Philippines"/>
    <x v="2"/>
    <s v="Taguig"/>
    <x v="1"/>
    <s v="Printer Paper"/>
    <s v="Printer Paper"/>
    <s v="Website"/>
    <s v="Cash on Delivery"/>
    <n v="2"/>
    <n v="393.42"/>
    <n v="0.1"/>
    <n v="541.77"/>
    <n v="708.15600000000006"/>
    <n v="-315.16007999999999"/>
    <s v="No"/>
    <n v="4.4000000000000004"/>
    <n v="5"/>
    <n v="0"/>
  </r>
  <r>
    <s v="ORD-202500278"/>
    <x v="203"/>
    <d v="2025-12-04T00:00:00"/>
    <s v="CUST-1176"/>
    <s v="Small Business"/>
    <s v="Philippines"/>
    <x v="1"/>
    <s v="Pasay"/>
    <x v="0"/>
    <s v="Wireless Mouse"/>
    <s v="Wireless Mouse"/>
    <s v="Marketplace"/>
    <s v="E-Wallet"/>
    <n v="1"/>
    <n v="1249"/>
    <n v="0.05"/>
    <n v="447.51"/>
    <n v="1186.55"/>
    <n v="-233.93100000000001"/>
    <s v="No"/>
    <n v="4.4000000000000004"/>
    <n v="2"/>
    <n v="0"/>
  </r>
  <r>
    <s v="ORD-202500279"/>
    <x v="204"/>
    <d v="2025-07-30T00:00:00"/>
    <s v="CUST-1052"/>
    <s v="Consumer"/>
    <s v="Philippines"/>
    <x v="1"/>
    <s v="Paranaque"/>
    <x v="3"/>
    <s v="Filing Cabinet"/>
    <s v="Filing Cabinet"/>
    <s v="Website"/>
    <s v="E-Wallet"/>
    <n v="3"/>
    <n v="8008.26"/>
    <n v="0"/>
    <n v="519.07000000000005"/>
    <n v="24024.78"/>
    <n v="5246.8771999999999"/>
    <s v="No"/>
    <n v="4.5"/>
    <n v="7"/>
    <n v="0"/>
  </r>
  <r>
    <s v="ORD-202500280"/>
    <x v="180"/>
    <d v="2025-12-27T00:00:00"/>
    <s v="CUST-1025"/>
    <s v="Consumer"/>
    <s v="Philippines"/>
    <x v="1"/>
    <s v="Pasay"/>
    <x v="1"/>
    <s v="Desk Organizer"/>
    <s v="Desk Organizer"/>
    <s v="Marketplace"/>
    <s v="Credit Card"/>
    <n v="1"/>
    <n v="818.56"/>
    <n v="0"/>
    <n v="144.19999999999999"/>
    <n v="818.56"/>
    <n v="117.73919999999998"/>
    <s v="No"/>
    <n v="4.5999999999999996"/>
    <n v="2"/>
    <n v="0"/>
  </r>
  <r>
    <s v="ORD-202500281"/>
    <x v="205"/>
    <d v="2025-11-08T00:00:00"/>
    <s v="CUST-1022"/>
    <s v="Consumer"/>
    <s v="Philippines"/>
    <x v="0"/>
    <s v="Iloilo City"/>
    <x v="0"/>
    <s v="Laptop"/>
    <s v="Laptop"/>
    <s v="Marketplace"/>
    <s v="Bank Transfer"/>
    <n v="3"/>
    <n v="53887.69"/>
    <n v="0.1"/>
    <n v="2845.51"/>
    <n v="145496.76300000001"/>
    <n v="23343.907339999998"/>
    <s v="No"/>
    <n v="4.5999999999999996"/>
    <n v="4"/>
    <n v="0"/>
  </r>
  <r>
    <s v="ORD-202500282"/>
    <x v="206"/>
    <d v="2025-08-14T00:00:00"/>
    <s v="CUST-1051"/>
    <s v="Small Business"/>
    <s v="Philippines"/>
    <x v="2"/>
    <s v="Marikina"/>
    <x v="0"/>
    <s v="Headphones"/>
    <s v="Headphones"/>
    <s v="Mobile App"/>
    <s v="Debit Card"/>
    <n v="3"/>
    <n v="3787.73"/>
    <n v="0"/>
    <n v="623.80999999999995"/>
    <n v="11363.19"/>
    <n v="1421.5642"/>
    <s v="No"/>
    <n v="3.8"/>
    <n v="1"/>
    <n v="0"/>
  </r>
  <r>
    <s v="ORD-202500283"/>
    <x v="100"/>
    <d v="2025-02-17T00:00:00"/>
    <s v="CUST-1199"/>
    <s v="Consumer"/>
    <s v="Philippines"/>
    <x v="1"/>
    <s v="Las Pinas"/>
    <x v="1"/>
    <s v="Desk Organizer"/>
    <s v="Desk Organizer"/>
    <s v="Website"/>
    <s v="Credit Card"/>
    <n v="5"/>
    <n v="731.41"/>
    <n v="0.1"/>
    <n v="453.55"/>
    <n v="3291.3449999999998"/>
    <n v="599.68039999999996"/>
    <s v="No"/>
    <n v="3.9"/>
    <n v="3"/>
    <n v="0"/>
  </r>
  <r>
    <s v="ORD-202500284"/>
    <x v="188"/>
    <d v="2025-05-01T00:00:00"/>
    <s v="CUST-1049"/>
    <s v="Corporate"/>
    <s v="Philippines"/>
    <x v="1"/>
    <s v="Makati"/>
    <x v="0"/>
    <s v="Wireless Mouse"/>
    <s v="Wireless Mouse"/>
    <s v="Mobile App"/>
    <s v="Cash on Delivery"/>
    <n v="1"/>
    <n v="1161.93"/>
    <n v="0.2"/>
    <n v="555.11"/>
    <n v="929.5440000000001"/>
    <n v="-387.79208"/>
    <s v="No"/>
    <n v="5"/>
    <n v="5"/>
    <n v="0"/>
  </r>
  <r>
    <s v="ORD-202500285"/>
    <x v="207"/>
    <d v="2025-10-10T00:00:00"/>
    <s v="CUST-1203"/>
    <s v="Corporate"/>
    <s v="Philippines"/>
    <x v="1"/>
    <s v="Las Pinas"/>
    <x v="1"/>
    <s v="Notebook"/>
    <s v="Notebook"/>
    <s v="Marketplace"/>
    <s v="Bank Transfer"/>
    <n v="3"/>
    <n v="137.87"/>
    <n v="0.15"/>
    <n v="360.93"/>
    <n v="351.56850000000003"/>
    <n v="-248.42807999999999"/>
    <s v="No"/>
    <n v="3.7"/>
    <n v="7"/>
    <n v="0"/>
  </r>
  <r>
    <s v="ORD-202500286"/>
    <x v="141"/>
    <d v="2025-04-29T00:00:00"/>
    <s v="CUST-1179"/>
    <s v="Consumer"/>
    <s v="Philippines"/>
    <x v="2"/>
    <s v="Taguig"/>
    <x v="2"/>
    <s v="Air Purifier"/>
    <s v="Air Purifier"/>
    <s v="Marketplace"/>
    <s v="E-Wallet"/>
    <n v="1"/>
    <n v="8625.08"/>
    <n v="0.1"/>
    <n v="677.39"/>
    <n v="7762.5720000000001"/>
    <n v="1340.8787200000002"/>
    <s v="No"/>
    <n v="4.8"/>
    <n v="6"/>
    <n v="0"/>
  </r>
  <r>
    <s v="ORD-202500287"/>
    <x v="8"/>
    <d v="2025-04-06T00:00:00"/>
    <s v="CUST-1080"/>
    <s v="Consumer"/>
    <s v="Philippines"/>
    <x v="2"/>
    <s v="Marikina"/>
    <x v="2"/>
    <s v="Coffee Maker"/>
    <s v="Coffee Maker"/>
    <s v="Mobile App"/>
    <s v="Debit Card"/>
    <n v="1"/>
    <n v="4572.5600000000004"/>
    <n v="0"/>
    <n v="279.24"/>
    <n v="4572.5600000000004"/>
    <n v="909.62560000000008"/>
    <s v="No"/>
    <n v="4.5999999999999996"/>
    <n v="4"/>
    <n v="0"/>
  </r>
  <r>
    <s v="ORD-202500288"/>
    <x v="19"/>
    <d v="2025-02-25T00:00:00"/>
    <s v="CUST-1020"/>
    <s v="Corporate"/>
    <s v="Philippines"/>
    <x v="1"/>
    <s v="Makati"/>
    <x v="1"/>
    <s v="Desk Organizer"/>
    <s v="Desk Organizer"/>
    <s v="Social Commerce"/>
    <s v="Bank Transfer"/>
    <n v="2"/>
    <n v="682.24"/>
    <n v="0.2"/>
    <n v="602.63"/>
    <n v="1091.5840000000001"/>
    <n v="-253.32311999999996"/>
    <s v="No"/>
    <n v="4"/>
    <n v="1"/>
    <n v="0"/>
  </r>
  <r>
    <s v="ORD-202500289"/>
    <x v="111"/>
    <d v="2025-05-25T00:00:00"/>
    <s v="CUST-1046"/>
    <s v="Home Office"/>
    <s v="Philippines"/>
    <x v="2"/>
    <s v="Taguig"/>
    <x v="0"/>
    <s v="Headphones"/>
    <s v="Headphones"/>
    <s v="Website"/>
    <s v="Cash on Delivery"/>
    <n v="4"/>
    <n v="3582.24"/>
    <n v="0.05"/>
    <n v="581.35"/>
    <n v="13612.511999999999"/>
    <n v="1868.9021599999996"/>
    <s v="No"/>
    <n v="4.2"/>
    <n v="4"/>
    <n v="0"/>
  </r>
  <r>
    <s v="ORD-202500290"/>
    <x v="208"/>
    <d v="2025-03-09T00:00:00"/>
    <s v="CUST-1132"/>
    <s v="Corporate"/>
    <s v="Philippines"/>
    <x v="3"/>
    <s v="Manila"/>
    <x v="1"/>
    <s v="Stapler"/>
    <s v="Stapler"/>
    <s v="Mobile App"/>
    <s v="E-Wallet"/>
    <n v="2"/>
    <n v="296.02"/>
    <n v="0"/>
    <n v="238.7"/>
    <n v="592.04"/>
    <n v="-49.247199999999992"/>
    <s v="No"/>
    <n v="4"/>
    <n v="6"/>
    <n v="0"/>
  </r>
  <r>
    <s v="ORD-202500291"/>
    <x v="209"/>
    <d v="2025-11-13T00:00:00"/>
    <s v="CUST-1093"/>
    <s v="Consumer"/>
    <s v="Philippines"/>
    <x v="1"/>
    <s v="Paranaque"/>
    <x v="3"/>
    <s v="Bookshelf"/>
    <s v="Bookshelf"/>
    <s v="Mobile App"/>
    <s v="Bank Transfer"/>
    <n v="1"/>
    <n v="6070.78"/>
    <n v="0"/>
    <n v="499.32"/>
    <n v="6070.78"/>
    <n v="957.66719999999987"/>
    <s v="No"/>
    <n v="4.5999999999999996"/>
    <n v="3"/>
    <n v="0"/>
  </r>
  <r>
    <s v="ORD-202500292"/>
    <x v="28"/>
    <d v="2025-05-06T00:00:00"/>
    <s v="CUST-1110"/>
    <s v="Small Business"/>
    <s v="Philippines"/>
    <x v="0"/>
    <s v="Davao City"/>
    <x v="1"/>
    <s v="Notebook"/>
    <s v="Notebook"/>
    <s v="Mobile App"/>
    <s v="Credit Card"/>
    <n v="1"/>
    <n v="123.59"/>
    <n v="0.25"/>
    <n v="566.01"/>
    <n v="92.692499999999995"/>
    <n v="-536.34839999999997"/>
    <s v="No"/>
    <n v="4.5999999999999996"/>
    <n v="5"/>
    <n v="0"/>
  </r>
  <r>
    <s v="ORD-202500293"/>
    <x v="210"/>
    <d v="2025-06-18T00:00:00"/>
    <s v="CUST-1124"/>
    <s v="Consumer"/>
    <s v="Philippines"/>
    <x v="3"/>
    <s v="Laoag"/>
    <x v="0"/>
    <s v="Monitor"/>
    <s v="Monitor"/>
    <s v="Website"/>
    <s v="E-Wallet"/>
    <n v="2"/>
    <n v="11758.55"/>
    <n v="0"/>
    <n v="623.51"/>
    <n v="23517.1"/>
    <n v="3609.5679999999993"/>
    <s v="No"/>
    <n v="3.3"/>
    <n v="7"/>
    <n v="0"/>
  </r>
  <r>
    <s v="ORD-202500294"/>
    <x v="80"/>
    <d v="2025-05-15T00:00:00"/>
    <s v="CUST-1005"/>
    <s v="Consumer"/>
    <s v="Philippines"/>
    <x v="2"/>
    <s v="Marikina"/>
    <x v="1"/>
    <s v="Desk Organizer"/>
    <s v="Desk Organizer"/>
    <s v="Website"/>
    <s v="E-Wallet"/>
    <n v="2"/>
    <n v="757.37"/>
    <n v="0.05"/>
    <n v="522.54"/>
    <n v="1439.0029999999999"/>
    <n v="-62.059039999999982"/>
    <s v="No"/>
    <n v="4"/>
    <n v="3"/>
    <n v="0"/>
  </r>
  <r>
    <s v="ORD-202500295"/>
    <x v="211"/>
    <d v="2025-07-20T00:00:00"/>
    <s v="CUST-1073"/>
    <s v="Corporate"/>
    <s v="Philippines"/>
    <x v="0"/>
    <s v="Davao City"/>
    <x v="1"/>
    <s v="Pen Set"/>
    <s v="Pen Set"/>
    <s v="Mobile App"/>
    <s v="Cash on Delivery"/>
    <n v="3"/>
    <n v="204.24"/>
    <n v="0"/>
    <n v="181.53"/>
    <n v="612.72"/>
    <n v="14.540400000000005"/>
    <s v="No"/>
    <n v="4.2"/>
    <n v="5"/>
    <n v="0"/>
  </r>
  <r>
    <s v="ORD-202500296"/>
    <x v="212"/>
    <d v="2025-05-22T00:00:00"/>
    <s v="CUST-1165"/>
    <s v="Consumer"/>
    <s v="Philippines"/>
    <x v="1"/>
    <s v="Pasay"/>
    <x v="1"/>
    <s v="Desk Organizer"/>
    <s v="Desk Organizer"/>
    <s v="Social Commerce"/>
    <s v="Bank Transfer"/>
    <n v="1"/>
    <n v="795.38"/>
    <n v="0"/>
    <n v="225.67"/>
    <n v="795.38"/>
    <n v="28.851600000000019"/>
    <s v="No"/>
    <n v="4.7"/>
    <n v="5"/>
    <n v="0"/>
  </r>
  <r>
    <s v="ORD-202500297"/>
    <x v="180"/>
    <d v="2025-12-31T00:00:00"/>
    <s v="CUST-1020"/>
    <s v="Consumer"/>
    <s v="Philippines"/>
    <x v="1"/>
    <s v="Makati"/>
    <x v="0"/>
    <s v="Wireless Mouse"/>
    <s v="Wireless Mouse"/>
    <s v="Mobile App"/>
    <s v="Credit Card"/>
    <n v="4"/>
    <n v="1244.6300000000001"/>
    <n v="0.25"/>
    <n v="213.92"/>
    <n v="3733.8900000000003"/>
    <n v="458.18020000000013"/>
    <s v="No"/>
    <n v="5"/>
    <n v="6"/>
    <n v="0"/>
  </r>
  <r>
    <s v="ORD-202500298"/>
    <x v="213"/>
    <d v="2025-07-22T00:00:00"/>
    <s v="CUST-1058"/>
    <s v="Consumer"/>
    <s v="Philippines"/>
    <x v="2"/>
    <s v="Taguig"/>
    <x v="1"/>
    <s v="Notebook"/>
    <s v="Notebook"/>
    <s v="Mobile App"/>
    <s v="Debit Card"/>
    <n v="1"/>
    <n v="129.49"/>
    <n v="0.15"/>
    <n v="267.31"/>
    <n v="110.0665"/>
    <n v="-232.08872"/>
    <s v="No"/>
    <n v="4.9000000000000004"/>
    <n v="3"/>
    <n v="0"/>
  </r>
  <r>
    <s v="ORD-202500299"/>
    <x v="196"/>
    <d v="2025-10-07T00:00:00"/>
    <s v="CUST-1140"/>
    <s v="Consumer"/>
    <s v="Philippines"/>
    <x v="0"/>
    <s v="Cagayan de Oro"/>
    <x v="1"/>
    <s v="Desk Organizer"/>
    <s v="Desk Organizer"/>
    <s v="Mobile App"/>
    <s v="Cash on Delivery"/>
    <n v="2"/>
    <n v="688.91"/>
    <n v="0.05"/>
    <n v="559.35"/>
    <n v="1308.9289999999999"/>
    <n v="-140.49272000000008"/>
    <s v="No"/>
    <n v="4.0999999999999996"/>
    <n v="3"/>
    <n v="0"/>
  </r>
  <r>
    <s v="ORD-202500300"/>
    <x v="27"/>
    <d v="2025-06-06T00:00:00"/>
    <s v="CUST-1000"/>
    <s v="Corporate"/>
    <s v="Philippines"/>
    <x v="0"/>
    <s v="Iloilo City"/>
    <x v="0"/>
    <s v="Headphones"/>
    <s v="Headphones"/>
    <s v="Website"/>
    <s v="Bank Transfer"/>
    <n v="6"/>
    <n v="3580.92"/>
    <n v="0"/>
    <n v="647.63"/>
    <n v="21485.52"/>
    <n v="3219.7635999999998"/>
    <s v="No"/>
    <n v="4.5999999999999996"/>
    <n v="1"/>
    <n v="0"/>
  </r>
  <r>
    <s v="ORD-202500301"/>
    <x v="214"/>
    <d v="2025-05-06T00:00:00"/>
    <s v="CUST-1001"/>
    <s v="Corporate"/>
    <s v="Philippines"/>
    <x v="0"/>
    <s v="Cagayan de Oro"/>
    <x v="2"/>
    <s v="Storage Bin"/>
    <s v="Storage Bin"/>
    <s v="Mobile App"/>
    <s v="Debit Card"/>
    <n v="3"/>
    <n v="590.59"/>
    <n v="0.15"/>
    <n v="232.31"/>
    <n v="1506.0045"/>
    <n v="159.25117"/>
    <s v="No"/>
    <n v="3.9"/>
    <n v="7"/>
    <n v="0"/>
  </r>
  <r>
    <s v="ORD-202500302"/>
    <x v="209"/>
    <d v="2025-11-17T00:00:00"/>
    <s v="CUST-1177"/>
    <s v="Corporate"/>
    <s v="Philippines"/>
    <x v="2"/>
    <s v="Pasig"/>
    <x v="3"/>
    <s v="Office Chair"/>
    <s v="Office Chair"/>
    <s v="Website"/>
    <s v="E-Wallet"/>
    <n v="1"/>
    <n v="8641.1200000000008"/>
    <n v="0.05"/>
    <n v="608.89"/>
    <n v="8209.0640000000003"/>
    <n v="1361.2853599999999"/>
    <s v="No"/>
    <n v="3.9"/>
    <n v="7"/>
    <n v="0"/>
  </r>
  <r>
    <s v="ORD-202500303"/>
    <x v="215"/>
    <d v="2025-06-15T00:00:00"/>
    <s v="CUST-1038"/>
    <s v="Consumer"/>
    <s v="Philippines"/>
    <x v="3"/>
    <s v="Quezon City"/>
    <x v="2"/>
    <s v="Desk Lamp"/>
    <s v="Desk Lamp"/>
    <s v="Website"/>
    <s v="Bank Transfer"/>
    <n v="4"/>
    <n v="1234.8"/>
    <n v="0"/>
    <n v="435.43"/>
    <n v="4939.2"/>
    <n v="848.76199999999994"/>
    <s v="No"/>
    <n v="4"/>
    <n v="1"/>
    <n v="0"/>
  </r>
  <r>
    <s v="ORD-202500304"/>
    <x v="216"/>
    <d v="2025-07-14T00:00:00"/>
    <s v="CUST-1178"/>
    <s v="Small Business"/>
    <s v="Philippines"/>
    <x v="2"/>
    <s v="Antipolo"/>
    <x v="2"/>
    <s v="Coffee Maker"/>
    <s v="Coffee Maker"/>
    <s v="Website"/>
    <s v="Bank Transfer"/>
    <n v="1"/>
    <n v="4901.01"/>
    <n v="0"/>
    <n v="633.19000000000005"/>
    <n v="4901.01"/>
    <n v="641.07259999999997"/>
    <s v="No"/>
    <n v="5"/>
    <n v="4"/>
    <n v="0"/>
  </r>
  <r>
    <s v="ORD-202500305"/>
    <x v="152"/>
    <d v="2025-01-08T00:00:00"/>
    <s v="CUST-1196"/>
    <s v="Small Business"/>
    <s v="Philippines"/>
    <x v="1"/>
    <s v="Las Pinas"/>
    <x v="0"/>
    <s v="Laptop"/>
    <s v="Laptop"/>
    <s v="Website"/>
    <s v="Credit Card"/>
    <n v="2"/>
    <n v="61081.01"/>
    <n v="0.05"/>
    <n v="2300.85"/>
    <n v="116053.91899999999"/>
    <n v="18588.85542"/>
    <s v="No"/>
    <n v="4.0999999999999996"/>
    <n v="1"/>
    <n v="0"/>
  </r>
  <r>
    <s v="ORD-202500306"/>
    <x v="217"/>
    <d v="2025-01-28T00:00:00"/>
    <s v="CUST-1140"/>
    <s v="Corporate"/>
    <s v="Philippines"/>
    <x v="2"/>
    <s v="Taguig"/>
    <x v="1"/>
    <s v="Notebook"/>
    <s v="Notebook"/>
    <s v="Mobile App"/>
    <s v="Credit Card"/>
    <n v="5"/>
    <n v="113.44"/>
    <n v="0"/>
    <n v="449.27"/>
    <n v="567.20000000000005"/>
    <n v="-267.76599999999996"/>
    <s v="No"/>
    <n v="4.8"/>
    <n v="6"/>
    <n v="0"/>
  </r>
  <r>
    <s v="ORD-202500307"/>
    <x v="218"/>
    <d v="2025-04-03T00:00:00"/>
    <s v="CUST-1070"/>
    <s v="Corporate"/>
    <s v="Philippines"/>
    <x v="1"/>
    <s v="Paranaque"/>
    <x v="0"/>
    <s v="Laptop"/>
    <s v="Laptop"/>
    <s v="Mobile App"/>
    <s v="Bank Transfer"/>
    <n v="3"/>
    <n v="48177.87"/>
    <n v="0.1"/>
    <n v="2389.7800000000002"/>
    <n v="130080.24900000001"/>
    <n v="21024.664820000002"/>
    <s v="No"/>
    <n v="4.0999999999999996"/>
    <n v="7"/>
    <n v="0"/>
  </r>
  <r>
    <s v="ORD-202500308"/>
    <x v="219"/>
    <d v="2025-11-18T00:00:00"/>
    <s v="CUST-1015"/>
    <s v="Consumer"/>
    <s v="Philippines"/>
    <x v="0"/>
    <s v="Cebu City"/>
    <x v="0"/>
    <s v="Monitor"/>
    <s v="Monitor"/>
    <s v="Website"/>
    <s v="Cash on Delivery"/>
    <n v="4"/>
    <n v="12177.1"/>
    <n v="0.15"/>
    <n v="1060.7"/>
    <n v="41402.14"/>
    <n v="6391.6851999999999"/>
    <s v="No"/>
    <n v="4"/>
    <n v="1"/>
    <n v="0"/>
  </r>
  <r>
    <s v="ORD-202500309"/>
    <x v="46"/>
    <d v="2025-12-23T00:00:00"/>
    <s v="CUST-1091"/>
    <s v="Small Business"/>
    <s v="Philippines"/>
    <x v="2"/>
    <s v="Antipolo"/>
    <x v="3"/>
    <s v="Filing Cabinet"/>
    <s v="Filing Cabinet"/>
    <s v="Mobile App"/>
    <s v="Cash on Delivery"/>
    <n v="3"/>
    <n v="6745.92"/>
    <n v="0"/>
    <n v="581.74"/>
    <n v="20237.760000000002"/>
    <n v="4275.3224000000009"/>
    <s v="No"/>
    <n v="4.2"/>
    <n v="4"/>
    <n v="0"/>
  </r>
  <r>
    <s v="ORD-202500310"/>
    <x v="7"/>
    <d v="2025-10-13T00:00:00"/>
    <s v="CUST-1017"/>
    <s v="Corporate"/>
    <s v="Philippines"/>
    <x v="1"/>
    <s v="Pasay"/>
    <x v="1"/>
    <s v="Desk Organizer"/>
    <s v="Desk Organizer"/>
    <s v="Mobile App"/>
    <s v="Credit Card"/>
    <n v="4"/>
    <n v="722.25"/>
    <n v="0.1"/>
    <n v="626.61"/>
    <n v="2600.1"/>
    <n v="205.42200000000003"/>
    <s v="No"/>
    <n v="5"/>
    <n v="2"/>
    <n v="0"/>
  </r>
  <r>
    <s v="ORD-202500311"/>
    <x v="133"/>
    <d v="2025-07-13T00:00:00"/>
    <s v="CUST-1158"/>
    <s v="Consumer"/>
    <s v="Philippines"/>
    <x v="3"/>
    <s v="Laoag"/>
    <x v="0"/>
    <s v="Wireless Mouse"/>
    <s v="Wireless Mouse"/>
    <s v="Marketplace"/>
    <s v="Debit Card"/>
    <n v="3"/>
    <n v="1172.1400000000001"/>
    <n v="0.1"/>
    <n v="195.71"/>
    <n v="3164.7780000000002"/>
    <n v="373.95003999999994"/>
    <s v="No"/>
    <n v="5"/>
    <n v="7"/>
    <n v="0"/>
  </r>
  <r>
    <s v="ORD-202500312"/>
    <x v="145"/>
    <d v="2025-03-10T00:00:00"/>
    <s v="CUST-1008"/>
    <s v="Consumer"/>
    <s v="Philippines"/>
    <x v="1"/>
    <s v="Paranaque"/>
    <x v="0"/>
    <s v="Headphones"/>
    <s v="Headphones"/>
    <s v="Marketplace"/>
    <s v="Bank Transfer"/>
    <n v="3"/>
    <n v="3632.11"/>
    <n v="0.1"/>
    <n v="389.33"/>
    <n v="9806.6970000000001"/>
    <n v="1375.87546"/>
    <s v="No"/>
    <n v="4.7"/>
    <n v="2"/>
    <n v="0"/>
  </r>
  <r>
    <s v="ORD-202500313"/>
    <x v="10"/>
    <d v="2025-11-13T00:00:00"/>
    <s v="CUST-1018"/>
    <s v="Consumer"/>
    <s v="Philippines"/>
    <x v="0"/>
    <s v="Cagayan de Oro"/>
    <x v="2"/>
    <s v="Air Purifier"/>
    <s v="Air Purifier"/>
    <s v="Mobile App"/>
    <s v="Credit Card"/>
    <n v="2"/>
    <n v="10478.91"/>
    <n v="0.2"/>
    <n v="862.92"/>
    <n v="16766.256000000001"/>
    <n v="3496.30656"/>
    <s v="No"/>
    <n v="4.8"/>
    <n v="6"/>
    <n v="0"/>
  </r>
  <r>
    <s v="ORD-202500314"/>
    <x v="139"/>
    <d v="2025-09-29T00:00:00"/>
    <s v="CUST-1187"/>
    <s v="Consumer"/>
    <s v="Philippines"/>
    <x v="2"/>
    <s v="Antipolo"/>
    <x v="2"/>
    <s v="Air Purifier"/>
    <s v="Air Purifier"/>
    <s v="Website"/>
    <s v="Debit Card"/>
    <n v="2"/>
    <n v="8899.9599999999991"/>
    <n v="0.05"/>
    <n v="488.79"/>
    <n v="16909.923999999999"/>
    <n v="3907.7902400000003"/>
    <s v="No"/>
    <n v="4.5999999999999996"/>
    <n v="1"/>
    <n v="0"/>
  </r>
  <r>
    <s v="ORD-202500315"/>
    <x v="8"/>
    <d v="2025-04-07T00:00:00"/>
    <s v="CUST-1191"/>
    <s v="Corporate"/>
    <s v="Philippines"/>
    <x v="3"/>
    <s v="Baguio"/>
    <x v="1"/>
    <s v="Stapler"/>
    <s v="Stapler"/>
    <s v="Retail Store"/>
    <s v="Debit Card"/>
    <n v="4"/>
    <n v="271.7"/>
    <n v="0.05"/>
    <n v="471.1"/>
    <n v="1032.4599999999998"/>
    <n v="-140.71280000000007"/>
    <s v="No"/>
    <n v="3.5"/>
    <n v="5"/>
    <n v="0"/>
  </r>
  <r>
    <s v="ORD-202500316"/>
    <x v="210"/>
    <d v="2025-06-16T00:00:00"/>
    <s v="CUST-1083"/>
    <s v="Small Business"/>
    <s v="Philippines"/>
    <x v="1"/>
    <s v="Las Pinas"/>
    <x v="2"/>
    <s v="Desk Lamp"/>
    <s v="Desk Lamp"/>
    <s v="Marketplace"/>
    <s v="Cash on Delivery"/>
    <n v="3"/>
    <n v="1290.27"/>
    <n v="0.05"/>
    <n v="562.47"/>
    <n v="3677.2694999999999"/>
    <n v="393.62006999999994"/>
    <s v="No"/>
    <n v="3.7"/>
    <n v="5"/>
    <n v="0"/>
  </r>
  <r>
    <s v="ORD-202500317"/>
    <x v="220"/>
    <d v="2025-08-24T00:00:00"/>
    <s v="CUST-1101"/>
    <s v="Consumer"/>
    <s v="Philippines"/>
    <x v="3"/>
    <s v="Baguio"/>
    <x v="1"/>
    <s v="Desk Organizer"/>
    <s v="Desk Organizer"/>
    <s v="Website"/>
    <s v="E-Wallet"/>
    <n v="1"/>
    <n v="822.72"/>
    <n v="0"/>
    <n v="271.83999999999997"/>
    <n v="822.72"/>
    <n v="-8.5695999999999799"/>
    <s v="No"/>
    <n v="5"/>
    <n v="4"/>
    <n v="0"/>
  </r>
  <r>
    <s v="ORD-202500318"/>
    <x v="7"/>
    <d v="2025-10-16T00:00:00"/>
    <s v="CUST-1142"/>
    <s v="Corporate"/>
    <s v="Philippines"/>
    <x v="0"/>
    <s v="Cebu City"/>
    <x v="0"/>
    <s v="Keyboard"/>
    <s v="Keyboard"/>
    <s v="Website"/>
    <s v="E-Wallet"/>
    <n v="2"/>
    <n v="1898.36"/>
    <n v="0"/>
    <n v="599.26"/>
    <n v="3796.72"/>
    <n v="84.149599999999964"/>
    <s v="No"/>
    <n v="4.0999999999999996"/>
    <n v="5"/>
    <n v="0"/>
  </r>
  <r>
    <s v="ORD-202500319"/>
    <x v="221"/>
    <d v="2025-07-29T00:00:00"/>
    <s v="CUST-1055"/>
    <s v="Small Business"/>
    <s v="Philippines"/>
    <x v="2"/>
    <s v="Taguig"/>
    <x v="0"/>
    <s v="Headphones"/>
    <s v="Headphones"/>
    <s v="Retail Store"/>
    <s v="Credit Card"/>
    <n v="3"/>
    <n v="3395.41"/>
    <n v="0.1"/>
    <n v="561.28"/>
    <n v="9167.607"/>
    <n v="-744.63214000000016"/>
    <s v="Yes"/>
    <n v="4.3"/>
    <n v="5"/>
    <n v="1"/>
  </r>
  <r>
    <s v="ORD-202500320"/>
    <x v="18"/>
    <d v="2025-07-05T00:00:00"/>
    <s v="CUST-1111"/>
    <s v="Consumer"/>
    <s v="Philippines"/>
    <x v="3"/>
    <s v="Quezon City"/>
    <x v="1"/>
    <s v="Desk Organizer"/>
    <s v="Desk Organizer"/>
    <s v="Social Commerce"/>
    <s v="Bank Transfer"/>
    <n v="1"/>
    <n v="726.12"/>
    <n v="0"/>
    <n v="412.89"/>
    <n v="726.12"/>
    <n v="-180.53159999999997"/>
    <s v="No"/>
    <n v="4.5"/>
    <n v="7"/>
    <n v="0"/>
  </r>
  <r>
    <s v="ORD-202500321"/>
    <x v="222"/>
    <d v="2025-12-26T00:00:00"/>
    <s v="CUST-1039"/>
    <s v="Consumer"/>
    <s v="Philippines"/>
    <x v="1"/>
    <s v="Las Pinas"/>
    <x v="1"/>
    <s v="Desk Organizer"/>
    <s v="Desk Organizer"/>
    <s v="Mobile App"/>
    <s v="Debit Card"/>
    <n v="2"/>
    <n v="781.14"/>
    <n v="0"/>
    <n v="295.05"/>
    <n v="1562.28"/>
    <n v="204.87959999999998"/>
    <s v="No"/>
    <n v="4.3"/>
    <n v="2"/>
    <n v="0"/>
  </r>
  <r>
    <s v="ORD-202500322"/>
    <x v="195"/>
    <d v="2025-05-16T00:00:00"/>
    <s v="CUST-1102"/>
    <s v="Corporate"/>
    <s v="Philippines"/>
    <x v="0"/>
    <s v="Davao City"/>
    <x v="3"/>
    <s v="Standing Desk"/>
    <s v="Standing Desk"/>
    <s v="Mobile App"/>
    <s v="Cash on Delivery"/>
    <n v="1"/>
    <n v="19166.38"/>
    <n v="0.1"/>
    <n v="507.86"/>
    <n v="17249.742000000002"/>
    <n v="3632.0780799999998"/>
    <s v="No"/>
    <n v="3.8"/>
    <n v="1"/>
    <n v="0"/>
  </r>
  <r>
    <s v="ORD-202500323"/>
    <x v="135"/>
    <d v="2025-08-12T00:00:00"/>
    <s v="CUST-1175"/>
    <s v="Home Office"/>
    <s v="Philippines"/>
    <x v="3"/>
    <s v="Manila"/>
    <x v="1"/>
    <s v="Stapler"/>
    <s v="Stapler"/>
    <s v="Mobile App"/>
    <s v="Debit Card"/>
    <n v="2"/>
    <n v="275.12"/>
    <n v="0"/>
    <n v="262"/>
    <n v="550.24"/>
    <n v="-85.92319999999998"/>
    <s v="No"/>
    <n v="3.3"/>
    <n v="3"/>
    <n v="0"/>
  </r>
  <r>
    <s v="ORD-202500324"/>
    <x v="45"/>
    <d v="2025-08-20T00:00:00"/>
    <s v="CUST-1037"/>
    <s v="Consumer"/>
    <s v="Philippines"/>
    <x v="0"/>
    <s v="Davao City"/>
    <x v="1"/>
    <s v="Notebook"/>
    <s v="Notebook"/>
    <s v="Marketplace"/>
    <s v="Credit Card"/>
    <n v="1"/>
    <n v="107.56"/>
    <n v="0.2"/>
    <n v="609.85"/>
    <n v="86.048000000000002"/>
    <n v="-582.31464000000005"/>
    <s v="No"/>
    <n v="3.4"/>
    <n v="5"/>
    <n v="0"/>
  </r>
  <r>
    <s v="ORD-202500325"/>
    <x v="223"/>
    <d v="2025-05-29T00:00:00"/>
    <s v="CUST-1087"/>
    <s v="Corporate"/>
    <s v="Philippines"/>
    <x v="3"/>
    <s v="Baguio"/>
    <x v="3"/>
    <s v="Office Chair"/>
    <s v="Office Chair"/>
    <s v="Website"/>
    <s v="Cash on Delivery"/>
    <n v="1"/>
    <n v="8873.3799999999992"/>
    <n v="0.1"/>
    <n v="525.91999999999996"/>
    <n v="7986.0419999999995"/>
    <n v="1390.7300799999998"/>
    <s v="No"/>
    <n v="5"/>
    <n v="1"/>
    <n v="0"/>
  </r>
  <r>
    <s v="ORD-202500326"/>
    <x v="124"/>
    <d v="2025-12-10T00:00:00"/>
    <s v="CUST-1096"/>
    <s v="Corporate"/>
    <s v="Philippines"/>
    <x v="3"/>
    <s v="Baguio"/>
    <x v="0"/>
    <s v="Keyboard"/>
    <s v="Keyboard"/>
    <s v="Website"/>
    <s v="Cash on Delivery"/>
    <n v="1"/>
    <n v="1835.08"/>
    <n v="0.2"/>
    <n v="145.49"/>
    <n v="1468.0640000000001"/>
    <n v="118.76152000000002"/>
    <s v="No"/>
    <n v="4.3"/>
    <n v="1"/>
    <n v="0"/>
  </r>
  <r>
    <s v="ORD-202500327"/>
    <x v="224"/>
    <d v="2025-12-13T00:00:00"/>
    <s v="CUST-1168"/>
    <s v="Consumer"/>
    <s v="Philippines"/>
    <x v="3"/>
    <s v="Manila"/>
    <x v="0"/>
    <s v="Wireless Mouse"/>
    <s v="Wireless Mouse"/>
    <s v="Website"/>
    <s v="Bank Transfer"/>
    <n v="2"/>
    <n v="1311.49"/>
    <n v="0.2"/>
    <n v="395.6"/>
    <n v="2098.384"/>
    <n v="-17.890880000000038"/>
    <s v="No"/>
    <n v="4.5"/>
    <n v="7"/>
    <n v="0"/>
  </r>
  <r>
    <s v="ORD-202500328"/>
    <x v="114"/>
    <d v="2025-08-28T00:00:00"/>
    <s v="CUST-1182"/>
    <s v="Consumer"/>
    <s v="Philippines"/>
    <x v="0"/>
    <s v="Iloilo City"/>
    <x v="3"/>
    <s v="Filing Cabinet"/>
    <s v="Filing Cabinet"/>
    <s v="Marketplace"/>
    <s v="Credit Card"/>
    <n v="2"/>
    <n v="7096.13"/>
    <n v="0.05"/>
    <n v="427.52"/>
    <n v="13482.646999999999"/>
    <n v="2808.3152799999998"/>
    <s v="No"/>
    <n v="4.5"/>
    <n v="5"/>
    <n v="0"/>
  </r>
  <r>
    <s v="ORD-202500329"/>
    <x v="225"/>
    <d v="2025-09-17T00:00:00"/>
    <s v="CUST-1207"/>
    <s v="Consumer"/>
    <s v="Philippines"/>
    <x v="2"/>
    <s v="Taguig"/>
    <x v="2"/>
    <s v="Air Purifier"/>
    <s v="Air Purifier"/>
    <s v="Social Commerce"/>
    <s v="E-Wallet"/>
    <n v="1"/>
    <n v="9334.09"/>
    <n v="0"/>
    <n v="298.25"/>
    <n v="9334.09"/>
    <n v="2128.6134000000002"/>
    <s v="No"/>
    <n v="3.7"/>
    <n v="3"/>
    <n v="0"/>
  </r>
  <r>
    <s v="ORD-202500330"/>
    <x v="219"/>
    <d v="2025-11-23T00:00:00"/>
    <s v="CUST-1058"/>
    <s v="Consumer"/>
    <s v="Philippines"/>
    <x v="0"/>
    <s v="Cagayan de Oro"/>
    <x v="2"/>
    <s v="Desk Lamp"/>
    <s v="Desk Lamp"/>
    <s v="Mobile App"/>
    <s v="Debit Card"/>
    <n v="1"/>
    <n v="1198.04"/>
    <n v="0.05"/>
    <n v="554.03"/>
    <n v="1138.1379999999999"/>
    <n v="-258.11411999999996"/>
    <s v="No"/>
    <n v="4.2"/>
    <n v="6"/>
    <n v="0"/>
  </r>
  <r>
    <s v="ORD-202500331"/>
    <x v="226"/>
    <d v="2025-06-14T00:00:00"/>
    <s v="CUST-1180"/>
    <s v="Home Office"/>
    <s v="Philippines"/>
    <x v="0"/>
    <s v="Cagayan de Oro"/>
    <x v="2"/>
    <s v="Coffee Maker"/>
    <s v="Coffee Maker"/>
    <s v="Marketplace"/>
    <s v="Cash on Delivery"/>
    <n v="5"/>
    <n v="4681.1899999999996"/>
    <n v="0.05"/>
    <n v="971.79"/>
    <n v="22235.652499999997"/>
    <n v="4809.4796499999993"/>
    <s v="No"/>
    <n v="3.9"/>
    <n v="6"/>
    <n v="0"/>
  </r>
  <r>
    <s v="ORD-202500332"/>
    <x v="227"/>
    <d v="2025-01-23T00:00:00"/>
    <s v="CUST-1081"/>
    <s v="Home Office"/>
    <s v="Philippines"/>
    <x v="1"/>
    <s v="Las Pinas"/>
    <x v="0"/>
    <s v="Keyboard"/>
    <s v="Keyboard"/>
    <s v="Website"/>
    <s v="Debit Card"/>
    <n v="1"/>
    <n v="1683.76"/>
    <n v="0.1"/>
    <n v="454.09"/>
    <n v="1515.384"/>
    <n v="-181.32087999999999"/>
    <s v="No"/>
    <n v="5"/>
    <n v="7"/>
    <n v="0"/>
  </r>
  <r>
    <s v="ORD-202500333"/>
    <x v="98"/>
    <d v="2025-10-23T00:00:00"/>
    <s v="CUST-1059"/>
    <s v="Corporate"/>
    <s v="Philippines"/>
    <x v="0"/>
    <s v="Cebu City"/>
    <x v="3"/>
    <s v="Filing Cabinet"/>
    <s v="Filing Cabinet"/>
    <s v="Website"/>
    <s v="Cash on Delivery"/>
    <n v="2"/>
    <n v="7739.07"/>
    <n v="0"/>
    <n v="533.02"/>
    <n v="15478.14"/>
    <n v="3181.7335999999996"/>
    <s v="No"/>
    <n v="4.5"/>
    <n v="5"/>
    <n v="0"/>
  </r>
  <r>
    <s v="ORD-202500334"/>
    <x v="134"/>
    <d v="2025-08-05T00:00:00"/>
    <s v="CUST-1003"/>
    <s v="Home Office"/>
    <s v="Philippines"/>
    <x v="1"/>
    <s v="Paranaque"/>
    <x v="1"/>
    <s v="Notebook"/>
    <s v="Notebook"/>
    <s v="Marketplace"/>
    <s v="Credit Card"/>
    <n v="1"/>
    <n v="139.97"/>
    <n v="0"/>
    <n v="433.82"/>
    <n v="139.97"/>
    <n v="-389.02960000000002"/>
    <s v="No"/>
    <n v="4.5"/>
    <n v="7"/>
    <n v="0"/>
  </r>
  <r>
    <s v="ORD-202500335"/>
    <x v="114"/>
    <d v="2025-08-25T00:00:00"/>
    <s v="CUST-1109"/>
    <s v="Consumer"/>
    <s v="Philippines"/>
    <x v="3"/>
    <s v="Laoag"/>
    <x v="1"/>
    <s v="Stapler"/>
    <s v="Stapler"/>
    <s v="Marketplace"/>
    <s v="Cash on Delivery"/>
    <n v="3"/>
    <n v="269.77"/>
    <n v="0.15"/>
    <n v="540.67999999999995"/>
    <n v="687.91349999999989"/>
    <n v="-320.54768000000001"/>
    <s v="No"/>
    <n v="3.5"/>
    <n v="2"/>
    <n v="0"/>
  </r>
  <r>
    <s v="ORD-202500336"/>
    <x v="217"/>
    <d v="2025-01-24T00:00:00"/>
    <s v="CUST-1132"/>
    <s v="Corporate"/>
    <s v="Philippines"/>
    <x v="3"/>
    <s v="Laoag"/>
    <x v="3"/>
    <s v="Office Chair"/>
    <s v="Office Chair"/>
    <s v="Website"/>
    <s v="Bank Transfer"/>
    <n v="2"/>
    <n v="8256.61"/>
    <n v="0.15"/>
    <n v="590.66999999999996"/>
    <n v="14036.237000000001"/>
    <n v="2778.0268799999999"/>
    <s v="No"/>
    <n v="4.5999999999999996"/>
    <n v="2"/>
    <n v="0"/>
  </r>
  <r>
    <s v="ORD-202500337"/>
    <x v="209"/>
    <d v="2025-11-11T00:00:00"/>
    <s v="CUST-1176"/>
    <s v="Corporate"/>
    <s v="Philippines"/>
    <x v="0"/>
    <s v="Cagayan de Oro"/>
    <x v="2"/>
    <s v="Storage Bin"/>
    <s v="Storage Bin"/>
    <s v="Website"/>
    <s v="Cash on Delivery"/>
    <n v="1"/>
    <n v="612.49"/>
    <n v="0.2"/>
    <n v="485.97"/>
    <n v="489.99200000000002"/>
    <n v="-358.57208000000003"/>
    <s v="No"/>
    <n v="3.9"/>
    <n v="1"/>
    <n v="0"/>
  </r>
  <r>
    <s v="ORD-202500338"/>
    <x v="8"/>
    <d v="2025-04-06T00:00:00"/>
    <s v="CUST-1151"/>
    <s v="Home Office"/>
    <s v="Philippines"/>
    <x v="0"/>
    <s v="Cagayan de Oro"/>
    <x v="0"/>
    <s v="Keyboard"/>
    <s v="Keyboard"/>
    <s v="Marketplace"/>
    <s v="Debit Card"/>
    <n v="3"/>
    <n v="1650.71"/>
    <n v="0"/>
    <n v="410.44"/>
    <n v="4952.13"/>
    <n v="480.94339999999994"/>
    <s v="No"/>
    <n v="4.5999999999999996"/>
    <n v="4"/>
    <n v="0"/>
  </r>
  <r>
    <s v="ORD-202500339"/>
    <x v="228"/>
    <d v="2025-10-02T00:00:00"/>
    <s v="CUST-1098"/>
    <s v="Small Business"/>
    <s v="Philippines"/>
    <x v="0"/>
    <s v="Cagayan de Oro"/>
    <x v="1"/>
    <s v="Printer Paper"/>
    <s v="Printer Paper"/>
    <s v="Marketplace"/>
    <s v="E-Wallet"/>
    <n v="3"/>
    <n v="452.7"/>
    <n v="0"/>
    <n v="595.6"/>
    <n v="1358.1"/>
    <n v="-161.00800000000004"/>
    <s v="No"/>
    <n v="4.0999999999999996"/>
    <n v="6"/>
    <n v="0"/>
  </r>
  <r>
    <s v="ORD-202500340"/>
    <x v="226"/>
    <d v="2025-06-14T00:00:00"/>
    <s v="CUST-1196"/>
    <s v="Home Office"/>
    <s v="Philippines"/>
    <x v="2"/>
    <s v="Marikina"/>
    <x v="0"/>
    <s v="Monitor"/>
    <s v="Monitor"/>
    <s v="Social Commerce"/>
    <s v="Credit Card"/>
    <n v="3"/>
    <n v="10515.27"/>
    <n v="0.05"/>
    <n v="1040.77"/>
    <n v="29968.519499999999"/>
    <n v="4353.56351"/>
    <s v="No"/>
    <n v="3.8"/>
    <n v="6"/>
    <n v="0"/>
  </r>
  <r>
    <s v="ORD-202500341"/>
    <x v="229"/>
    <d v="2025-01-08T00:00:00"/>
    <s v="CUST-1126"/>
    <s v="Consumer"/>
    <s v="Philippines"/>
    <x v="1"/>
    <s v="Las Pinas"/>
    <x v="3"/>
    <s v="Office Chair"/>
    <s v="Office Chair"/>
    <s v="Marketplace"/>
    <s v="Credit Card"/>
    <n v="1"/>
    <n v="8875.7199999999993"/>
    <n v="0.05"/>
    <n v="530.94000000000005"/>
    <n v="8431.9339999999993"/>
    <n v="1492.7241599999998"/>
    <s v="No"/>
    <n v="4.5999999999999996"/>
    <n v="5"/>
    <n v="0"/>
  </r>
  <r>
    <s v="ORD-202500342"/>
    <x v="162"/>
    <d v="2025-12-04T00:00:00"/>
    <s v="CUST-1009"/>
    <s v="Consumer"/>
    <s v="Philippines"/>
    <x v="3"/>
    <s v="Baguio"/>
    <x v="3"/>
    <s v="Office Chair"/>
    <s v="Office Chair"/>
    <s v="Website"/>
    <s v="Bank Transfer"/>
    <n v="8"/>
    <n v="7891.4"/>
    <n v="0"/>
    <n v="1403.7"/>
    <n v="63131.199999999997"/>
    <n v="13747.787999999999"/>
    <s v="No"/>
    <n v="4.4000000000000004"/>
    <n v="3"/>
    <n v="0"/>
  </r>
  <r>
    <s v="ORD-202500343"/>
    <x v="73"/>
    <d v="2025-10-28T00:00:00"/>
    <s v="CUST-1143"/>
    <s v="Consumer"/>
    <s v="Philippines"/>
    <x v="1"/>
    <s v="Pasay"/>
    <x v="2"/>
    <s v="Air Purifier"/>
    <s v="Air Purifier"/>
    <s v="Marketplace"/>
    <s v="E-Wallet"/>
    <n v="2"/>
    <n v="9439.98"/>
    <n v="0"/>
    <n v="606.77"/>
    <n v="18879.96"/>
    <n v="4302.0195999999996"/>
    <s v="No"/>
    <n v="4.2"/>
    <n v="7"/>
    <n v="0"/>
  </r>
  <r>
    <s v="ORD-202500344"/>
    <x v="230"/>
    <d v="2025-12-29T00:00:00"/>
    <s v="CUST-1070"/>
    <s v="Consumer"/>
    <s v="Philippines"/>
    <x v="1"/>
    <s v="Paranaque"/>
    <x v="1"/>
    <s v="Desk Organizer"/>
    <s v="Desk Organizer"/>
    <s v="Website"/>
    <s v="Cash on Delivery"/>
    <n v="4"/>
    <n v="748.09"/>
    <n v="0.25"/>
    <n v="400.57"/>
    <n v="2244.27"/>
    <n v="317.59639999999996"/>
    <s v="No"/>
    <n v="4.5"/>
    <n v="7"/>
    <n v="0"/>
  </r>
  <r>
    <s v="ORD-202500345"/>
    <x v="231"/>
    <d v="2025-12-31T00:00:00"/>
    <s v="CUST-1109"/>
    <s v="Corporate"/>
    <s v="Philippines"/>
    <x v="2"/>
    <s v="Pasig"/>
    <x v="3"/>
    <s v="Bookshelf"/>
    <s v="Bookshelf"/>
    <s v="Social Commerce"/>
    <s v="Cash on Delivery"/>
    <n v="3"/>
    <n v="6733.43"/>
    <n v="0.1"/>
    <n v="663.73"/>
    <n v="18180.261000000002"/>
    <n v="3699.5326400000008"/>
    <s v="No"/>
    <n v="3.8"/>
    <n v="3"/>
    <n v="0"/>
  </r>
  <r>
    <s v="ORD-202500346"/>
    <x v="106"/>
    <d v="2025-04-11T00:00:00"/>
    <s v="CUST-1030"/>
    <s v="Consumer"/>
    <s v="Philippines"/>
    <x v="3"/>
    <s v="Quezon City"/>
    <x v="1"/>
    <s v="Stapler"/>
    <s v="Stapler"/>
    <s v="Mobile App"/>
    <s v="E-Wallet"/>
    <n v="2"/>
    <n v="291.67"/>
    <n v="0"/>
    <n v="453.9"/>
    <n v="583.34"/>
    <n v="-267.23119999999994"/>
    <s v="No"/>
    <n v="3.9"/>
    <n v="1"/>
    <n v="0"/>
  </r>
  <r>
    <s v="ORD-202500347"/>
    <x v="232"/>
    <d v="2025-05-18T00:00:00"/>
    <s v="CUST-1017"/>
    <s v="Consumer"/>
    <s v="Philippines"/>
    <x v="2"/>
    <s v="Antipolo"/>
    <x v="0"/>
    <s v="Keyboard"/>
    <s v="Keyboard"/>
    <s v="Website"/>
    <s v="Cash on Delivery"/>
    <n v="3"/>
    <n v="1599.72"/>
    <n v="0"/>
    <n v="340.38"/>
    <n v="4799.16"/>
    <n v="523.46879999999999"/>
    <s v="No"/>
    <n v="3.8"/>
    <n v="7"/>
    <n v="0"/>
  </r>
  <r>
    <s v="ORD-202500348"/>
    <x v="56"/>
    <d v="2025-01-25T00:00:00"/>
    <s v="CUST-1034"/>
    <s v="Corporate"/>
    <s v="Philippines"/>
    <x v="1"/>
    <s v="Pasay"/>
    <x v="3"/>
    <s v="Filing Cabinet"/>
    <s v="Filing Cabinet"/>
    <s v="Social Commerce"/>
    <s v="Credit Card"/>
    <n v="4"/>
    <n v="6982.58"/>
    <n v="0.1"/>
    <n v="678.79"/>
    <n v="25137.288"/>
    <n v="5354.1591200000003"/>
    <s v="No"/>
    <n v="3.4"/>
    <n v="6"/>
    <n v="0"/>
  </r>
  <r>
    <s v="ORD-202500349"/>
    <x v="109"/>
    <d v="2025-04-22T00:00:00"/>
    <s v="CUST-1175"/>
    <s v="Consumer"/>
    <s v="Philippines"/>
    <x v="2"/>
    <s v="Antipolo"/>
    <x v="2"/>
    <s v="Desk Lamp"/>
    <s v="Desk Lamp"/>
    <s v="Retail Store"/>
    <s v="E-Wallet"/>
    <n v="7"/>
    <n v="1388.34"/>
    <n v="0.15"/>
    <n v="551.24"/>
    <n v="8260.6229999999996"/>
    <n v="1596.5219799999998"/>
    <s v="No"/>
    <n v="3.6"/>
    <n v="5"/>
    <n v="0"/>
  </r>
  <r>
    <s v="ORD-202500350"/>
    <x v="233"/>
    <d v="2025-06-13T00:00:00"/>
    <s v="CUST-1080"/>
    <s v="Small Business"/>
    <s v="Philippines"/>
    <x v="2"/>
    <s v="Taguig"/>
    <x v="0"/>
    <s v="Monitor"/>
    <s v="Monitor"/>
    <s v="Mobile App"/>
    <s v="E-Wallet"/>
    <n v="1"/>
    <n v="10677.65"/>
    <n v="0"/>
    <n v="687.58"/>
    <n v="10677.65"/>
    <n v="1234.3969999999999"/>
    <s v="No"/>
    <n v="3.7"/>
    <n v="6"/>
    <n v="0"/>
  </r>
  <r>
    <s v="ORD-202500351"/>
    <x v="2"/>
    <d v="2025-02-21T00:00:00"/>
    <s v="CUST-1129"/>
    <s v="Consumer"/>
    <s v="Philippines"/>
    <x v="1"/>
    <s v="Paranaque"/>
    <x v="0"/>
    <s v="Wireless Mouse"/>
    <s v="Wireless Mouse"/>
    <s v="Marketplace"/>
    <s v="Cash on Delivery"/>
    <n v="2"/>
    <n v="1173.8399999999999"/>
    <n v="0.1"/>
    <n v="171.22"/>
    <n v="2112.9119999999998"/>
    <n v="209.10415999999995"/>
    <s v="No"/>
    <n v="2.9"/>
    <n v="4"/>
    <n v="0"/>
  </r>
  <r>
    <s v="ORD-202500352"/>
    <x v="191"/>
    <d v="2025-04-22T00:00:00"/>
    <s v="CUST-1009"/>
    <s v="Corporate"/>
    <s v="Philippines"/>
    <x v="3"/>
    <s v="Manila"/>
    <x v="0"/>
    <s v="Laptop"/>
    <s v="Laptop"/>
    <s v="Marketplace"/>
    <s v="Cash on Delivery"/>
    <n v="5"/>
    <n v="50959.32"/>
    <n v="0.15"/>
    <n v="3960.72"/>
    <n v="216577.11"/>
    <n v="35023.159799999994"/>
    <s v="No"/>
    <n v="4.0999999999999996"/>
    <n v="6"/>
    <n v="0"/>
  </r>
  <r>
    <s v="ORD-202500353"/>
    <x v="234"/>
    <d v="2025-06-10T00:00:00"/>
    <s v="CUST-1147"/>
    <s v="Small Business"/>
    <s v="Philippines"/>
    <x v="0"/>
    <s v="Iloilo City"/>
    <x v="0"/>
    <s v="Keyboard"/>
    <s v="Keyboard"/>
    <s v="Website"/>
    <s v="E-Wallet"/>
    <n v="4"/>
    <n v="1946.41"/>
    <n v="0"/>
    <n v="286.56"/>
    <n v="7785.64"/>
    <n v="1114.8552"/>
    <s v="No"/>
    <n v="4.9000000000000004"/>
    <n v="1"/>
    <n v="0"/>
  </r>
  <r>
    <s v="ORD-202500354"/>
    <x v="130"/>
    <d v="2025-02-24T00:00:00"/>
    <s v="CUST-1138"/>
    <s v="Consumer"/>
    <s v="Philippines"/>
    <x v="2"/>
    <s v="Pasig"/>
    <x v="0"/>
    <s v="Keyboard"/>
    <s v="Keyboard"/>
    <s v="Mobile App"/>
    <s v="Debit Card"/>
    <n v="1"/>
    <n v="1915.16"/>
    <n v="0"/>
    <n v="361.61"/>
    <n v="1915.16"/>
    <n v="-16.881200000000035"/>
    <s v="No"/>
    <n v="4.2"/>
    <n v="2"/>
    <n v="0"/>
  </r>
  <r>
    <s v="ORD-202500355"/>
    <x v="235"/>
    <d v="2025-09-05T00:00:00"/>
    <s v="CUST-1012"/>
    <s v="Consumer"/>
    <s v="Philippines"/>
    <x v="3"/>
    <s v="Manila"/>
    <x v="3"/>
    <s v="Standing Desk"/>
    <s v="Standing Desk"/>
    <s v="Marketplace"/>
    <s v="Cash on Delivery"/>
    <n v="3"/>
    <n v="19566.669999999998"/>
    <n v="0"/>
    <n v="1163.21"/>
    <n v="58700.009999999995"/>
    <n v="12924.792399999998"/>
    <s v="No"/>
    <n v="4.5"/>
    <n v="6"/>
    <n v="0"/>
  </r>
  <r>
    <s v="ORD-202500356"/>
    <x v="236"/>
    <d v="2025-10-02T00:00:00"/>
    <s v="CUST-1193"/>
    <s v="Small Business"/>
    <s v="Philippines"/>
    <x v="0"/>
    <s v="Cebu City"/>
    <x v="1"/>
    <s v="Stapler"/>
    <s v="Stapler"/>
    <s v="Website"/>
    <s v="E-Wallet"/>
    <n v="3"/>
    <n v="284.2"/>
    <n v="0.05"/>
    <n v="224.85"/>
    <n v="809.96999999999991"/>
    <n v="34.34039999999996"/>
    <s v="No"/>
    <n v="5"/>
    <n v="1"/>
    <n v="0"/>
  </r>
  <r>
    <s v="ORD-202500357"/>
    <x v="150"/>
    <d v="2025-11-15T00:00:00"/>
    <s v="CUST-1093"/>
    <s v="Consumer"/>
    <s v="Philippines"/>
    <x v="2"/>
    <s v="Pasig"/>
    <x v="3"/>
    <s v="Office Chair"/>
    <s v="Office Chair"/>
    <s v="Website"/>
    <s v="Credit Card"/>
    <n v="2"/>
    <n v="8656.17"/>
    <n v="0"/>
    <n v="777.41"/>
    <n v="17312.34"/>
    <n v="3377.5515999999998"/>
    <s v="No"/>
    <n v="4.5"/>
    <n v="3"/>
    <n v="0"/>
  </r>
  <r>
    <s v="ORD-202500358"/>
    <x v="19"/>
    <d v="2025-02-27T00:00:00"/>
    <s v="CUST-1142"/>
    <s v="Corporate"/>
    <s v="Philippines"/>
    <x v="2"/>
    <s v="Taguig"/>
    <x v="3"/>
    <s v="Filing Cabinet"/>
    <s v="Filing Cabinet"/>
    <s v="Website"/>
    <s v="Debit Card"/>
    <n v="3"/>
    <n v="8439.61"/>
    <n v="0"/>
    <n v="653.99"/>
    <n v="25318.83"/>
    <n v="5422.5292000000009"/>
    <s v="No"/>
    <n v="4.5"/>
    <n v="3"/>
    <n v="0"/>
  </r>
  <r>
    <s v="ORD-202500359"/>
    <x v="237"/>
    <d v="2025-11-03T00:00:00"/>
    <s v="CUST-1200"/>
    <s v="Home Office"/>
    <s v="Philippines"/>
    <x v="2"/>
    <s v="Marikina"/>
    <x v="0"/>
    <s v="Laptop"/>
    <s v="Laptop"/>
    <s v="Marketplace"/>
    <s v="Cash on Delivery"/>
    <n v="4"/>
    <n v="47543.44"/>
    <n v="0.05"/>
    <n v="3118.07"/>
    <n v="180665.07200000001"/>
    <n v="29401.642960000001"/>
    <s v="No"/>
    <n v="4"/>
    <n v="4"/>
    <n v="0"/>
  </r>
  <r>
    <s v="ORD-202500360"/>
    <x v="238"/>
    <d v="2025-07-28T00:00:00"/>
    <s v="CUST-1153"/>
    <s v="Consumer"/>
    <s v="Philippines"/>
    <x v="1"/>
    <s v="Pasay"/>
    <x v="3"/>
    <s v="Office Chair"/>
    <s v="Office Chair"/>
    <s v="Website"/>
    <s v="Debit Card"/>
    <n v="5"/>
    <n v="9783.2999999999993"/>
    <n v="0.1"/>
    <n v="813.85"/>
    <n v="44024.85"/>
    <n v="9752.1139999999996"/>
    <s v="No"/>
    <n v="4.5"/>
    <n v="1"/>
    <n v="0"/>
  </r>
  <r>
    <s v="ORD-202500361"/>
    <x v="239"/>
    <d v="2025-03-22T00:00:00"/>
    <s v="CUST-1136"/>
    <s v="Consumer"/>
    <s v="Philippines"/>
    <x v="1"/>
    <s v="Paranaque"/>
    <x v="0"/>
    <s v="Keyboard"/>
    <s v="Keyboard"/>
    <s v="Website"/>
    <s v="E-Wallet"/>
    <n v="5"/>
    <n v="2089.81"/>
    <n v="0.1"/>
    <n v="758.35"/>
    <n v="9404.1450000000004"/>
    <n v="934.39610000000005"/>
    <s v="No"/>
    <n v="3.8"/>
    <n v="4"/>
    <n v="0"/>
  </r>
  <r>
    <s v="ORD-202500362"/>
    <x v="240"/>
    <d v="2025-09-23T00:00:00"/>
    <s v="CUST-1032"/>
    <s v="Small Business"/>
    <s v="Philippines"/>
    <x v="3"/>
    <s v="Baguio"/>
    <x v="2"/>
    <s v="Air Purifier"/>
    <s v="Air Purifier"/>
    <s v="Website"/>
    <s v="Cash on Delivery"/>
    <n v="4"/>
    <n v="9383.85"/>
    <n v="0.15"/>
    <n v="1136.47"/>
    <n v="31905.09"/>
    <n v="7158.8534000000009"/>
    <s v="No"/>
    <n v="4"/>
    <n v="4"/>
    <n v="0"/>
  </r>
  <r>
    <s v="ORD-202500363"/>
    <x v="71"/>
    <d v="2025-12-31T00:00:00"/>
    <s v="CUST-1100"/>
    <s v="Corporate"/>
    <s v="Philippines"/>
    <x v="1"/>
    <s v="Las Pinas"/>
    <x v="3"/>
    <s v="Standing Desk"/>
    <s v="Standing Desk"/>
    <s v="Marketplace"/>
    <s v="Bank Transfer"/>
    <n v="1"/>
    <n v="18839.28"/>
    <n v="0.15"/>
    <n v="567.95000000000005"/>
    <n v="16013.387999999999"/>
    <n v="3275.2631199999996"/>
    <s v="No"/>
    <n v="4.0999999999999996"/>
    <n v="5"/>
    <n v="0"/>
  </r>
  <r>
    <s v="ORD-202500364"/>
    <x v="36"/>
    <d v="2025-03-08T00:00:00"/>
    <s v="CUST-1002"/>
    <s v="Consumer"/>
    <s v="Philippines"/>
    <x v="3"/>
    <s v="Quezon City"/>
    <x v="1"/>
    <s v="Stapler"/>
    <s v="Stapler"/>
    <s v="Marketplace"/>
    <s v="Debit Card"/>
    <n v="1"/>
    <n v="278.89"/>
    <n v="0"/>
    <n v="344.12"/>
    <n v="278.89"/>
    <n v="-254.87520000000001"/>
    <s v="No"/>
    <n v="5"/>
    <n v="2"/>
    <n v="0"/>
  </r>
  <r>
    <s v="ORD-202500365"/>
    <x v="241"/>
    <d v="2025-11-10T00:00:00"/>
    <s v="CUST-1159"/>
    <s v="Consumer"/>
    <s v="Philippines"/>
    <x v="1"/>
    <s v="Las Pinas"/>
    <x v="3"/>
    <s v="Standing Desk"/>
    <s v="Standing Desk"/>
    <s v="Website"/>
    <s v="Cash on Delivery"/>
    <n v="1"/>
    <n v="18530.05"/>
    <n v="0.1"/>
    <n v="763.86"/>
    <n v="16677.044999999998"/>
    <n v="3238.6307999999995"/>
    <s v="No"/>
    <n v="4.9000000000000004"/>
    <n v="4"/>
    <n v="0"/>
  </r>
  <r>
    <s v="ORD-202500366"/>
    <x v="242"/>
    <d v="2025-01-19T00:00:00"/>
    <s v="CUST-1145"/>
    <s v="Corporate"/>
    <s v="Philippines"/>
    <x v="2"/>
    <s v="Antipolo"/>
    <x v="1"/>
    <s v="Printer Paper"/>
    <s v="Printer Paper"/>
    <s v="Website"/>
    <s v="Cash on Delivery"/>
    <n v="7"/>
    <n v="493.54"/>
    <n v="0.1"/>
    <n v="396.84"/>
    <n v="3109.3020000000001"/>
    <n v="598.13664000000017"/>
    <s v="No"/>
    <n v="4.0999999999999996"/>
    <n v="1"/>
    <n v="0"/>
  </r>
  <r>
    <s v="ORD-202500367"/>
    <x v="40"/>
    <d v="2025-11-10T00:00:00"/>
    <s v="CUST-1062"/>
    <s v="Corporate"/>
    <s v="Philippines"/>
    <x v="3"/>
    <s v="Baguio"/>
    <x v="1"/>
    <s v="Pen Set"/>
    <s v="Pen Set"/>
    <s v="Mobile App"/>
    <s v="Credit Card"/>
    <n v="2"/>
    <n v="186.08"/>
    <n v="0.05"/>
    <n v="503.86"/>
    <n v="353.55200000000002"/>
    <n v="-390.72336000000001"/>
    <s v="No"/>
    <n v="5"/>
    <n v="1"/>
    <n v="0"/>
  </r>
  <r>
    <s v="ORD-202500368"/>
    <x v="178"/>
    <d v="2025-05-31T00:00:00"/>
    <s v="CUST-1009"/>
    <s v="Corporate"/>
    <s v="Philippines"/>
    <x v="2"/>
    <s v="Pasig"/>
    <x v="0"/>
    <s v="Wireless Mouse"/>
    <s v="Wireless Mouse"/>
    <s v="Mobile App"/>
    <s v="Cash on Delivery"/>
    <n v="1"/>
    <n v="1412.53"/>
    <n v="0.15"/>
    <n v="457.05"/>
    <n v="1200.6505"/>
    <n v="-240.93291000000002"/>
    <s v="No"/>
    <n v="4.2"/>
    <n v="2"/>
    <n v="0"/>
  </r>
  <r>
    <s v="ORD-202500369"/>
    <x v="243"/>
    <d v="2025-02-14T00:00:00"/>
    <s v="CUST-1129"/>
    <s v="Consumer"/>
    <s v="Philippines"/>
    <x v="2"/>
    <s v="Pasig"/>
    <x v="0"/>
    <s v="Keyboard"/>
    <s v="Keyboard"/>
    <s v="Website"/>
    <s v="E-Wallet"/>
    <n v="1"/>
    <n v="1644.24"/>
    <n v="0"/>
    <n v="441.97"/>
    <n v="1644.24"/>
    <n v="-146.00680000000006"/>
    <s v="No"/>
    <n v="3.6"/>
    <n v="2"/>
    <n v="0"/>
  </r>
  <r>
    <s v="ORD-202500370"/>
    <x v="174"/>
    <d v="2025-05-21T00:00:00"/>
    <s v="CUST-1179"/>
    <s v="Consumer"/>
    <s v="Philippines"/>
    <x v="0"/>
    <s v="Cebu City"/>
    <x v="3"/>
    <s v="Office Chair"/>
    <s v="Office Chair"/>
    <s v="Social Commerce"/>
    <s v="Cash on Delivery"/>
    <n v="6"/>
    <n v="7873.08"/>
    <n v="0.05"/>
    <n v="1354.92"/>
    <n v="44876.555999999997"/>
    <n v="9415.4534399999993"/>
    <s v="No"/>
    <n v="4.5"/>
    <n v="7"/>
    <n v="0"/>
  </r>
  <r>
    <s v="ORD-202500371"/>
    <x v="14"/>
    <d v="2025-05-08T00:00:00"/>
    <s v="CUST-1112"/>
    <s v="Small Business"/>
    <s v="Philippines"/>
    <x v="0"/>
    <s v="Davao City"/>
    <x v="1"/>
    <s v="Pen Set"/>
    <s v="Pen Set"/>
    <s v="Website"/>
    <s v="E-Wallet"/>
    <n v="4"/>
    <n v="164.66"/>
    <n v="0"/>
    <n v="317.16000000000003"/>
    <n v="658.64"/>
    <n v="-106.39520000000002"/>
    <s v="No"/>
    <n v="4.2"/>
    <n v="6"/>
    <n v="0"/>
  </r>
  <r>
    <s v="ORD-202500372"/>
    <x v="125"/>
    <d v="2025-10-02T00:00:00"/>
    <s v="CUST-1097"/>
    <s v="Corporate"/>
    <s v="Philippines"/>
    <x v="1"/>
    <s v="Las Pinas"/>
    <x v="0"/>
    <s v="Headphones"/>
    <s v="Headphones"/>
    <s v="Retail Store"/>
    <s v="Credit Card"/>
    <n v="1"/>
    <n v="3917.17"/>
    <n v="0"/>
    <n v="318.7"/>
    <n v="3917.17"/>
    <n v="386.39060000000001"/>
    <s v="No"/>
    <n v="3.6"/>
    <n v="2"/>
    <n v="0"/>
  </r>
  <r>
    <s v="ORD-202500373"/>
    <x v="217"/>
    <d v="2025-01-23T00:00:00"/>
    <s v="CUST-1136"/>
    <s v="Corporate"/>
    <s v="Philippines"/>
    <x v="1"/>
    <s v="Pasay"/>
    <x v="3"/>
    <s v="Bookshelf"/>
    <s v="Bookshelf"/>
    <s v="Retail Store"/>
    <s v="E-Wallet"/>
    <n v="3"/>
    <n v="6482.75"/>
    <n v="0.1"/>
    <n v="798.71"/>
    <n v="17503.424999999999"/>
    <n v="3402.1120000000001"/>
    <s v="No"/>
    <n v="4.0999999999999996"/>
    <n v="1"/>
    <n v="0"/>
  </r>
  <r>
    <s v="ORD-202500374"/>
    <x v="244"/>
    <d v="2025-06-28T00:00:00"/>
    <s v="CUST-1176"/>
    <s v="Home Office"/>
    <s v="Philippines"/>
    <x v="2"/>
    <s v="Antipolo"/>
    <x v="1"/>
    <s v="Printer Paper"/>
    <s v="Printer Paper"/>
    <s v="Website"/>
    <s v="Credit Card"/>
    <n v="2"/>
    <n v="455.97"/>
    <n v="0"/>
    <n v="507.07"/>
    <n v="911.94"/>
    <n v="-215.24919999999997"/>
    <s v="No"/>
    <n v="4.0999999999999996"/>
    <n v="6"/>
    <n v="0"/>
  </r>
  <r>
    <s v="ORD-202500375"/>
    <x v="242"/>
    <d v="2025-01-19T00:00:00"/>
    <s v="CUST-1158"/>
    <s v="Consumer"/>
    <s v="Philippines"/>
    <x v="0"/>
    <s v="Cebu City"/>
    <x v="1"/>
    <s v="Printer Paper"/>
    <s v="Printer Paper"/>
    <s v="Website"/>
    <s v="Cash on Delivery"/>
    <n v="1"/>
    <n v="452.31"/>
    <n v="0.2"/>
    <n v="409.44"/>
    <n v="361.84800000000001"/>
    <n v="-293.64864"/>
    <s v="No"/>
    <n v="4.9000000000000004"/>
    <n v="1"/>
    <n v="0"/>
  </r>
  <r>
    <s v="ORD-202500376"/>
    <x v="245"/>
    <d v="2025-05-13T00:00:00"/>
    <s v="CUST-1119"/>
    <s v="Corporate"/>
    <s v="Philippines"/>
    <x v="3"/>
    <s v="Laoag"/>
    <x v="2"/>
    <s v="Desk Lamp"/>
    <s v="Desk Lamp"/>
    <s v="Marketplace"/>
    <s v="E-Wallet"/>
    <n v="1"/>
    <n v="1448.49"/>
    <n v="0"/>
    <n v="137.29"/>
    <n v="1448.49"/>
    <n v="239.31740000000005"/>
    <s v="No"/>
    <n v="3.9"/>
    <n v="3"/>
    <n v="0"/>
  </r>
  <r>
    <s v="ORD-202500377"/>
    <x v="246"/>
    <d v="2025-02-03T00:00:00"/>
    <s v="CUST-1208"/>
    <s v="Consumer"/>
    <s v="Philippines"/>
    <x v="1"/>
    <s v="Makati"/>
    <x v="3"/>
    <s v="Standing Desk"/>
    <s v="Standing Desk"/>
    <s v="Marketplace"/>
    <s v="Debit Card"/>
    <n v="3"/>
    <n v="16425.52"/>
    <n v="0.05"/>
    <n v="1064.96"/>
    <n v="46812.731999999996"/>
    <n v="10170.095679999999"/>
    <s v="No"/>
    <n v="4.7"/>
    <n v="3"/>
    <n v="0"/>
  </r>
  <r>
    <s v="ORD-202500378"/>
    <x v="247"/>
    <d v="2025-05-14T00:00:00"/>
    <s v="CUST-1008"/>
    <s v="Consumer"/>
    <s v="Philippines"/>
    <x v="2"/>
    <s v="Taguig"/>
    <x v="0"/>
    <s v="Wireless Mouse"/>
    <s v="Wireless Mouse"/>
    <s v="Website"/>
    <s v="Credit Card"/>
    <n v="6"/>
    <n v="1295.26"/>
    <n v="0"/>
    <n v="595.6"/>
    <n v="7771.5599999999995"/>
    <n v="803.28079999999989"/>
    <s v="No"/>
    <n v="4.7"/>
    <n v="1"/>
    <n v="0"/>
  </r>
  <r>
    <s v="ORD-202500379"/>
    <x v="37"/>
    <d v="2025-10-23T00:00:00"/>
    <s v="CUST-1131"/>
    <s v="Small Business"/>
    <s v="Philippines"/>
    <x v="1"/>
    <s v="Las Pinas"/>
    <x v="3"/>
    <s v="Office Chair"/>
    <s v="Office Chair"/>
    <s v="Mobile App"/>
    <s v="Credit Card"/>
    <n v="2"/>
    <n v="9237.6200000000008"/>
    <n v="0.1"/>
    <n v="426.21"/>
    <n v="16627.716"/>
    <n v="3564.44184"/>
    <s v="No"/>
    <n v="4.8"/>
    <n v="1"/>
    <n v="0"/>
  </r>
  <r>
    <s v="ORD-202500380"/>
    <x v="27"/>
    <d v="2025-06-09T00:00:00"/>
    <s v="CUST-1014"/>
    <s v="Corporate"/>
    <s v="Philippines"/>
    <x v="3"/>
    <s v="Baguio"/>
    <x v="3"/>
    <s v="Bookshelf"/>
    <s v="Bookshelf"/>
    <s v="Website"/>
    <s v="Bank Transfer"/>
    <n v="4"/>
    <n v="6285.42"/>
    <n v="0"/>
    <n v="773.18"/>
    <n v="25141.68"/>
    <n v="5260.8231999999998"/>
    <s v="No"/>
    <n v="4.3"/>
    <n v="4"/>
    <n v="0"/>
  </r>
  <r>
    <s v="ORD-202500381"/>
    <x v="3"/>
    <d v="2025-12-07T00:00:00"/>
    <s v="CUST-1076"/>
    <s v="Corporate"/>
    <s v="Philippines"/>
    <x v="3"/>
    <s v="Baguio"/>
    <x v="3"/>
    <s v="Filing Cabinet"/>
    <s v="Filing Cabinet"/>
    <s v="Marketplace"/>
    <s v="Debit Card"/>
    <n v="1"/>
    <n v="6390.79"/>
    <n v="0.25"/>
    <n v="311.8"/>
    <n v="4793.0924999999997"/>
    <n v="838.54219999999987"/>
    <s v="No"/>
    <n v="4.5"/>
    <n v="2"/>
    <n v="0"/>
  </r>
  <r>
    <s v="ORD-202500382"/>
    <x v="248"/>
    <d v="2025-09-18T00:00:00"/>
    <s v="CUST-1207"/>
    <s v="Consumer"/>
    <s v="Philippines"/>
    <x v="3"/>
    <s v="Manila"/>
    <x v="3"/>
    <s v="Bookshelf"/>
    <s v="Bookshelf"/>
    <s v="Retail Store"/>
    <s v="Credit Card"/>
    <n v="2"/>
    <n v="6132.77"/>
    <n v="0.1"/>
    <n v="562.16"/>
    <n v="11038.986000000001"/>
    <n v="2087.1966400000001"/>
    <s v="No"/>
    <n v="3.7"/>
    <n v="5"/>
    <n v="0"/>
  </r>
  <r>
    <s v="ORD-202500383"/>
    <x v="249"/>
    <d v="2025-10-04T00:00:00"/>
    <s v="CUST-1189"/>
    <s v="Corporate"/>
    <s v="Philippines"/>
    <x v="3"/>
    <s v="Manila"/>
    <x v="1"/>
    <s v="Stapler"/>
    <s v="Stapler"/>
    <s v="Marketplace"/>
    <s v="Bank Transfer"/>
    <n v="5"/>
    <n v="277.02999999999997"/>
    <n v="0"/>
    <n v="470.59"/>
    <n v="1385.1499999999999"/>
    <n v="-304.37199999999996"/>
    <s v="Yes"/>
    <n v="2.9"/>
    <n v="2"/>
    <n v="1"/>
  </r>
  <r>
    <s v="ORD-202500384"/>
    <x v="175"/>
    <d v="2025-02-23T00:00:00"/>
    <s v="CUST-1156"/>
    <s v="Consumer"/>
    <s v="Philippines"/>
    <x v="3"/>
    <s v="Manila"/>
    <x v="0"/>
    <s v="Headphones"/>
    <s v="Headphones"/>
    <s v="Retail Store"/>
    <s v="Debit Card"/>
    <n v="1"/>
    <n v="3292.77"/>
    <n v="0"/>
    <n v="605.85"/>
    <n v="3292.77"/>
    <n v="-13.151400000000081"/>
    <s v="No"/>
    <n v="3.6"/>
    <n v="4"/>
    <n v="0"/>
  </r>
  <r>
    <s v="ORD-202500385"/>
    <x v="250"/>
    <d v="2025-07-28T00:00:00"/>
    <s v="CUST-1030"/>
    <s v="Home Office"/>
    <s v="Philippines"/>
    <x v="0"/>
    <s v="Iloilo City"/>
    <x v="2"/>
    <s v="Coffee Maker"/>
    <s v="Coffee Maker"/>
    <s v="Marketplace"/>
    <s v="Cash on Delivery"/>
    <n v="1"/>
    <n v="4315.04"/>
    <n v="0"/>
    <n v="576.53"/>
    <n v="4315.04"/>
    <n v="545.38040000000001"/>
    <s v="No"/>
    <n v="4.2"/>
    <n v="3"/>
    <n v="0"/>
  </r>
  <r>
    <s v="ORD-202500386"/>
    <x v="29"/>
    <d v="2025-05-10T00:00:00"/>
    <s v="CUST-1010"/>
    <s v="Consumer"/>
    <s v="Philippines"/>
    <x v="1"/>
    <s v="Paranaque"/>
    <x v="0"/>
    <s v="Wireless Mouse"/>
    <s v="Wireless Mouse"/>
    <s v="Website"/>
    <s v="Credit Card"/>
    <n v="1"/>
    <n v="1088.0899999999999"/>
    <n v="0.1"/>
    <n v="601.86"/>
    <n v="979.28099999999995"/>
    <n v="-425.58942000000002"/>
    <s v="No"/>
    <n v="4.5"/>
    <n v="5"/>
    <n v="0"/>
  </r>
  <r>
    <s v="ORD-202500387"/>
    <x v="251"/>
    <d v="2025-09-07T00:00:00"/>
    <s v="CUST-1032"/>
    <s v="Consumer"/>
    <s v="Philippines"/>
    <x v="2"/>
    <s v="Taguig"/>
    <x v="3"/>
    <s v="Standing Desk"/>
    <s v="Standing Desk"/>
    <s v="Marketplace"/>
    <s v="Credit Card"/>
    <n v="3"/>
    <n v="19712.87"/>
    <n v="0.05"/>
    <n v="1017.25"/>
    <n v="56181.679499999998"/>
    <n v="12466.353079999999"/>
    <s v="No"/>
    <n v="4.0999999999999996"/>
    <n v="6"/>
    <n v="0"/>
  </r>
  <r>
    <s v="ORD-202500388"/>
    <x v="252"/>
    <d v="2025-10-15T00:00:00"/>
    <s v="CUST-1049"/>
    <s v="Consumer"/>
    <s v="Philippines"/>
    <x v="3"/>
    <s v="Baguio"/>
    <x v="2"/>
    <s v="Coffee Maker"/>
    <s v="Coffee Maker"/>
    <s v="Mobile App"/>
    <s v="Debit Card"/>
    <n v="1"/>
    <n v="4502.96"/>
    <n v="0.15"/>
    <n v="538.13"/>
    <n v="3827.5160000000001"/>
    <n v="457.02416000000005"/>
    <s v="No"/>
    <n v="4.8"/>
    <n v="2"/>
    <n v="0"/>
  </r>
  <r>
    <s v="ORD-202500389"/>
    <x v="12"/>
    <d v="2025-09-04T00:00:00"/>
    <s v="CUST-1045"/>
    <s v="Consumer"/>
    <s v="Philippines"/>
    <x v="3"/>
    <s v="Manila"/>
    <x v="1"/>
    <s v="Pen Set"/>
    <s v="Pen Set"/>
    <s v="Website"/>
    <s v="E-Wallet"/>
    <n v="2"/>
    <n v="201.88"/>
    <n v="0.1"/>
    <n v="110.75"/>
    <n v="363.38400000000001"/>
    <n v="5.5328800000000058"/>
    <s v="No"/>
    <n v="4.5999999999999996"/>
    <n v="4"/>
    <n v="0"/>
  </r>
  <r>
    <s v="ORD-202500390"/>
    <x v="253"/>
    <d v="2025-01-19T00:00:00"/>
    <s v="CUST-1131"/>
    <s v="Consumer"/>
    <s v="Philippines"/>
    <x v="0"/>
    <s v="Cagayan de Oro"/>
    <x v="1"/>
    <s v="Pen Set"/>
    <s v="Pen Set"/>
    <s v="Mobile App"/>
    <s v="E-Wallet"/>
    <n v="1"/>
    <n v="164.35"/>
    <n v="0"/>
    <n v="217.62"/>
    <n v="164.35"/>
    <n v="-165.02800000000002"/>
    <s v="No"/>
    <n v="4.2"/>
    <n v="4"/>
    <n v="0"/>
  </r>
  <r>
    <s v="ORD-202500391"/>
    <x v="94"/>
    <d v="2025-04-17T00:00:00"/>
    <s v="CUST-1056"/>
    <s v="Consumer"/>
    <s v="Philippines"/>
    <x v="1"/>
    <s v="Makati"/>
    <x v="2"/>
    <s v="Coffee Maker"/>
    <s v="Coffee Maker"/>
    <s v="Website"/>
    <s v="Cash on Delivery"/>
    <n v="2"/>
    <n v="4781.76"/>
    <n v="0"/>
    <n v="633.75"/>
    <n v="9563.52"/>
    <n v="1852.7652000000003"/>
    <s v="No"/>
    <n v="4.5999999999999996"/>
    <n v="4"/>
    <n v="0"/>
  </r>
  <r>
    <s v="ORD-202500392"/>
    <x v="254"/>
    <d v="2025-03-08T00:00:00"/>
    <s v="CUST-1177"/>
    <s v="Corporate"/>
    <s v="Philippines"/>
    <x v="2"/>
    <s v="Marikina"/>
    <x v="0"/>
    <s v="Wireless Mouse"/>
    <s v="Wireless Mouse"/>
    <s v="Mobile App"/>
    <s v="Debit Card"/>
    <n v="4"/>
    <n v="1135.1500000000001"/>
    <n v="0"/>
    <n v="237.48"/>
    <n v="4540.6000000000004"/>
    <n v="579.82799999999997"/>
    <s v="No"/>
    <n v="4.3"/>
    <n v="1"/>
    <n v="0"/>
  </r>
  <r>
    <s v="ORD-202500393"/>
    <x v="209"/>
    <d v="2025-11-12T00:00:00"/>
    <s v="CUST-1147"/>
    <s v="Home Office"/>
    <s v="Philippines"/>
    <x v="0"/>
    <s v="Cebu City"/>
    <x v="3"/>
    <s v="Filing Cabinet"/>
    <s v="Filing Cabinet"/>
    <s v="Retail Store"/>
    <s v="Debit Card"/>
    <n v="3"/>
    <n v="8143.9"/>
    <n v="0"/>
    <n v="862.59"/>
    <n v="24431.699999999997"/>
    <n v="5001.0179999999991"/>
    <s v="No"/>
    <n v="4.4000000000000004"/>
    <n v="2"/>
    <n v="0"/>
  </r>
  <r>
    <s v="ORD-202500394"/>
    <x v="122"/>
    <d v="2025-10-26T00:00:00"/>
    <s v="CUST-1151"/>
    <s v="Home Office"/>
    <s v="Philippines"/>
    <x v="3"/>
    <s v="Laoag"/>
    <x v="2"/>
    <s v="Air Purifier"/>
    <s v="Air Purifier"/>
    <s v="Social Commerce"/>
    <s v="Cash on Delivery"/>
    <n v="1"/>
    <n v="9873.7000000000007"/>
    <n v="0.05"/>
    <n v="682.98"/>
    <n v="9380.0149999999994"/>
    <n v="1755.8238999999999"/>
    <s v="No"/>
    <n v="4.8"/>
    <n v="2"/>
    <n v="0"/>
  </r>
  <r>
    <s v="ORD-202500395"/>
    <x v="220"/>
    <d v="2025-08-24T00:00:00"/>
    <s v="CUST-1061"/>
    <s v="Consumer"/>
    <s v="Philippines"/>
    <x v="3"/>
    <s v="Laoag"/>
    <x v="2"/>
    <s v="Coffee Maker"/>
    <s v="Coffee Maker"/>
    <s v="Mobile App"/>
    <s v="Debit Card"/>
    <n v="3"/>
    <n v="4354.6499999999996"/>
    <n v="0.05"/>
    <n v="449.72"/>
    <n v="12410.752499999999"/>
    <n v="2777.0756499999998"/>
    <s v="No"/>
    <n v="4.8"/>
    <n v="4"/>
    <n v="0"/>
  </r>
  <r>
    <s v="ORD-202500396"/>
    <x v="154"/>
    <d v="2025-01-17T00:00:00"/>
    <s v="CUST-1118"/>
    <s v="Small Business"/>
    <s v="Philippines"/>
    <x v="1"/>
    <s v="Paranaque"/>
    <x v="1"/>
    <s v="Pen Set"/>
    <s v="Pen Set"/>
    <s v="Marketplace"/>
    <s v="Credit Card"/>
    <n v="5"/>
    <n v="162.22"/>
    <n v="0.2"/>
    <n v="281.92"/>
    <n v="648.88000000000011"/>
    <n v="-74.278399999999976"/>
    <s v="No"/>
    <n v="3.8"/>
    <n v="4"/>
    <n v="0"/>
  </r>
  <r>
    <s v="ORD-202500397"/>
    <x v="119"/>
    <d v="2025-08-14T00:00:00"/>
    <s v="CUST-1069"/>
    <s v="Corporate"/>
    <s v="Philippines"/>
    <x v="0"/>
    <s v="Cebu City"/>
    <x v="1"/>
    <s v="Pen Set"/>
    <s v="Pen Set"/>
    <s v="Marketplace"/>
    <s v="Credit Card"/>
    <n v="2"/>
    <n v="207.54"/>
    <n v="0"/>
    <n v="115.62"/>
    <n v="415.08"/>
    <n v="17.205600000000004"/>
    <s v="No"/>
    <n v="4.0999999999999996"/>
    <n v="7"/>
    <n v="0"/>
  </r>
  <r>
    <s v="ORD-202500398"/>
    <x v="142"/>
    <d v="2025-07-09T00:00:00"/>
    <s v="CUST-1165"/>
    <s v="Corporate"/>
    <s v="Philippines"/>
    <x v="3"/>
    <s v="Quezon City"/>
    <x v="0"/>
    <s v="Keyboard"/>
    <s v="Keyboard"/>
    <s v="Website"/>
    <s v="Credit Card"/>
    <n v="3"/>
    <n v="1982.19"/>
    <n v="0.1"/>
    <n v="665.74"/>
    <n v="5351.9129999999996"/>
    <n v="297.60433999999987"/>
    <s v="No"/>
    <n v="4.4000000000000004"/>
    <n v="2"/>
    <n v="0"/>
  </r>
  <r>
    <s v="ORD-202500399"/>
    <x v="188"/>
    <d v="2025-04-29T00:00:00"/>
    <s v="CUST-1090"/>
    <s v="Home Office"/>
    <s v="Philippines"/>
    <x v="1"/>
    <s v="Pasay"/>
    <x v="0"/>
    <s v="Keyboard"/>
    <s v="Keyboard"/>
    <s v="Website"/>
    <s v="Bank Transfer"/>
    <n v="2"/>
    <n v="2031.96"/>
    <n v="0.05"/>
    <n v="444.14"/>
    <n v="3860.7239999999997"/>
    <n v="250.79031999999995"/>
    <s v="No"/>
    <n v="4.7"/>
    <n v="3"/>
    <n v="0"/>
  </r>
  <r>
    <s v="ORD-202500400"/>
    <x v="255"/>
    <d v="2025-07-15T00:00:00"/>
    <s v="CUST-1172"/>
    <s v="Home Office"/>
    <s v="Philippines"/>
    <x v="3"/>
    <s v="Quezon City"/>
    <x v="2"/>
    <s v="Storage Bin"/>
    <s v="Storage Bin"/>
    <s v="Website"/>
    <s v="Bank Transfer"/>
    <n v="5"/>
    <n v="531.58000000000004"/>
    <n v="0.2"/>
    <n v="182.21"/>
    <n v="2126.3200000000002"/>
    <n v="370.63319999999999"/>
    <s v="No"/>
    <n v="4"/>
    <n v="7"/>
    <n v="0"/>
  </r>
  <r>
    <s v="ORD-202500401"/>
    <x v="202"/>
    <d v="2025-12-25T00:00:00"/>
    <s v="CUST-1127"/>
    <s v="Consumer"/>
    <s v="Philippines"/>
    <x v="0"/>
    <s v="Cebu City"/>
    <x v="0"/>
    <s v="Headphones"/>
    <s v="Headphones"/>
    <s v="Social Commerce"/>
    <s v="Bank Transfer"/>
    <n v="2"/>
    <n v="3546.05"/>
    <n v="0.1"/>
    <n v="352.55"/>
    <n v="6382.89"/>
    <n v="-480.20780000000013"/>
    <s v="Yes"/>
    <n v="3.8"/>
    <n v="2"/>
    <n v="1"/>
  </r>
  <r>
    <s v="ORD-202500402"/>
    <x v="131"/>
    <d v="2025-09-30T00:00:00"/>
    <s v="CUST-1085"/>
    <s v="Consumer"/>
    <s v="Philippines"/>
    <x v="2"/>
    <s v="Pasig"/>
    <x v="3"/>
    <s v="Filing Cabinet"/>
    <s v="Filing Cabinet"/>
    <s v="Mobile App"/>
    <s v="Cash on Delivery"/>
    <n v="1"/>
    <n v="8040.99"/>
    <n v="0"/>
    <n v="348.82"/>
    <n v="8040.99"/>
    <n v="1581.0175999999999"/>
    <s v="No"/>
    <n v="4"/>
    <n v="6"/>
    <n v="0"/>
  </r>
  <r>
    <s v="ORD-202500403"/>
    <x v="223"/>
    <d v="2025-06-04T00:00:00"/>
    <s v="CUST-1012"/>
    <s v="Consumer"/>
    <s v="Philippines"/>
    <x v="2"/>
    <s v="Taguig"/>
    <x v="2"/>
    <s v="Coffee Maker"/>
    <s v="Coffee Maker"/>
    <s v="Marketplace"/>
    <s v="E-Wallet"/>
    <n v="1"/>
    <n v="4476.5200000000004"/>
    <n v="0.1"/>
    <n v="662.83"/>
    <n v="4028.8680000000004"/>
    <n v="384.67568000000017"/>
    <s v="No"/>
    <n v="4.4000000000000004"/>
    <n v="7"/>
    <n v="0"/>
  </r>
  <r>
    <s v="ORD-202500404"/>
    <x v="256"/>
    <d v="2025-06-17T00:00:00"/>
    <s v="CUST-1032"/>
    <s v="Consumer"/>
    <s v="Philippines"/>
    <x v="2"/>
    <s v="Marikina"/>
    <x v="0"/>
    <s v="Laptop"/>
    <s v="Laptop"/>
    <s v="Marketplace"/>
    <s v="E-Wallet"/>
    <n v="1"/>
    <n v="52755.49"/>
    <n v="0.25"/>
    <n v="1175.51"/>
    <n v="39566.6175"/>
    <n v="5946.4811499999996"/>
    <s v="No"/>
    <n v="4.5"/>
    <n v="5"/>
    <n v="0"/>
  </r>
  <r>
    <s v="ORD-202500405"/>
    <x v="154"/>
    <d v="2025-01-17T00:00:00"/>
    <s v="CUST-1127"/>
    <s v="Small Business"/>
    <s v="Philippines"/>
    <x v="1"/>
    <s v="Pasay"/>
    <x v="0"/>
    <s v="Headphones"/>
    <s v="Headphones"/>
    <s v="Social Commerce"/>
    <s v="E-Wallet"/>
    <n v="3"/>
    <n v="3390.33"/>
    <n v="0.2"/>
    <n v="785.24"/>
    <n v="8136.7920000000004"/>
    <n v="679.38256000000001"/>
    <s v="No"/>
    <n v="5"/>
    <n v="4"/>
    <n v="0"/>
  </r>
  <r>
    <s v="ORD-202500406"/>
    <x v="182"/>
    <d v="2025-10-23T00:00:00"/>
    <s v="CUST-1113"/>
    <s v="Consumer"/>
    <s v="Philippines"/>
    <x v="3"/>
    <s v="Laoag"/>
    <x v="2"/>
    <s v="Coffee Maker"/>
    <s v="Coffee Maker"/>
    <s v="Marketplace"/>
    <s v="Credit Card"/>
    <n v="2"/>
    <n v="4802.3500000000004"/>
    <n v="0.15"/>
    <n v="478.27"/>
    <n v="8163.9950000000008"/>
    <n v="1644.3687000000004"/>
    <s v="No"/>
    <n v="4.2"/>
    <n v="6"/>
    <n v="0"/>
  </r>
  <r>
    <s v="ORD-202500407"/>
    <x v="102"/>
    <d v="2025-02-03T00:00:00"/>
    <s v="CUST-1164"/>
    <s v="Consumer"/>
    <s v="Philippines"/>
    <x v="0"/>
    <s v="Iloilo City"/>
    <x v="0"/>
    <s v="Laptop"/>
    <s v="Laptop"/>
    <s v="Mobile App"/>
    <s v="Bank Transfer"/>
    <n v="3"/>
    <n v="60698.93"/>
    <n v="0.25"/>
    <n v="3036.27"/>
    <n v="136572.5925"/>
    <n v="21546.79665"/>
    <s v="No"/>
    <n v="3.9"/>
    <n v="5"/>
    <n v="0"/>
  </r>
  <r>
    <s v="ORD-202500408"/>
    <x v="102"/>
    <d v="2025-02-04T00:00:00"/>
    <s v="CUST-1092"/>
    <s v="Consumer"/>
    <s v="Philippines"/>
    <x v="1"/>
    <s v="Pasay"/>
    <x v="3"/>
    <s v="Office Chair"/>
    <s v="Office Chair"/>
    <s v="Website"/>
    <s v="E-Wallet"/>
    <n v="2"/>
    <n v="8616.2199999999993"/>
    <n v="0.05"/>
    <n v="461.43"/>
    <n v="16370.817999999997"/>
    <n v="3467.5663199999995"/>
    <s v="No"/>
    <n v="3.9"/>
    <n v="6"/>
    <n v="0"/>
  </r>
  <r>
    <s v="ORD-202500409"/>
    <x v="54"/>
    <d v="2025-08-08T00:00:00"/>
    <s v="CUST-1113"/>
    <s v="Consumer"/>
    <s v="Philippines"/>
    <x v="1"/>
    <s v="Las Pinas"/>
    <x v="0"/>
    <s v="Headphones"/>
    <s v="Headphones"/>
    <s v="Mobile App"/>
    <s v="Debit Card"/>
    <n v="1"/>
    <n v="3578.34"/>
    <n v="0.15"/>
    <n v="696.06"/>
    <n v="3041.5889999999999"/>
    <n v="-756.89178000000004"/>
    <s v="Yes"/>
    <n v="4.2"/>
    <n v="7"/>
    <n v="1"/>
  </r>
  <r>
    <s v="ORD-202500410"/>
    <x v="257"/>
    <d v="2025-02-16T00:00:00"/>
    <s v="CUST-1104"/>
    <s v="Corporate"/>
    <s v="Philippines"/>
    <x v="2"/>
    <s v="Taguig"/>
    <x v="0"/>
    <s v="Wireless Mouse"/>
    <s v="Wireless Mouse"/>
    <s v="Marketplace"/>
    <s v="Debit Card"/>
    <n v="1"/>
    <n v="1355.62"/>
    <n v="0"/>
    <n v="379.97"/>
    <n v="1355.62"/>
    <n v="-135.95840000000007"/>
    <s v="No"/>
    <n v="4.2"/>
    <n v="1"/>
    <n v="0"/>
  </r>
  <r>
    <s v="ORD-202500411"/>
    <x v="258"/>
    <d v="2025-06-11T00:00:00"/>
    <s v="CUST-1149"/>
    <s v="Consumer"/>
    <s v="Philippines"/>
    <x v="1"/>
    <s v="Paranaque"/>
    <x v="0"/>
    <s v="Laptop"/>
    <s v="Laptop"/>
    <s v="Website"/>
    <s v="E-Wallet"/>
    <n v="6"/>
    <n v="58774.19"/>
    <n v="0.05"/>
    <n v="5742.35"/>
    <n v="335012.88299999997"/>
    <n v="54559.968939999992"/>
    <s v="No"/>
    <n v="3.8"/>
    <n v="7"/>
    <n v="0"/>
  </r>
  <r>
    <s v="ORD-202500412"/>
    <x v="46"/>
    <d v="2025-12-25T00:00:00"/>
    <s v="CUST-1062"/>
    <s v="Consumer"/>
    <s v="Philippines"/>
    <x v="2"/>
    <s v="Taguig"/>
    <x v="2"/>
    <s v="Air Purifier"/>
    <s v="Air Purifier"/>
    <s v="Mobile App"/>
    <s v="E-Wallet"/>
    <n v="3"/>
    <n v="9971.89"/>
    <n v="0.15"/>
    <n v="886.69"/>
    <n v="25428.319499999998"/>
    <n v="5724.6730699999989"/>
    <s v="No"/>
    <n v="4.5"/>
    <n v="6"/>
    <n v="0"/>
  </r>
  <r>
    <s v="ORD-202500413"/>
    <x v="230"/>
    <d v="2025-12-29T00:00:00"/>
    <s v="CUST-1030"/>
    <s v="Consumer"/>
    <s v="Philippines"/>
    <x v="3"/>
    <s v="Baguio"/>
    <x v="0"/>
    <s v="Laptop"/>
    <s v="Laptop"/>
    <s v="Website"/>
    <s v="Bank Transfer"/>
    <n v="5"/>
    <n v="47873.760000000002"/>
    <n v="0"/>
    <n v="3825.95"/>
    <n v="239368.80000000002"/>
    <n v="39260.434000000001"/>
    <s v="No"/>
    <n v="4.5999999999999996"/>
    <n v="7"/>
    <n v="0"/>
  </r>
  <r>
    <s v="ORD-202500414"/>
    <x v="178"/>
    <d v="2025-06-01T00:00:00"/>
    <s v="CUST-1135"/>
    <s v="Corporate"/>
    <s v="Philippines"/>
    <x v="3"/>
    <s v="Quezon City"/>
    <x v="1"/>
    <s v="Notebook"/>
    <s v="Notebook"/>
    <s v="Marketplace"/>
    <s v="Cash on Delivery"/>
    <n v="4"/>
    <n v="125.17"/>
    <n v="0.15"/>
    <n v="558.79999999999995"/>
    <n v="425.57799999999997"/>
    <n v="-422.61503999999996"/>
    <s v="No"/>
    <n v="4.0999999999999996"/>
    <n v="3"/>
    <n v="0"/>
  </r>
  <r>
    <s v="ORD-202500415"/>
    <x v="258"/>
    <d v="2025-06-07T00:00:00"/>
    <s v="CUST-1175"/>
    <s v="Corporate"/>
    <s v="Philippines"/>
    <x v="2"/>
    <s v="Antipolo"/>
    <x v="3"/>
    <s v="Bookshelf"/>
    <s v="Bookshelf"/>
    <s v="Retail Store"/>
    <s v="Credit Card"/>
    <n v="1"/>
    <n v="6268.76"/>
    <n v="0.1"/>
    <n v="408.87"/>
    <n v="5641.884"/>
    <n v="945.18215999999995"/>
    <s v="No"/>
    <n v="4.5"/>
    <n v="3"/>
    <n v="0"/>
  </r>
  <r>
    <s v="ORD-202500416"/>
    <x v="192"/>
    <d v="2025-09-17T00:00:00"/>
    <s v="CUST-1048"/>
    <s v="Small Business"/>
    <s v="Philippines"/>
    <x v="3"/>
    <s v="Laoag"/>
    <x v="3"/>
    <s v="Office Chair"/>
    <s v="Office Chair"/>
    <s v="Website"/>
    <s v="Debit Card"/>
    <n v="6"/>
    <n v="8702.77"/>
    <n v="0"/>
    <n v="1069.9100000000001"/>
    <n v="52216.62"/>
    <n v="11462.078800000001"/>
    <s v="No"/>
    <n v="4.5999999999999996"/>
    <n v="2"/>
    <n v="0"/>
  </r>
  <r>
    <s v="ORD-202500417"/>
    <x v="86"/>
    <d v="2025-11-07T00:00:00"/>
    <s v="CUST-1195"/>
    <s v="Home Office"/>
    <s v="Philippines"/>
    <x v="0"/>
    <s v="Iloilo City"/>
    <x v="0"/>
    <s v="Laptop"/>
    <s v="Laptop"/>
    <s v="Website"/>
    <s v="Debit Card"/>
    <n v="3"/>
    <n v="50555.88"/>
    <n v="0"/>
    <n v="2914.25"/>
    <n v="151667.63999999998"/>
    <n v="24385.925199999998"/>
    <s v="No"/>
    <n v="4.4000000000000004"/>
    <n v="5"/>
    <n v="0"/>
  </r>
  <r>
    <s v="ORD-202500418"/>
    <x v="259"/>
    <d v="2025-01-17T00:00:00"/>
    <s v="CUST-1123"/>
    <s v="Small Business"/>
    <s v="Philippines"/>
    <x v="3"/>
    <s v="Quezon City"/>
    <x v="0"/>
    <s v="Headphones"/>
    <s v="Headphones"/>
    <s v="Mobile App"/>
    <s v="Bank Transfer"/>
    <n v="1"/>
    <n v="3345.66"/>
    <n v="0"/>
    <n v="510.71"/>
    <n v="3345.66"/>
    <n v="91.508800000000008"/>
    <s v="No"/>
    <n v="4"/>
    <n v="7"/>
    <n v="0"/>
  </r>
  <r>
    <s v="ORD-202500419"/>
    <x v="260"/>
    <d v="2025-03-10T00:00:00"/>
    <s v="CUST-1052"/>
    <s v="Corporate"/>
    <s v="Philippines"/>
    <x v="0"/>
    <s v="Davao City"/>
    <x v="1"/>
    <s v="Printer Paper"/>
    <s v="Printer Paper"/>
    <s v="Website"/>
    <s v="E-Wallet"/>
    <n v="6"/>
    <n v="413.43"/>
    <n v="0"/>
    <n v="402.57"/>
    <n v="2480.58"/>
    <n v="391.21560000000005"/>
    <s v="No"/>
    <n v="4.4000000000000004"/>
    <n v="5"/>
    <n v="0"/>
  </r>
  <r>
    <s v="ORD-202500420"/>
    <x v="261"/>
    <d v="2025-02-27T00:00:00"/>
    <s v="CUST-1148"/>
    <s v="Small Business"/>
    <s v="Philippines"/>
    <x v="0"/>
    <s v="Davao City"/>
    <x v="2"/>
    <s v="Coffee Maker"/>
    <s v="Coffee Maker"/>
    <s v="Social Commerce"/>
    <s v="Cash on Delivery"/>
    <n v="1"/>
    <n v="5268.5"/>
    <n v="0.2"/>
    <n v="683.7"/>
    <n v="4214.8"/>
    <n v="412.14800000000014"/>
    <s v="No"/>
    <n v="4.8"/>
    <n v="7"/>
    <n v="0"/>
  </r>
  <r>
    <s v="ORD-202500421"/>
    <x v="251"/>
    <d v="2025-09-04T00:00:00"/>
    <s v="CUST-1178"/>
    <s v="Corporate"/>
    <s v="Philippines"/>
    <x v="1"/>
    <s v="Makati"/>
    <x v="0"/>
    <s v="Keyboard"/>
    <s v="Keyboard"/>
    <s v="Social Commerce"/>
    <s v="Bank Transfer"/>
    <n v="1"/>
    <n v="1706.88"/>
    <n v="0"/>
    <n v="666.83"/>
    <n v="1706.88"/>
    <n v="-359.59160000000003"/>
    <s v="No"/>
    <n v="4.5"/>
    <n v="3"/>
    <n v="0"/>
  </r>
  <r>
    <s v="ORD-202500422"/>
    <x v="171"/>
    <d v="2025-07-10T00:00:00"/>
    <s v="CUST-1073"/>
    <s v="Corporate"/>
    <s v="Philippines"/>
    <x v="3"/>
    <s v="Manila"/>
    <x v="3"/>
    <s v="Office Chair"/>
    <s v="Office Chair"/>
    <s v="Mobile App"/>
    <s v="Bank Transfer"/>
    <n v="3"/>
    <n v="8275.6200000000008"/>
    <n v="0.25"/>
    <n v="705.46"/>
    <n v="18620.145"/>
    <n v="3763.3747999999996"/>
    <s v="No"/>
    <n v="4.4000000000000004"/>
    <n v="6"/>
    <n v="0"/>
  </r>
  <r>
    <s v="ORD-202500423"/>
    <x v="178"/>
    <d v="2025-06-05T00:00:00"/>
    <s v="CUST-1109"/>
    <s v="Consumer"/>
    <s v="Philippines"/>
    <x v="3"/>
    <s v="Laoag"/>
    <x v="2"/>
    <s v="Desk Lamp"/>
    <s v="Desk Lamp"/>
    <s v="Website"/>
    <s v="Bank Transfer"/>
    <n v="3"/>
    <n v="1298.58"/>
    <n v="0.05"/>
    <n v="524.04999999999995"/>
    <n v="3700.9529999999995"/>
    <n v="438.19777999999997"/>
    <s v="No"/>
    <n v="3.7"/>
    <n v="7"/>
    <n v="0"/>
  </r>
  <r>
    <s v="ORD-202500424"/>
    <x v="130"/>
    <d v="2025-02-28T00:00:00"/>
    <s v="CUST-1043"/>
    <s v="Consumer"/>
    <s v="Philippines"/>
    <x v="0"/>
    <s v="Iloilo City"/>
    <x v="0"/>
    <s v="Wireless Mouse"/>
    <s v="Wireless Mouse"/>
    <s v="Website"/>
    <s v="Bank Transfer"/>
    <n v="4"/>
    <n v="1156.27"/>
    <n v="0.1"/>
    <n v="481.07"/>
    <n v="4162.5720000000001"/>
    <n v="268.19296000000003"/>
    <s v="No"/>
    <n v="4.7"/>
    <n v="6"/>
    <n v="0"/>
  </r>
  <r>
    <s v="ORD-202500425"/>
    <x v="262"/>
    <d v="2025-11-30T00:00:00"/>
    <s v="CUST-1091"/>
    <s v="Corporate"/>
    <s v="Philippines"/>
    <x v="1"/>
    <s v="Las Pinas"/>
    <x v="3"/>
    <s v="Standing Desk"/>
    <s v="Standing Desk"/>
    <s v="Marketplace"/>
    <s v="Credit Card"/>
    <n v="1"/>
    <n v="18482.439999999999"/>
    <n v="0"/>
    <n v="894.41"/>
    <n v="18482.439999999999"/>
    <n v="-155.11240000000043"/>
    <s v="Yes"/>
    <n v="3.5"/>
    <n v="4"/>
    <n v="1"/>
  </r>
  <r>
    <s v="ORD-202500426"/>
    <x v="248"/>
    <d v="2025-09-19T00:00:00"/>
    <s v="CUST-1006"/>
    <s v="Home Office"/>
    <s v="Philippines"/>
    <x v="1"/>
    <s v="Pasay"/>
    <x v="0"/>
    <s v="Headphones"/>
    <s v="Headphones"/>
    <s v="Marketplace"/>
    <s v="Credit Card"/>
    <n v="3"/>
    <n v="3625.95"/>
    <n v="0.05"/>
    <n v="508.8"/>
    <n v="10333.957499999999"/>
    <n v="1351.3123499999997"/>
    <s v="No"/>
    <n v="3.4"/>
    <n v="6"/>
    <n v="0"/>
  </r>
  <r>
    <s v="ORD-202500427"/>
    <x v="121"/>
    <d v="2025-09-16T00:00:00"/>
    <s v="CUST-1129"/>
    <s v="Consumer"/>
    <s v="Philippines"/>
    <x v="2"/>
    <s v="Antipolo"/>
    <x v="2"/>
    <s v="Air Purifier"/>
    <s v="Air Purifier"/>
    <s v="Social Commerce"/>
    <s v="Credit Card"/>
    <n v="2"/>
    <n v="9256.49"/>
    <n v="0"/>
    <n v="619.70000000000005"/>
    <n v="18512.98"/>
    <n v="491.07880000000068"/>
    <s v="Yes"/>
    <n v="2.7"/>
    <n v="4"/>
    <n v="1"/>
  </r>
  <r>
    <s v="ORD-202500428"/>
    <x v="27"/>
    <d v="2025-06-11T00:00:00"/>
    <s v="CUST-1042"/>
    <s v="Corporate"/>
    <s v="Philippines"/>
    <x v="0"/>
    <s v="Iloilo City"/>
    <x v="1"/>
    <s v="Stapler"/>
    <s v="Stapler"/>
    <s v="Marketplace"/>
    <s v="Cash on Delivery"/>
    <n v="3"/>
    <n v="280.29000000000002"/>
    <n v="0.1"/>
    <n v="418.77"/>
    <n v="756.78300000000013"/>
    <n v="-176.59943999999993"/>
    <s v="No"/>
    <n v="3.9"/>
    <n v="6"/>
    <n v="0"/>
  </r>
  <r>
    <s v="ORD-202500429"/>
    <x v="75"/>
    <d v="2025-03-27T00:00:00"/>
    <s v="CUST-1014"/>
    <s v="Consumer"/>
    <s v="Philippines"/>
    <x v="1"/>
    <s v="Las Pinas"/>
    <x v="1"/>
    <s v="Pen Set"/>
    <s v="Pen Set"/>
    <s v="Marketplace"/>
    <s v="E-Wallet"/>
    <n v="2"/>
    <n v="159.91999999999999"/>
    <n v="0"/>
    <n v="561.85"/>
    <n v="319.83999999999997"/>
    <n v="-459.50120000000004"/>
    <s v="No"/>
    <n v="4.3"/>
    <n v="5"/>
    <n v="0"/>
  </r>
  <r>
    <s v="ORD-202500430"/>
    <x v="219"/>
    <d v="2025-11-20T00:00:00"/>
    <s v="CUST-1097"/>
    <s v="Consumer"/>
    <s v="Philippines"/>
    <x v="2"/>
    <s v="Pasig"/>
    <x v="3"/>
    <s v="Office Chair"/>
    <s v="Office Chair"/>
    <s v="Marketplace"/>
    <s v="Debit Card"/>
    <n v="1"/>
    <n v="8275.85"/>
    <n v="0"/>
    <n v="596.29"/>
    <n v="8275.85"/>
    <n v="1389.914"/>
    <s v="No"/>
    <n v="4.2"/>
    <n v="3"/>
    <n v="0"/>
  </r>
  <r>
    <s v="ORD-202500431"/>
    <x v="63"/>
    <d v="2025-03-03T00:00:00"/>
    <s v="CUST-1043"/>
    <s v="Consumer"/>
    <s v="Philippines"/>
    <x v="2"/>
    <s v="Antipolo"/>
    <x v="3"/>
    <s v="Filing Cabinet"/>
    <s v="Filing Cabinet"/>
    <s v="Mobile App"/>
    <s v="Bank Transfer"/>
    <n v="1"/>
    <n v="7839.27"/>
    <n v="0.05"/>
    <n v="759.47"/>
    <n v="7447.3064999999997"/>
    <n v="1027.8835599999998"/>
    <s v="No"/>
    <n v="3.9"/>
    <n v="3"/>
    <n v="0"/>
  </r>
  <r>
    <s v="ORD-202500432"/>
    <x v="177"/>
    <d v="2025-09-09T00:00:00"/>
    <s v="CUST-1176"/>
    <s v="Corporate"/>
    <s v="Philippines"/>
    <x v="2"/>
    <s v="Taguig"/>
    <x v="3"/>
    <s v="Bookshelf"/>
    <s v="Bookshelf"/>
    <s v="Website"/>
    <s v="E-Wallet"/>
    <n v="2"/>
    <n v="6570.18"/>
    <n v="0.05"/>
    <n v="760.09"/>
    <n v="12483.342000000001"/>
    <n v="2235.9120800000001"/>
    <s v="No"/>
    <n v="4.7"/>
    <n v="1"/>
    <n v="0"/>
  </r>
  <r>
    <s v="ORD-202500433"/>
    <x v="249"/>
    <d v="2025-10-04T00:00:00"/>
    <s v="CUST-1073"/>
    <s v="Consumer"/>
    <s v="Philippines"/>
    <x v="2"/>
    <s v="Taguig"/>
    <x v="1"/>
    <s v="Desk Organizer"/>
    <s v="Desk Organizer"/>
    <s v="Marketplace"/>
    <s v="Credit Card"/>
    <n v="3"/>
    <n v="737.42"/>
    <n v="0.05"/>
    <n v="269"/>
    <n v="2101.6469999999995"/>
    <n v="403.52703999999983"/>
    <s v="No"/>
    <n v="3.9"/>
    <n v="2"/>
    <n v="0"/>
  </r>
  <r>
    <s v="ORD-202500434"/>
    <x v="38"/>
    <d v="2025-07-04T00:00:00"/>
    <s v="CUST-1019"/>
    <s v="Corporate"/>
    <s v="Philippines"/>
    <x v="2"/>
    <s v="Pasig"/>
    <x v="3"/>
    <s v="Bookshelf"/>
    <s v="Bookshelf"/>
    <s v="Website"/>
    <s v="Bank Transfer"/>
    <n v="1"/>
    <n v="6724.97"/>
    <n v="0.1"/>
    <n v="492.99"/>
    <n v="6052.473"/>
    <n v="959.60351999999989"/>
    <s v="No"/>
    <n v="4.2"/>
    <n v="7"/>
    <n v="0"/>
  </r>
  <r>
    <s v="ORD-202500435"/>
    <x v="81"/>
    <d v="2025-11-24T00:00:00"/>
    <s v="CUST-1132"/>
    <s v="Small Business"/>
    <s v="Philippines"/>
    <x v="1"/>
    <s v="Paranaque"/>
    <x v="1"/>
    <s v="Stapler"/>
    <s v="Stapler"/>
    <s v="Website"/>
    <s v="Cash on Delivery"/>
    <n v="4"/>
    <n v="295.32"/>
    <n v="0.2"/>
    <n v="630.46"/>
    <n v="945.024"/>
    <n v="-328.05232000000001"/>
    <s v="No"/>
    <n v="4.5"/>
    <n v="6"/>
    <n v="0"/>
  </r>
  <r>
    <s v="ORD-202500436"/>
    <x v="263"/>
    <d v="2025-08-27T00:00:00"/>
    <s v="CUST-1061"/>
    <s v="Consumer"/>
    <s v="Philippines"/>
    <x v="2"/>
    <s v="Taguig"/>
    <x v="3"/>
    <s v="Office Chair"/>
    <s v="Office Chair"/>
    <s v="Marketplace"/>
    <s v="Bank Transfer"/>
    <n v="1"/>
    <n v="8211.9599999999991"/>
    <n v="0"/>
    <n v="594.69000000000005"/>
    <n v="8211.9599999999991"/>
    <n v="1376.1803999999997"/>
    <s v="No"/>
    <n v="4.5"/>
    <n v="2"/>
    <n v="0"/>
  </r>
  <r>
    <s v="ORD-202500437"/>
    <x v="9"/>
    <d v="2025-05-04T00:00:00"/>
    <s v="CUST-1038"/>
    <s v="Consumer"/>
    <s v="Philippines"/>
    <x v="0"/>
    <s v="Iloilo City"/>
    <x v="3"/>
    <s v="Filing Cabinet"/>
    <s v="Filing Cabinet"/>
    <s v="Mobile App"/>
    <s v="Credit Card"/>
    <n v="1"/>
    <n v="6925.06"/>
    <n v="0"/>
    <n v="633.99"/>
    <n v="6925.06"/>
    <n v="1028.0244"/>
    <s v="No"/>
    <n v="3.7"/>
    <n v="1"/>
    <n v="0"/>
  </r>
  <r>
    <s v="ORD-202500438"/>
    <x v="217"/>
    <d v="2025-01-28T00:00:00"/>
    <s v="CUST-1124"/>
    <s v="Small Business"/>
    <s v="Philippines"/>
    <x v="3"/>
    <s v="Manila"/>
    <x v="0"/>
    <s v="Keyboard"/>
    <s v="Keyboard"/>
    <s v="Retail Store"/>
    <s v="Bank Transfer"/>
    <n v="5"/>
    <n v="1946.7"/>
    <n v="0.15"/>
    <n v="452.23"/>
    <n v="8273.4750000000004"/>
    <n v="1036.9955"/>
    <s v="No"/>
    <n v="4"/>
    <n v="6"/>
    <n v="0"/>
  </r>
  <r>
    <s v="ORD-202500439"/>
    <x v="156"/>
    <d v="2025-03-15T00:00:00"/>
    <s v="CUST-1028"/>
    <s v="Corporate"/>
    <s v="Philippines"/>
    <x v="3"/>
    <s v="Baguio"/>
    <x v="3"/>
    <s v="Office Chair"/>
    <s v="Office Chair"/>
    <s v="Website"/>
    <s v="Credit Card"/>
    <n v="4"/>
    <n v="8279.2000000000007"/>
    <n v="0.15"/>
    <n v="996.98"/>
    <n v="28149.280000000002"/>
    <n v="5758.8472000000002"/>
    <s v="No"/>
    <n v="4.3"/>
    <n v="2"/>
    <n v="0"/>
  </r>
  <r>
    <s v="ORD-202500440"/>
    <x v="264"/>
    <d v="2025-04-24T00:00:00"/>
    <s v="CUST-1027"/>
    <s v="Consumer"/>
    <s v="Philippines"/>
    <x v="2"/>
    <s v="Taguig"/>
    <x v="3"/>
    <s v="Office Chair"/>
    <s v="Office Chair"/>
    <s v="Mobile App"/>
    <s v="E-Wallet"/>
    <n v="3"/>
    <n v="7768.05"/>
    <n v="0.05"/>
    <n v="700.23"/>
    <n v="22138.942500000001"/>
    <n v="4613.1162000000004"/>
    <s v="No"/>
    <n v="3.3"/>
    <n v="2"/>
    <n v="0"/>
  </r>
  <r>
    <s v="ORD-202500441"/>
    <x v="24"/>
    <d v="2025-05-30T00:00:00"/>
    <s v="CUST-1037"/>
    <s v="Consumer"/>
    <s v="Philippines"/>
    <x v="2"/>
    <s v="Pasig"/>
    <x v="0"/>
    <s v="Headphones"/>
    <s v="Headphones"/>
    <s v="Website"/>
    <s v="Credit Card"/>
    <n v="3"/>
    <n v="3908.24"/>
    <n v="0"/>
    <n v="570.92999999999995"/>
    <n v="11724.72"/>
    <n v="1539.5196000000001"/>
    <s v="No"/>
    <n v="4.7"/>
    <n v="7"/>
    <n v="0"/>
  </r>
  <r>
    <s v="ORD-202500442"/>
    <x v="265"/>
    <d v="2025-12-18T00:00:00"/>
    <s v="CUST-1136"/>
    <s v="Small Business"/>
    <s v="Philippines"/>
    <x v="1"/>
    <s v="Las Pinas"/>
    <x v="0"/>
    <s v="Wireless Mouse"/>
    <s v="Wireless Mouse"/>
    <s v="Social Commerce"/>
    <s v="E-Wallet"/>
    <n v="2"/>
    <n v="1393.08"/>
    <n v="0.1"/>
    <n v="291.32"/>
    <n v="2507.5439999999999"/>
    <n v="160.03791999999999"/>
    <s v="No"/>
    <n v="4.2"/>
    <n v="1"/>
    <n v="0"/>
  </r>
  <r>
    <s v="ORD-202500443"/>
    <x v="266"/>
    <d v="2025-03-28T00:00:00"/>
    <s v="CUST-1161"/>
    <s v="Consumer"/>
    <s v="Philippines"/>
    <x v="1"/>
    <s v="Makati"/>
    <x v="0"/>
    <s v="Laptop"/>
    <s v="Laptop"/>
    <s v="Retail Store"/>
    <s v="Bank Transfer"/>
    <n v="2"/>
    <n v="52202.2"/>
    <n v="0.15"/>
    <n v="2054.98"/>
    <n v="88743.739999999991"/>
    <n v="13918.893199999999"/>
    <s v="No"/>
    <n v="4.7"/>
    <n v="4"/>
    <n v="0"/>
  </r>
  <r>
    <s v="ORD-202500444"/>
    <x v="222"/>
    <d v="2025-12-27T00:00:00"/>
    <s v="CUST-1129"/>
    <s v="Consumer"/>
    <s v="Philippines"/>
    <x v="1"/>
    <s v="Pasay"/>
    <x v="3"/>
    <s v="Office Chair"/>
    <s v="Office Chair"/>
    <s v="Marketplace"/>
    <s v="Debit Card"/>
    <n v="3"/>
    <n v="9497.1"/>
    <n v="0"/>
    <n v="735.75"/>
    <n v="28491.300000000003"/>
    <n v="6102.1620000000003"/>
    <s v="No"/>
    <n v="3.6"/>
    <n v="3"/>
    <n v="0"/>
  </r>
  <r>
    <s v="ORD-202500445"/>
    <x v="17"/>
    <d v="2025-06-15T00:00:00"/>
    <s v="CUST-1021"/>
    <s v="Consumer"/>
    <s v="Philippines"/>
    <x v="0"/>
    <s v="Davao City"/>
    <x v="2"/>
    <s v="Storage Bin"/>
    <s v="Storage Bin"/>
    <s v="Retail Store"/>
    <s v="E-Wallet"/>
    <n v="2"/>
    <n v="628.13"/>
    <n v="0"/>
    <n v="197.73"/>
    <n v="1256.26"/>
    <n v="128.89760000000004"/>
    <s v="No"/>
    <n v="4.2"/>
    <n v="5"/>
    <n v="0"/>
  </r>
  <r>
    <s v="ORD-202500446"/>
    <x v="267"/>
    <d v="2025-02-17T00:00:00"/>
    <s v="CUST-1094"/>
    <s v="Consumer"/>
    <s v="Philippines"/>
    <x v="1"/>
    <s v="Paranaque"/>
    <x v="0"/>
    <s v="Laptop"/>
    <s v="Laptop"/>
    <s v="Social Commerce"/>
    <s v="Cash on Delivery"/>
    <n v="3"/>
    <n v="59906.78"/>
    <n v="0.25"/>
    <n v="2888.82"/>
    <n v="134790.255"/>
    <n v="21373.425900000002"/>
    <s v="No"/>
    <n v="4.7"/>
    <n v="4"/>
    <n v="0"/>
  </r>
  <r>
    <s v="ORD-202500447"/>
    <x v="268"/>
    <d v="2025-03-29T00:00:00"/>
    <s v="CUST-1102"/>
    <s v="Corporate"/>
    <s v="Philippines"/>
    <x v="2"/>
    <s v="Marikina"/>
    <x v="0"/>
    <s v="Keyboard"/>
    <s v="Keyboard"/>
    <s v="Website"/>
    <s v="Cash on Delivery"/>
    <n v="1"/>
    <n v="1972.04"/>
    <n v="0"/>
    <n v="633.97"/>
    <n v="1972.04"/>
    <n v="-279.00280000000004"/>
    <s v="No"/>
    <n v="4.2"/>
    <n v="1"/>
    <n v="0"/>
  </r>
  <r>
    <s v="ORD-202500448"/>
    <x v="269"/>
    <d v="2025-04-17T00:00:00"/>
    <s v="CUST-1208"/>
    <s v="Small Business"/>
    <s v="Philippines"/>
    <x v="2"/>
    <s v="Taguig"/>
    <x v="3"/>
    <s v="Filing Cabinet"/>
    <s v="Filing Cabinet"/>
    <s v="Retail Store"/>
    <s v="Cash on Delivery"/>
    <n v="1"/>
    <n v="8116.03"/>
    <n v="0.1"/>
    <n v="309.68"/>
    <n v="7304.4269999999997"/>
    <n v="1443.3824799999998"/>
    <s v="No"/>
    <n v="4.0999999999999996"/>
    <n v="2"/>
    <n v="0"/>
  </r>
  <r>
    <s v="ORD-202500449"/>
    <x v="89"/>
    <d v="2025-03-17T00:00:00"/>
    <s v="CUST-1074"/>
    <s v="Home Office"/>
    <s v="Philippines"/>
    <x v="0"/>
    <s v="Cagayan de Oro"/>
    <x v="2"/>
    <s v="Desk Lamp"/>
    <s v="Desk Lamp"/>
    <s v="Mobile App"/>
    <s v="Bank Transfer"/>
    <n v="1"/>
    <n v="1326.86"/>
    <n v="0.15"/>
    <n v="655.30999999999995"/>
    <n v="1127.8309999999999"/>
    <n v="-362.07393999999994"/>
    <s v="No"/>
    <n v="4.5"/>
    <n v="1"/>
    <n v="0"/>
  </r>
  <r>
    <s v="ORD-202500450"/>
    <x v="270"/>
    <d v="2025-08-11T00:00:00"/>
    <s v="CUST-1152"/>
    <s v="Consumer"/>
    <s v="Philippines"/>
    <x v="3"/>
    <s v="Manila"/>
    <x v="0"/>
    <s v="Monitor"/>
    <s v="Monitor"/>
    <s v="Mobile App"/>
    <s v="E-Wallet"/>
    <n v="8"/>
    <n v="12779.76"/>
    <n v="0.25"/>
    <n v="1954.56"/>
    <n v="76678.559999999998"/>
    <n v="11847.5808"/>
    <s v="No"/>
    <n v="4.7"/>
    <n v="6"/>
    <n v="0"/>
  </r>
  <r>
    <s v="ORD-202500451"/>
    <x v="181"/>
    <d v="2025-01-25T00:00:00"/>
    <s v="CUST-1064"/>
    <s v="Corporate"/>
    <s v="Philippines"/>
    <x v="1"/>
    <s v="Pasay"/>
    <x v="2"/>
    <s v="Desk Lamp"/>
    <s v="Desk Lamp"/>
    <s v="Website"/>
    <s v="Cash on Delivery"/>
    <n v="1"/>
    <n v="1213.96"/>
    <n v="0"/>
    <n v="379.13"/>
    <n v="1213.96"/>
    <n v="-63.500399999999956"/>
    <s v="No"/>
    <n v="4.2"/>
    <n v="1"/>
    <n v="0"/>
  </r>
  <r>
    <s v="ORD-202500452"/>
    <x v="271"/>
    <d v="2026-01-04T00:00:00"/>
    <s v="CUST-1110"/>
    <s v="Consumer"/>
    <s v="Philippines"/>
    <x v="3"/>
    <s v="Baguio"/>
    <x v="0"/>
    <s v="Monitor"/>
    <s v="Monitor"/>
    <s v="Mobile App"/>
    <s v="E-Wallet"/>
    <n v="4"/>
    <n v="12736.58"/>
    <n v="0"/>
    <n v="1344.05"/>
    <n v="50946.32"/>
    <n v="7826.2875999999987"/>
    <s v="No"/>
    <n v="4.4000000000000004"/>
    <n v="5"/>
    <n v="0"/>
  </r>
  <r>
    <s v="ORD-202500453"/>
    <x v="57"/>
    <d v="2025-05-21T00:00:00"/>
    <s v="CUST-1080"/>
    <s v="Consumer"/>
    <s v="Philippines"/>
    <x v="0"/>
    <s v="Iloilo City"/>
    <x v="1"/>
    <s v="Stapler"/>
    <s v="Stapler"/>
    <s v="Marketplace"/>
    <s v="Debit Card"/>
    <n v="3"/>
    <n v="300.77999999999997"/>
    <n v="0.1"/>
    <n v="344.33"/>
    <n v="812.10599999999999"/>
    <n v="-84.456079999999986"/>
    <s v="No"/>
    <n v="4.5999999999999996"/>
    <n v="5"/>
    <n v="0"/>
  </r>
  <r>
    <s v="ORD-202500454"/>
    <x v="272"/>
    <d v="2025-09-01T00:00:00"/>
    <s v="CUST-1041"/>
    <s v="Small Business"/>
    <s v="Philippines"/>
    <x v="1"/>
    <s v="Makati"/>
    <x v="2"/>
    <s v="Storage Bin"/>
    <s v="Storage Bin"/>
    <s v="Website"/>
    <s v="E-Wallet"/>
    <n v="7"/>
    <n v="576.54"/>
    <n v="0.05"/>
    <n v="204.66"/>
    <n v="3833.9909999999995"/>
    <n v="792.17765999999995"/>
    <s v="No"/>
    <n v="4.4000000000000004"/>
    <n v="3"/>
    <n v="0"/>
  </r>
  <r>
    <s v="ORD-202500455"/>
    <x v="200"/>
    <d v="2025-03-18T00:00:00"/>
    <s v="CUST-1089"/>
    <s v="Consumer"/>
    <s v="Philippines"/>
    <x v="2"/>
    <s v="Marikina"/>
    <x v="2"/>
    <s v="Desk Lamp"/>
    <s v="Desk Lamp"/>
    <s v="Mobile App"/>
    <s v="Cash on Delivery"/>
    <n v="1"/>
    <n v="1533.22"/>
    <n v="0"/>
    <n v="540.1"/>
    <n v="1533.22"/>
    <n v="-141.46280000000002"/>
    <s v="No"/>
    <n v="4.5999999999999996"/>
    <n v="1"/>
    <n v="0"/>
  </r>
  <r>
    <s v="ORD-202500456"/>
    <x v="248"/>
    <d v="2025-09-19T00:00:00"/>
    <s v="CUST-1024"/>
    <s v="Home Office"/>
    <s v="Philippines"/>
    <x v="3"/>
    <s v="Baguio"/>
    <x v="1"/>
    <s v="Printer Paper"/>
    <s v="Printer Paper"/>
    <s v="Mobile App"/>
    <s v="Cash on Delivery"/>
    <n v="6"/>
    <n v="382.96"/>
    <n v="0"/>
    <n v="130.91999999999999"/>
    <n v="2297.7599999999998"/>
    <n v="604.36320000000001"/>
    <s v="No"/>
    <n v="4.0999999999999996"/>
    <n v="6"/>
    <n v="0"/>
  </r>
  <r>
    <s v="ORD-202500457"/>
    <x v="11"/>
    <d v="2026-01-04T00:00:00"/>
    <s v="CUST-1122"/>
    <s v="Corporate"/>
    <s v="Philippines"/>
    <x v="2"/>
    <s v="Antipolo"/>
    <x v="3"/>
    <s v="Office Chair"/>
    <s v="Office Chair"/>
    <s v="Marketplace"/>
    <s v="Bank Transfer"/>
    <n v="2"/>
    <n v="9345.44"/>
    <n v="0.1"/>
    <n v="906.08"/>
    <n v="16821.792000000001"/>
    <n v="3131.1500800000003"/>
    <s v="No"/>
    <n v="4.3"/>
    <n v="6"/>
    <n v="0"/>
  </r>
  <r>
    <s v="ORD-202500458"/>
    <x v="262"/>
    <d v="2025-11-29T00:00:00"/>
    <s v="CUST-1082"/>
    <s v="Small Business"/>
    <s v="Philippines"/>
    <x v="3"/>
    <s v="Laoag"/>
    <x v="0"/>
    <s v="Keyboard"/>
    <s v="Keyboard"/>
    <s v="Website"/>
    <s v="Bank Transfer"/>
    <n v="1"/>
    <n v="2044.27"/>
    <n v="0"/>
    <n v="554.97"/>
    <n v="2044.27"/>
    <n v="-187.00140000000005"/>
    <s v="No"/>
    <n v="4.5"/>
    <n v="3"/>
    <n v="0"/>
  </r>
  <r>
    <s v="ORD-202500459"/>
    <x v="162"/>
    <d v="2025-12-03T00:00:00"/>
    <s v="CUST-1030"/>
    <s v="Consumer"/>
    <s v="Philippines"/>
    <x v="1"/>
    <s v="Pasay"/>
    <x v="2"/>
    <s v="Coffee Maker"/>
    <s v="Coffee Maker"/>
    <s v="Mobile App"/>
    <s v="Credit Card"/>
    <n v="4"/>
    <n v="4962.22"/>
    <n v="0.05"/>
    <n v="882.42"/>
    <n v="18856.436000000002"/>
    <n v="4020.2533600000006"/>
    <s v="No"/>
    <n v="3.9"/>
    <n v="2"/>
    <n v="0"/>
  </r>
  <r>
    <s v="ORD-202500460"/>
    <x v="270"/>
    <d v="2025-08-12T00:00:00"/>
    <s v="CUST-1094"/>
    <s v="Corporate"/>
    <s v="Philippines"/>
    <x v="1"/>
    <s v="Las Pinas"/>
    <x v="0"/>
    <s v="Headphones"/>
    <s v="Headphones"/>
    <s v="Website"/>
    <s v="Bank Transfer"/>
    <n v="3"/>
    <n v="3759.99"/>
    <n v="0.1"/>
    <n v="779.68"/>
    <n v="10151.973"/>
    <n v="1047.6751399999998"/>
    <s v="No"/>
    <n v="4.0999999999999996"/>
    <n v="7"/>
    <n v="0"/>
  </r>
  <r>
    <s v="ORD-202500461"/>
    <x v="137"/>
    <d v="2025-12-03T00:00:00"/>
    <s v="CUST-1021"/>
    <s v="Consumer"/>
    <s v="Philippines"/>
    <x v="1"/>
    <s v="Makati"/>
    <x v="2"/>
    <s v="Storage Bin"/>
    <s v="Storage Bin"/>
    <s v="Website"/>
    <s v="Debit Card"/>
    <n v="3"/>
    <n v="533.57000000000005"/>
    <n v="0"/>
    <n v="347.82"/>
    <n v="1600.71"/>
    <n v="68.364600000000053"/>
    <s v="No"/>
    <n v="3.4"/>
    <n v="5"/>
    <n v="0"/>
  </r>
  <r>
    <s v="ORD-202500462"/>
    <x v="273"/>
    <d v="2025-09-21T00:00:00"/>
    <s v="CUST-1130"/>
    <s v="Consumer"/>
    <s v="Philippines"/>
    <x v="3"/>
    <s v="Laoag"/>
    <x v="1"/>
    <s v="Desk Organizer"/>
    <s v="Desk Organizer"/>
    <s v="Retail Store"/>
    <s v="E-Wallet"/>
    <n v="1"/>
    <n v="633.16999999999996"/>
    <n v="0.05"/>
    <n v="154.44"/>
    <n v="601.51149999999996"/>
    <n v="38.043679999999995"/>
    <s v="No"/>
    <n v="4"/>
    <n v="1"/>
    <n v="0"/>
  </r>
  <r>
    <s v="ORD-202500463"/>
    <x v="8"/>
    <d v="2025-04-09T00:00:00"/>
    <s v="CUST-1046"/>
    <s v="Small Business"/>
    <s v="Philippines"/>
    <x v="3"/>
    <s v="Manila"/>
    <x v="3"/>
    <s v="Bookshelf"/>
    <s v="Bookshelf"/>
    <s v="Website"/>
    <s v="Bank Transfer"/>
    <n v="4"/>
    <n v="6597.4"/>
    <n v="0.15"/>
    <n v="670.4"/>
    <n v="22431.16"/>
    <n v="4713.0784000000003"/>
    <s v="No"/>
    <n v="4.4000000000000004"/>
    <n v="7"/>
    <n v="0"/>
  </r>
  <r>
    <s v="ORD-202500464"/>
    <x v="96"/>
    <d v="2025-02-16T00:00:00"/>
    <s v="CUST-1154"/>
    <s v="Consumer"/>
    <s v="Philippines"/>
    <x v="3"/>
    <s v="Laoag"/>
    <x v="3"/>
    <s v="Office Chair"/>
    <s v="Office Chair"/>
    <s v="Mobile App"/>
    <s v="Credit Card"/>
    <n v="1"/>
    <n v="8696.66"/>
    <n v="0.1"/>
    <n v="705.65"/>
    <n v="7826.9939999999997"/>
    <n v="1172.8285599999999"/>
    <s v="No"/>
    <n v="4"/>
    <n v="6"/>
    <n v="0"/>
  </r>
  <r>
    <s v="ORD-202500465"/>
    <x v="274"/>
    <d v="2025-11-11T00:00:00"/>
    <s v="CUST-1124"/>
    <s v="Consumer"/>
    <s v="Philippines"/>
    <x v="2"/>
    <s v="Taguig"/>
    <x v="1"/>
    <s v="Printer Paper"/>
    <s v="Printer Paper"/>
    <s v="Website"/>
    <s v="Credit Card"/>
    <n v="1"/>
    <n v="472.41"/>
    <n v="0.1"/>
    <n v="194.37"/>
    <n v="425.16900000000004"/>
    <n v="-143.34971999999999"/>
    <s v="Yes"/>
    <n v="3.2"/>
    <n v="6"/>
    <n v="1"/>
  </r>
  <r>
    <s v="ORD-202500466"/>
    <x v="275"/>
    <d v="2025-05-08T00:00:00"/>
    <s v="CUST-1160"/>
    <s v="Small Business"/>
    <s v="Philippines"/>
    <x v="0"/>
    <s v="Cebu City"/>
    <x v="0"/>
    <s v="Wireless Mouse"/>
    <s v="Wireless Mouse"/>
    <s v="Website"/>
    <s v="Bank Transfer"/>
    <n v="1"/>
    <n v="1115.8"/>
    <n v="0"/>
    <n v="497.22"/>
    <n v="1115.8"/>
    <n v="-296.37600000000003"/>
    <s v="No"/>
    <n v="4.4000000000000004"/>
    <n v="4"/>
    <n v="0"/>
  </r>
  <r>
    <s v="ORD-202500467"/>
    <x v="235"/>
    <d v="2025-08-31T00:00:00"/>
    <s v="CUST-1115"/>
    <s v="Corporate"/>
    <s v="Philippines"/>
    <x v="0"/>
    <s v="Iloilo City"/>
    <x v="1"/>
    <s v="Stapler"/>
    <s v="Stapler"/>
    <s v="Website"/>
    <s v="Credit Card"/>
    <n v="1"/>
    <n v="294.92"/>
    <n v="0"/>
    <n v="321.36"/>
    <n v="294.92"/>
    <n v="-226.98560000000001"/>
    <s v="No"/>
    <n v="3.7"/>
    <n v="1"/>
    <n v="0"/>
  </r>
  <r>
    <s v="ORD-202500468"/>
    <x v="178"/>
    <d v="2025-05-30T00:00:00"/>
    <s v="CUST-1124"/>
    <s v="Consumer"/>
    <s v="Philippines"/>
    <x v="1"/>
    <s v="Paranaque"/>
    <x v="1"/>
    <s v="Desk Organizer"/>
    <s v="Desk Organizer"/>
    <s v="Website"/>
    <s v="Cash on Delivery"/>
    <n v="2"/>
    <n v="629.34"/>
    <n v="0.2"/>
    <n v="336.65"/>
    <n v="1006.9440000000001"/>
    <n v="-14.427919999999972"/>
    <s v="No"/>
    <n v="4"/>
    <n v="1"/>
    <n v="0"/>
  </r>
  <r>
    <s v="ORD-202500469"/>
    <x v="276"/>
    <d v="2025-09-16T00:00:00"/>
    <s v="CUST-1165"/>
    <s v="Consumer"/>
    <s v="Philippines"/>
    <x v="1"/>
    <s v="Makati"/>
    <x v="0"/>
    <s v="Monitor"/>
    <s v="Monitor"/>
    <s v="Mobile App"/>
    <s v="Bank Transfer"/>
    <n v="1"/>
    <n v="10405.02"/>
    <n v="0.2"/>
    <n v="429.39"/>
    <n v="8324.0160000000014"/>
    <n v="1068.9328800000003"/>
    <s v="No"/>
    <n v="4.7"/>
    <n v="5"/>
    <n v="0"/>
  </r>
  <r>
    <s v="ORD-202500470"/>
    <x v="146"/>
    <d v="2025-03-12T00:00:00"/>
    <s v="CUST-1185"/>
    <s v="Small Business"/>
    <s v="Philippines"/>
    <x v="1"/>
    <s v="Pasay"/>
    <x v="1"/>
    <s v="Notebook"/>
    <s v="Notebook"/>
    <s v="Marketplace"/>
    <s v="E-Wallet"/>
    <n v="3"/>
    <n v="108.7"/>
    <n v="0.05"/>
    <n v="183.67"/>
    <n v="309.79500000000002"/>
    <n v="-84.535599999999974"/>
    <s v="No"/>
    <n v="3.8"/>
    <n v="3"/>
    <n v="0"/>
  </r>
  <r>
    <s v="ORD-202500471"/>
    <x v="277"/>
    <d v="2025-09-10T00:00:00"/>
    <s v="CUST-1203"/>
    <s v="Consumer"/>
    <s v="Philippines"/>
    <x v="1"/>
    <s v="Pasay"/>
    <x v="0"/>
    <s v="Headphones"/>
    <s v="Headphones"/>
    <s v="Website"/>
    <s v="Credit Card"/>
    <n v="2"/>
    <n v="3353.85"/>
    <n v="0.1"/>
    <n v="280.2"/>
    <n v="6036.93"/>
    <n v="806.44740000000002"/>
    <s v="No"/>
    <n v="3.5"/>
    <n v="1"/>
    <n v="0"/>
  </r>
  <r>
    <s v="ORD-202500472"/>
    <x v="244"/>
    <d v="2025-06-26T00:00:00"/>
    <s v="CUST-1029"/>
    <s v="Corporate"/>
    <s v="Philippines"/>
    <x v="3"/>
    <s v="Quezon City"/>
    <x v="3"/>
    <s v="Bookshelf"/>
    <s v="Bookshelf"/>
    <s v="Retail Store"/>
    <s v="Credit Card"/>
    <n v="4"/>
    <n v="6806.19"/>
    <n v="0.2"/>
    <n v="974.81"/>
    <n v="21779.808000000001"/>
    <n v="4252.3439199999993"/>
    <s v="No"/>
    <n v="4.3"/>
    <n v="4"/>
    <n v="0"/>
  </r>
  <r>
    <s v="ORD-202500473"/>
    <x v="241"/>
    <d v="2025-11-12T00:00:00"/>
    <s v="CUST-1026"/>
    <s v="Small Business"/>
    <s v="Philippines"/>
    <x v="1"/>
    <s v="Las Pinas"/>
    <x v="2"/>
    <s v="Air Purifier"/>
    <s v="Air Purifier"/>
    <s v="Social Commerce"/>
    <s v="Cash on Delivery"/>
    <n v="3"/>
    <n v="10806.4"/>
    <n v="0"/>
    <n v="886.9"/>
    <n v="32419.199999999997"/>
    <n v="7542.0920000000006"/>
    <s v="No"/>
    <n v="4.4000000000000004"/>
    <n v="6"/>
    <n v="0"/>
  </r>
  <r>
    <s v="ORD-202500474"/>
    <x v="191"/>
    <d v="2025-04-19T00:00:00"/>
    <s v="CUST-1040"/>
    <s v="Small Business"/>
    <s v="Philippines"/>
    <x v="1"/>
    <s v="Las Pinas"/>
    <x v="1"/>
    <s v="Printer Paper"/>
    <s v="Printer Paper"/>
    <s v="Website"/>
    <s v="E-Wallet"/>
    <n v="2"/>
    <n v="386.96"/>
    <n v="0.15"/>
    <n v="341.9"/>
    <n v="657.83199999999999"/>
    <n v="-131.39375999999999"/>
    <s v="No"/>
    <n v="4.5"/>
    <n v="3"/>
    <n v="0"/>
  </r>
  <r>
    <s v="ORD-202500475"/>
    <x v="278"/>
    <d v="2025-01-06T00:00:00"/>
    <s v="CUST-1207"/>
    <s v="Corporate"/>
    <s v="Philippines"/>
    <x v="2"/>
    <s v="Marikina"/>
    <x v="0"/>
    <s v="Keyboard"/>
    <s v="Keyboard"/>
    <s v="Marketplace"/>
    <s v="Bank Transfer"/>
    <n v="2"/>
    <n v="1943.1"/>
    <n v="0"/>
    <n v="567.79"/>
    <n v="3886.2"/>
    <n v="131.726"/>
    <s v="No"/>
    <n v="4.5"/>
    <n v="2"/>
    <n v="0"/>
  </r>
  <r>
    <s v="ORD-202500476"/>
    <x v="279"/>
    <d v="2025-08-04T00:00:00"/>
    <s v="CUST-1117"/>
    <s v="Home Office"/>
    <s v="Philippines"/>
    <x v="2"/>
    <s v="Antipolo"/>
    <x v="3"/>
    <s v="Office Chair"/>
    <s v="Office Chair"/>
    <s v="Marketplace"/>
    <s v="Cash on Delivery"/>
    <n v="6"/>
    <n v="7696.18"/>
    <n v="0"/>
    <n v="1332.36"/>
    <n v="46177.08"/>
    <n v="9750.1391999999996"/>
    <s v="No"/>
    <n v="5"/>
    <n v="4"/>
    <n v="0"/>
  </r>
  <r>
    <s v="ORD-202500477"/>
    <x v="280"/>
    <d v="2025-02-05T00:00:00"/>
    <s v="CUST-1194"/>
    <s v="Consumer"/>
    <s v="Philippines"/>
    <x v="0"/>
    <s v="Cebu City"/>
    <x v="2"/>
    <s v="Desk Lamp"/>
    <s v="Desk Lamp"/>
    <s v="Mobile App"/>
    <s v="Cash on Delivery"/>
    <n v="5"/>
    <n v="1425.4"/>
    <n v="0"/>
    <n v="383.07"/>
    <n v="7127"/>
    <n v="1469.95"/>
    <s v="No"/>
    <n v="4.9000000000000004"/>
    <n v="4"/>
    <n v="0"/>
  </r>
  <r>
    <s v="ORD-202500478"/>
    <x v="200"/>
    <d v="2025-03-23T00:00:00"/>
    <s v="CUST-1103"/>
    <s v="Consumer"/>
    <s v="Philippines"/>
    <x v="0"/>
    <s v="Cagayan de Oro"/>
    <x v="1"/>
    <s v="Stapler"/>
    <s v="Stapler"/>
    <s v="Marketplace"/>
    <s v="E-Wallet"/>
    <n v="1"/>
    <n v="270.72000000000003"/>
    <n v="0"/>
    <n v="493.82"/>
    <n v="270.72000000000003"/>
    <n v="-407.18959999999998"/>
    <s v="No"/>
    <n v="3.9"/>
    <n v="6"/>
    <n v="0"/>
  </r>
  <r>
    <s v="ORD-202500479"/>
    <x v="131"/>
    <d v="2025-09-29T00:00:00"/>
    <s v="CUST-1072"/>
    <s v="Consumer"/>
    <s v="Philippines"/>
    <x v="2"/>
    <s v="Pasig"/>
    <x v="1"/>
    <s v="Notebook"/>
    <s v="Notebook"/>
    <s v="Website"/>
    <s v="Cash on Delivery"/>
    <n v="3"/>
    <n v="114.29"/>
    <n v="0.1"/>
    <n v="499.25"/>
    <n v="308.58300000000003"/>
    <n v="-400.50343999999996"/>
    <s v="No"/>
    <n v="4.5"/>
    <n v="5"/>
    <n v="0"/>
  </r>
  <r>
    <s v="ORD-202500480"/>
    <x v="216"/>
    <d v="2025-07-13T00:00:00"/>
    <s v="CUST-1160"/>
    <s v="Corporate"/>
    <s v="Philippines"/>
    <x v="3"/>
    <s v="Manila"/>
    <x v="1"/>
    <s v="Printer Paper"/>
    <s v="Printer Paper"/>
    <s v="Mobile App"/>
    <s v="Cash on Delivery"/>
    <n v="4"/>
    <n v="426.7"/>
    <n v="0.25"/>
    <n v="564.66999999999996"/>
    <n v="1280.0999999999999"/>
    <n v="-155.03799999999995"/>
    <s v="No"/>
    <n v="4.5"/>
    <n v="3"/>
    <n v="0"/>
  </r>
  <r>
    <s v="ORD-202500481"/>
    <x v="182"/>
    <d v="2025-10-23T00:00:00"/>
    <s v="CUST-1160"/>
    <s v="Corporate"/>
    <s v="Philippines"/>
    <x v="0"/>
    <s v="Iloilo City"/>
    <x v="0"/>
    <s v="Headphones"/>
    <s v="Headphones"/>
    <s v="Marketplace"/>
    <s v="Bank Transfer"/>
    <n v="2"/>
    <n v="3340.01"/>
    <n v="0"/>
    <n v="512.15"/>
    <n v="6680.02"/>
    <n v="690.25360000000012"/>
    <s v="No"/>
    <n v="4.0999999999999996"/>
    <n v="6"/>
    <n v="0"/>
  </r>
  <r>
    <s v="ORD-202500482"/>
    <x v="127"/>
    <d v="2026-01-04T00:00:00"/>
    <s v="CUST-1105"/>
    <s v="Consumer"/>
    <s v="Philippines"/>
    <x v="3"/>
    <s v="Laoag"/>
    <x v="2"/>
    <s v="Storage Bin"/>
    <s v="Storage Bin"/>
    <s v="Website"/>
    <s v="Credit Card"/>
    <n v="2"/>
    <n v="570.83000000000004"/>
    <n v="0.05"/>
    <n v="392.92"/>
    <n v="1084.577"/>
    <n v="-110.92998"/>
    <s v="No"/>
    <n v="4.5"/>
    <n v="4"/>
    <n v="0"/>
  </r>
  <r>
    <s v="ORD-202500483"/>
    <x v="57"/>
    <d v="2025-05-21T00:00:00"/>
    <s v="CUST-1127"/>
    <s v="Corporate"/>
    <s v="Philippines"/>
    <x v="1"/>
    <s v="Las Pinas"/>
    <x v="1"/>
    <s v="Stapler"/>
    <s v="Stapler"/>
    <s v="Retail Store"/>
    <s v="Debit Card"/>
    <n v="2"/>
    <n v="266.61"/>
    <n v="0.05"/>
    <n v="639.78"/>
    <n v="506.55900000000003"/>
    <n v="-477.68111999999996"/>
    <s v="No"/>
    <n v="3.7"/>
    <n v="5"/>
    <n v="0"/>
  </r>
  <r>
    <s v="ORD-202500484"/>
    <x v="281"/>
    <d v="2025-08-26T00:00:00"/>
    <s v="CUST-1008"/>
    <s v="Small Business"/>
    <s v="Philippines"/>
    <x v="2"/>
    <s v="Antipolo"/>
    <x v="1"/>
    <s v="Stapler"/>
    <s v="Stapler"/>
    <s v="Website"/>
    <s v="E-Wallet"/>
    <n v="3"/>
    <n v="231.94"/>
    <n v="0"/>
    <n v="302.17"/>
    <n v="695.81999999999994"/>
    <n v="-79.507600000000025"/>
    <s v="No"/>
    <n v="4.2"/>
    <n v="4"/>
    <n v="0"/>
  </r>
  <r>
    <s v="ORD-202500485"/>
    <x v="27"/>
    <d v="2025-06-08T00:00:00"/>
    <s v="CUST-1124"/>
    <s v="Consumer"/>
    <s v="Philippines"/>
    <x v="0"/>
    <s v="Davao City"/>
    <x v="1"/>
    <s v="Stapler"/>
    <s v="Stapler"/>
    <s v="Website"/>
    <s v="E-Wallet"/>
    <n v="5"/>
    <n v="245.62"/>
    <n v="0.15"/>
    <n v="377.03"/>
    <n v="1043.885"/>
    <n v="-42.98679999999996"/>
    <s v="No"/>
    <n v="3.8"/>
    <n v="3"/>
    <n v="0"/>
  </r>
  <r>
    <s v="ORD-202500486"/>
    <x v="78"/>
    <d v="2025-08-06T00:00:00"/>
    <s v="CUST-1146"/>
    <s v="Consumer"/>
    <s v="Philippines"/>
    <x v="1"/>
    <s v="Pasay"/>
    <x v="1"/>
    <s v="Stapler"/>
    <s v="Stapler"/>
    <s v="Retail Store"/>
    <s v="Cash on Delivery"/>
    <n v="1"/>
    <n v="239.6"/>
    <n v="0.1"/>
    <n v="517.75"/>
    <n v="215.64"/>
    <n v="-448.74520000000001"/>
    <s v="No"/>
    <n v="5"/>
    <n v="4"/>
    <n v="0"/>
  </r>
  <r>
    <s v="ORD-202500487"/>
    <x v="239"/>
    <d v="2025-03-25T00:00:00"/>
    <s v="CUST-1186"/>
    <s v="Consumer"/>
    <s v="Philippines"/>
    <x v="1"/>
    <s v="Las Pinas"/>
    <x v="0"/>
    <s v="Wireless Mouse"/>
    <s v="Wireless Mouse"/>
    <s v="Website"/>
    <s v="Credit Card"/>
    <n v="6"/>
    <n v="1376.42"/>
    <n v="0.1"/>
    <n v="572.04999999999995"/>
    <n v="7432.6680000000006"/>
    <n v="765.83024"/>
    <s v="No"/>
    <n v="4.0999999999999996"/>
    <n v="7"/>
    <n v="0"/>
  </r>
  <r>
    <s v="ORD-202500488"/>
    <x v="11"/>
    <d v="2026-01-01T00:00:00"/>
    <s v="CUST-1143"/>
    <s v="Corporate"/>
    <s v="Philippines"/>
    <x v="3"/>
    <s v="Quezon City"/>
    <x v="2"/>
    <s v="Air Purifier"/>
    <s v="Air Purifier"/>
    <s v="Social Commerce"/>
    <s v="Cash on Delivery"/>
    <n v="1"/>
    <n v="9716.1299999999992"/>
    <n v="0.2"/>
    <n v="294.3"/>
    <n v="7772.9039999999995"/>
    <n v="1726.6550400000001"/>
    <s v="No"/>
    <n v="3.8"/>
    <n v="3"/>
    <n v="0"/>
  </r>
  <r>
    <s v="ORD-202500489"/>
    <x v="282"/>
    <d v="2025-04-04T00:00:00"/>
    <s v="CUST-1070"/>
    <s v="Small Business"/>
    <s v="Philippines"/>
    <x v="0"/>
    <s v="Cagayan de Oro"/>
    <x v="0"/>
    <s v="Headphones"/>
    <s v="Headphones"/>
    <s v="Marketplace"/>
    <s v="Bank Transfer"/>
    <n v="3"/>
    <n v="3596.05"/>
    <n v="0.2"/>
    <n v="435.6"/>
    <n v="8630.5200000000023"/>
    <n v="1117.8936000000003"/>
    <s v="No"/>
    <n v="4.9000000000000004"/>
    <n v="1"/>
    <n v="0"/>
  </r>
  <r>
    <s v="ORD-202500490"/>
    <x v="211"/>
    <d v="2025-07-18T00:00:00"/>
    <s v="CUST-1023"/>
    <s v="Consumer"/>
    <s v="Philippines"/>
    <x v="3"/>
    <s v="Quezon City"/>
    <x v="0"/>
    <s v="Monitor"/>
    <s v="Monitor"/>
    <s v="Website"/>
    <s v="Credit Card"/>
    <n v="1"/>
    <n v="12822.14"/>
    <n v="0.1"/>
    <n v="305.91000000000003"/>
    <n v="11539.925999999999"/>
    <n v="1771.2766799999997"/>
    <s v="No"/>
    <n v="4.4000000000000004"/>
    <n v="3"/>
    <n v="0"/>
  </r>
  <r>
    <s v="ORD-202500491"/>
    <x v="282"/>
    <d v="2025-04-04T00:00:00"/>
    <s v="CUST-1182"/>
    <s v="Consumer"/>
    <s v="Philippines"/>
    <x v="1"/>
    <s v="Makati"/>
    <x v="3"/>
    <s v="Filing Cabinet"/>
    <s v="Filing Cabinet"/>
    <s v="Retail Store"/>
    <s v="E-Wallet"/>
    <n v="2"/>
    <n v="8123.92"/>
    <n v="0"/>
    <n v="439.18"/>
    <n v="16247.84"/>
    <n v="3460.3016000000002"/>
    <s v="No"/>
    <n v="3.9"/>
    <n v="1"/>
    <n v="0"/>
  </r>
  <r>
    <s v="ORD-202500492"/>
    <x v="201"/>
    <d v="2025-09-20T00:00:00"/>
    <s v="CUST-1029"/>
    <s v="Consumer"/>
    <s v="Philippines"/>
    <x v="2"/>
    <s v="Taguig"/>
    <x v="1"/>
    <s v="Printer Paper"/>
    <s v="Printer Paper"/>
    <s v="Mobile App"/>
    <s v="Bank Transfer"/>
    <n v="3"/>
    <n v="484.73"/>
    <n v="0"/>
    <n v="417.64"/>
    <n v="1454.19"/>
    <n v="47.700800000000015"/>
    <s v="No"/>
    <n v="4.0999999999999996"/>
    <n v="4"/>
    <n v="0"/>
  </r>
  <r>
    <s v="ORD-202500493"/>
    <x v="167"/>
    <d v="2025-02-23T00:00:00"/>
    <s v="CUST-1195"/>
    <s v="Corporate"/>
    <s v="Philippines"/>
    <x v="0"/>
    <s v="Iloilo City"/>
    <x v="1"/>
    <s v="Stapler"/>
    <s v="Stapler"/>
    <s v="Website"/>
    <s v="Cash on Delivery"/>
    <n v="1"/>
    <n v="304.3"/>
    <n v="0"/>
    <n v="646.19000000000005"/>
    <n v="304.3"/>
    <n v="-548.81400000000008"/>
    <s v="No"/>
    <n v="3.9"/>
    <n v="2"/>
    <n v="0"/>
  </r>
  <r>
    <s v="ORD-202500494"/>
    <x v="283"/>
    <d v="2025-10-16T00:00:00"/>
    <s v="CUST-1010"/>
    <s v="Consumer"/>
    <s v="Philippines"/>
    <x v="1"/>
    <s v="Pasay"/>
    <x v="1"/>
    <s v="Notebook"/>
    <s v="Notebook"/>
    <s v="Website"/>
    <s v="Bank Transfer"/>
    <n v="1"/>
    <n v="114.63"/>
    <n v="0.1"/>
    <n v="651.29"/>
    <n v="103.167"/>
    <n v="-618.27656000000002"/>
    <s v="No"/>
    <n v="4.2"/>
    <n v="4"/>
    <n v="0"/>
  </r>
  <r>
    <s v="ORD-202500495"/>
    <x v="120"/>
    <d v="2025-04-24T00:00:00"/>
    <s v="CUST-1130"/>
    <s v="Consumer"/>
    <s v="Philippines"/>
    <x v="0"/>
    <s v="Cebu City"/>
    <x v="0"/>
    <s v="Wireless Mouse"/>
    <s v="Wireless Mouse"/>
    <s v="Marketplace"/>
    <s v="Debit Card"/>
    <n v="4"/>
    <n v="1415.58"/>
    <n v="0.15"/>
    <n v="285.12"/>
    <n v="4812.9719999999998"/>
    <n v="581.21495999999991"/>
    <s v="No"/>
    <n v="4.7"/>
    <n v="5"/>
    <n v="0"/>
  </r>
  <r>
    <s v="ORD-202500496"/>
    <x v="83"/>
    <d v="2025-07-01T00:00:00"/>
    <s v="CUST-1066"/>
    <s v="Home Office"/>
    <s v="Philippines"/>
    <x v="1"/>
    <s v="Pasay"/>
    <x v="0"/>
    <s v="Keyboard"/>
    <s v="Keyboard"/>
    <s v="Website"/>
    <s v="Bank Transfer"/>
    <n v="6"/>
    <n v="1761.37"/>
    <n v="0.2"/>
    <n v="314.75"/>
    <n v="8454.5759999999991"/>
    <n v="1207.0736799999997"/>
    <s v="No"/>
    <n v="3.4"/>
    <n v="6"/>
    <n v="0"/>
  </r>
  <r>
    <s v="ORD-202500497"/>
    <x v="90"/>
    <d v="2025-11-12T00:00:00"/>
    <s v="CUST-1001"/>
    <s v="Home Office"/>
    <s v="Philippines"/>
    <x v="0"/>
    <s v="Cagayan de Oro"/>
    <x v="1"/>
    <s v="Stapler"/>
    <s v="Stapler"/>
    <s v="Marketplace"/>
    <s v="Cash on Delivery"/>
    <n v="1"/>
    <n v="297.18"/>
    <n v="0.1"/>
    <n v="391.49"/>
    <n v="267.46199999999999"/>
    <n v="-305.90215999999998"/>
    <s v="No"/>
    <n v="4.5"/>
    <n v="4"/>
    <n v="0"/>
  </r>
  <r>
    <s v="ORD-202500498"/>
    <x v="260"/>
    <d v="2025-03-08T00:00:00"/>
    <s v="CUST-1208"/>
    <s v="Consumer"/>
    <s v="Philippines"/>
    <x v="2"/>
    <s v="Taguig"/>
    <x v="0"/>
    <s v="Laptop"/>
    <s v="Laptop"/>
    <s v="Website"/>
    <s v="E-Wallet"/>
    <n v="6"/>
    <n v="52695.41"/>
    <n v="0"/>
    <n v="4833.8599999999997"/>
    <n v="316172.46000000002"/>
    <n v="52077.182800000002"/>
    <s v="No"/>
    <n v="3.9"/>
    <n v="3"/>
    <n v="0"/>
  </r>
  <r>
    <s v="ORD-202500499"/>
    <x v="271"/>
    <d v="2026-01-02T00:00:00"/>
    <s v="CUST-1049"/>
    <s v="Consumer"/>
    <s v="Philippines"/>
    <x v="2"/>
    <s v="Marikina"/>
    <x v="0"/>
    <s v="Wireless Mouse"/>
    <s v="Wireless Mouse"/>
    <s v="Social Commerce"/>
    <s v="Credit Card"/>
    <n v="1"/>
    <n v="1381.62"/>
    <n v="0.1"/>
    <n v="219.9"/>
    <n v="1243.4579999999999"/>
    <n v="3.9224399999999662"/>
    <s v="No"/>
    <n v="4.5"/>
    <n v="3"/>
    <n v="0"/>
  </r>
  <r>
    <s v="ORD-202500500"/>
    <x v="24"/>
    <d v="2025-05-28T00:00:00"/>
    <s v="CUST-1128"/>
    <s v="Corporate"/>
    <s v="Philippines"/>
    <x v="0"/>
    <s v="Davao City"/>
    <x v="0"/>
    <s v="Monitor"/>
    <s v="Monitor"/>
    <s v="Marketplace"/>
    <s v="Debit Card"/>
    <n v="1"/>
    <n v="11560.68"/>
    <n v="0"/>
    <n v="551.57000000000005"/>
    <n v="11560.68"/>
    <n v="1529.3523999999998"/>
    <s v="No"/>
    <n v="3.9"/>
    <n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5D52B-08A9-414F-B48A-084767A3888A}"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fieldListSortAscending="1">
  <location ref="A27:D32" firstHeaderRow="0" firstDataRow="1" firstDataCol="1"/>
  <pivotFields count="25">
    <pivotField compact="0" outline="0" showAll="0"/>
    <pivotField compact="0" numFmtId="164" outline="0" showAll="0">
      <items count="285">
        <item x="229"/>
        <item x="278"/>
        <item x="113"/>
        <item x="152"/>
        <item x="259"/>
        <item x="179"/>
        <item x="154"/>
        <item x="253"/>
        <item x="227"/>
        <item x="108"/>
        <item x="242"/>
        <item x="56"/>
        <item x="189"/>
        <item x="217"/>
        <item x="181"/>
        <item x="187"/>
        <item x="140"/>
        <item x="102"/>
        <item x="246"/>
        <item x="280"/>
        <item x="198"/>
        <item x="5"/>
        <item x="74"/>
        <item x="4"/>
        <item x="149"/>
        <item x="82"/>
        <item x="96"/>
        <item x="70"/>
        <item x="243"/>
        <item x="267"/>
        <item x="100"/>
        <item x="257"/>
        <item x="88"/>
        <item x="2"/>
        <item x="175"/>
        <item x="261"/>
        <item x="167"/>
        <item x="130"/>
        <item x="50"/>
        <item x="19"/>
        <item x="68"/>
        <item x="148"/>
        <item x="63"/>
        <item x="65"/>
        <item x="176"/>
        <item x="208"/>
        <item x="52"/>
        <item x="260"/>
        <item x="36"/>
        <item x="254"/>
        <item x="145"/>
        <item x="146"/>
        <item x="93"/>
        <item x="112"/>
        <item x="156"/>
        <item x="136"/>
        <item x="91"/>
        <item x="89"/>
        <item x="200"/>
        <item x="239"/>
        <item x="44"/>
        <item x="53"/>
        <item x="75"/>
        <item x="23"/>
        <item x="266"/>
        <item x="107"/>
        <item x="218"/>
        <item x="268"/>
        <item x="165"/>
        <item x="77"/>
        <item x="160"/>
        <item x="8"/>
        <item x="282"/>
        <item x="115"/>
        <item x="16"/>
        <item x="186"/>
        <item x="13"/>
        <item x="106"/>
        <item x="138"/>
        <item x="94"/>
        <item x="269"/>
        <item x="191"/>
        <item x="109"/>
        <item x="120"/>
        <item x="85"/>
        <item x="264"/>
        <item x="141"/>
        <item x="188"/>
        <item x="169"/>
        <item x="61"/>
        <item x="214"/>
        <item x="28"/>
        <item x="14"/>
        <item x="9"/>
        <item x="275"/>
        <item x="29"/>
        <item x="87"/>
        <item x="245"/>
        <item x="232"/>
        <item x="80"/>
        <item x="247"/>
        <item x="174"/>
        <item x="195"/>
        <item x="57"/>
        <item x="212"/>
        <item x="163"/>
        <item x="48"/>
        <item x="111"/>
        <item x="20"/>
        <item x="24"/>
        <item x="158"/>
        <item x="223"/>
        <item x="178"/>
        <item x="62"/>
        <item x="104"/>
        <item x="26"/>
        <item x="258"/>
        <item x="27"/>
        <item x="233"/>
        <item x="226"/>
        <item x="234"/>
        <item x="17"/>
        <item x="210"/>
        <item x="256"/>
        <item x="215"/>
        <item x="155"/>
        <item x="244"/>
        <item x="79"/>
        <item x="83"/>
        <item x="42"/>
        <item x="38"/>
        <item x="18"/>
        <item x="172"/>
        <item x="105"/>
        <item x="126"/>
        <item x="171"/>
        <item x="69"/>
        <item x="133"/>
        <item x="142"/>
        <item x="255"/>
        <item x="216"/>
        <item x="170"/>
        <item x="55"/>
        <item x="129"/>
        <item x="211"/>
        <item x="95"/>
        <item x="166"/>
        <item x="213"/>
        <item x="84"/>
        <item x="204"/>
        <item x="221"/>
        <item x="250"/>
        <item x="238"/>
        <item x="41"/>
        <item x="134"/>
        <item x="59"/>
        <item x="279"/>
        <item x="54"/>
        <item x="78"/>
        <item x="161"/>
        <item x="35"/>
        <item x="270"/>
        <item x="47"/>
        <item x="119"/>
        <item x="6"/>
        <item x="135"/>
        <item x="58"/>
        <item x="151"/>
        <item x="206"/>
        <item x="31"/>
        <item x="45"/>
        <item x="183"/>
        <item x="128"/>
        <item x="220"/>
        <item x="116"/>
        <item x="281"/>
        <item x="114"/>
        <item x="123"/>
        <item x="263"/>
        <item x="60"/>
        <item x="272"/>
        <item x="235"/>
        <item x="12"/>
        <item x="251"/>
        <item x="101"/>
        <item x="199"/>
        <item x="194"/>
        <item x="15"/>
        <item x="177"/>
        <item x="277"/>
        <item x="159"/>
        <item x="276"/>
        <item x="121"/>
        <item x="248"/>
        <item x="225"/>
        <item x="192"/>
        <item x="201"/>
        <item x="92"/>
        <item x="190"/>
        <item x="240"/>
        <item x="273"/>
        <item x="51"/>
        <item x="131"/>
        <item x="228"/>
        <item x="157"/>
        <item x="139"/>
        <item x="125"/>
        <item x="236"/>
        <item x="249"/>
        <item x="207"/>
        <item x="196"/>
        <item x="32"/>
        <item x="67"/>
        <item x="33"/>
        <item x="117"/>
        <item x="193"/>
        <item x="21"/>
        <item x="7"/>
        <item x="283"/>
        <item x="252"/>
        <item x="30"/>
        <item x="99"/>
        <item x="118"/>
        <item x="182"/>
        <item x="98"/>
        <item x="153"/>
        <item x="73"/>
        <item x="37"/>
        <item x="25"/>
        <item x="122"/>
        <item x="64"/>
        <item x="66"/>
        <item x="43"/>
        <item x="237"/>
        <item x="132"/>
        <item x="86"/>
        <item x="205"/>
        <item x="274"/>
        <item x="241"/>
        <item x="10"/>
        <item x="90"/>
        <item x="40"/>
        <item x="209"/>
        <item x="197"/>
        <item x="150"/>
        <item x="22"/>
        <item x="34"/>
        <item x="219"/>
        <item x="81"/>
        <item x="184"/>
        <item x="0"/>
        <item x="103"/>
        <item x="262"/>
        <item x="147"/>
        <item x="137"/>
        <item x="1"/>
        <item x="39"/>
        <item x="162"/>
        <item x="203"/>
        <item x="185"/>
        <item x="3"/>
        <item x="224"/>
        <item x="72"/>
        <item x="124"/>
        <item x="97"/>
        <item x="49"/>
        <item x="144"/>
        <item x="76"/>
        <item x="168"/>
        <item x="173"/>
        <item x="265"/>
        <item x="164"/>
        <item x="46"/>
        <item x="110"/>
        <item x="230"/>
        <item x="202"/>
        <item x="222"/>
        <item x="180"/>
        <item x="71"/>
        <item x="143"/>
        <item x="231"/>
        <item x="11"/>
        <item x="271"/>
        <item x="127"/>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3"/>
        <item x="2"/>
        <item x="1"/>
        <item t="default"/>
      </items>
    </pivotField>
    <pivotField compact="0" outline="0" showAll="0"/>
    <pivotField compact="0" outline="0" showAll="0"/>
    <pivotField compact="0" outline="0" showAll="0"/>
    <pivotField compact="0" outline="0" showAll="0"/>
    <pivotField compact="0" outline="0" showAll="0"/>
    <pivotField compact="0" numFmtId="165" outline="0" showAll="0"/>
    <pivotField compact="0" numFmtId="9" outline="0" showAll="0"/>
    <pivotField compact="0" numFmtId="165" outline="0" showAll="0"/>
    <pivotField dataField="1" compact="0" numFmtId="165" outline="0" showAll="0"/>
    <pivotField dataField="1" compact="0" numFmtId="165" outline="0" showAll="0"/>
    <pivotField compact="0" outline="0" showAll="0"/>
    <pivotField dataField="1" compact="0" numFmtId="166" outline="0" showAll="0"/>
    <pivotField compact="0" numFmtId="1"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3">
    <i>
      <x/>
    </i>
    <i i="1">
      <x v="1"/>
    </i>
    <i i="2">
      <x v="2"/>
    </i>
  </colItems>
  <dataFields count="3">
    <dataField name="Total Sales" fld="17" baseField="0" baseItem="0" numFmtId="165"/>
    <dataField name="Total Profit" fld="18" baseField="0" baseItem="0" numFmtId="165"/>
    <dataField name="Average of Rating" fld="20" subtotal="average" baseField="8" baseItem="0" numFmtId="166"/>
  </dataFields>
  <formats count="2">
    <format dxfId="3">
      <pivotArea outline="0" fieldPosition="0">
        <references count="1">
          <reference field="8" count="0" selected="0"/>
        </references>
      </pivotArea>
    </format>
    <format dxfId="2">
      <pivotArea outline="0" fieldPosition="0">
        <references count="2">
          <reference field="4294967294" count="1" selected="0">
            <x v="2"/>
          </reference>
          <reference field="8" count="0" selected="0"/>
        </references>
      </pivotArea>
    </format>
  </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D4CD74-B931-4518-BA6A-6772A0EC9022}" name="Profit and Sales by Category"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fieldListSortAscending="1">
  <location ref="A3:C8" firstHeaderRow="0" firstDataRow="1" firstDataCol="1"/>
  <pivotFields count="25">
    <pivotField compact="0" outline="0" showAll="0"/>
    <pivotField compact="0" numFmtId="164" outline="0" showAll="0">
      <items count="285">
        <item x="229"/>
        <item x="278"/>
        <item x="113"/>
        <item x="152"/>
        <item x="259"/>
        <item x="179"/>
        <item x="154"/>
        <item x="253"/>
        <item x="227"/>
        <item x="108"/>
        <item x="242"/>
        <item x="56"/>
        <item x="189"/>
        <item x="217"/>
        <item x="181"/>
        <item x="187"/>
        <item x="140"/>
        <item x="102"/>
        <item x="246"/>
        <item x="280"/>
        <item x="198"/>
        <item x="5"/>
        <item x="74"/>
        <item x="4"/>
        <item x="149"/>
        <item x="82"/>
        <item x="96"/>
        <item x="70"/>
        <item x="243"/>
        <item x="267"/>
        <item x="100"/>
        <item x="257"/>
        <item x="88"/>
        <item x="2"/>
        <item x="175"/>
        <item x="261"/>
        <item x="167"/>
        <item x="130"/>
        <item x="50"/>
        <item x="19"/>
        <item x="68"/>
        <item x="148"/>
        <item x="63"/>
        <item x="65"/>
        <item x="176"/>
        <item x="208"/>
        <item x="52"/>
        <item x="260"/>
        <item x="36"/>
        <item x="254"/>
        <item x="145"/>
        <item x="146"/>
        <item x="93"/>
        <item x="112"/>
        <item x="156"/>
        <item x="136"/>
        <item x="91"/>
        <item x="89"/>
        <item x="200"/>
        <item x="239"/>
        <item x="44"/>
        <item x="53"/>
        <item x="75"/>
        <item x="23"/>
        <item x="266"/>
        <item x="107"/>
        <item x="218"/>
        <item x="268"/>
        <item x="165"/>
        <item x="77"/>
        <item x="160"/>
        <item x="8"/>
        <item x="282"/>
        <item x="115"/>
        <item x="16"/>
        <item x="186"/>
        <item x="13"/>
        <item x="106"/>
        <item x="138"/>
        <item x="94"/>
        <item x="269"/>
        <item x="191"/>
        <item x="109"/>
        <item x="120"/>
        <item x="85"/>
        <item x="264"/>
        <item x="141"/>
        <item x="188"/>
        <item x="169"/>
        <item x="61"/>
        <item x="214"/>
        <item x="28"/>
        <item x="14"/>
        <item x="9"/>
        <item x="275"/>
        <item x="29"/>
        <item x="87"/>
        <item x="245"/>
        <item x="232"/>
        <item x="80"/>
        <item x="247"/>
        <item x="174"/>
        <item x="195"/>
        <item x="57"/>
        <item x="212"/>
        <item x="163"/>
        <item x="48"/>
        <item x="111"/>
        <item x="20"/>
        <item x="24"/>
        <item x="158"/>
        <item x="223"/>
        <item x="178"/>
        <item x="62"/>
        <item x="104"/>
        <item x="26"/>
        <item x="258"/>
        <item x="27"/>
        <item x="233"/>
        <item x="226"/>
        <item x="234"/>
        <item x="17"/>
        <item x="210"/>
        <item x="256"/>
        <item x="215"/>
        <item x="155"/>
        <item x="244"/>
        <item x="79"/>
        <item x="83"/>
        <item x="42"/>
        <item x="38"/>
        <item x="18"/>
        <item x="172"/>
        <item x="105"/>
        <item x="126"/>
        <item x="171"/>
        <item x="69"/>
        <item x="133"/>
        <item x="142"/>
        <item x="255"/>
        <item x="216"/>
        <item x="170"/>
        <item x="55"/>
        <item x="129"/>
        <item x="211"/>
        <item x="95"/>
        <item x="166"/>
        <item x="213"/>
        <item x="84"/>
        <item x="204"/>
        <item x="221"/>
        <item x="250"/>
        <item x="238"/>
        <item x="41"/>
        <item x="134"/>
        <item x="59"/>
        <item x="279"/>
        <item x="54"/>
        <item x="78"/>
        <item x="161"/>
        <item x="35"/>
        <item x="270"/>
        <item x="47"/>
        <item x="119"/>
        <item x="6"/>
        <item x="135"/>
        <item x="58"/>
        <item x="151"/>
        <item x="206"/>
        <item x="31"/>
        <item x="45"/>
        <item x="183"/>
        <item x="128"/>
        <item x="220"/>
        <item x="116"/>
        <item x="281"/>
        <item x="114"/>
        <item x="123"/>
        <item x="263"/>
        <item x="60"/>
        <item x="272"/>
        <item x="235"/>
        <item x="12"/>
        <item x="251"/>
        <item x="101"/>
        <item x="199"/>
        <item x="194"/>
        <item x="15"/>
        <item x="177"/>
        <item x="277"/>
        <item x="159"/>
        <item x="276"/>
        <item x="121"/>
        <item x="248"/>
        <item x="225"/>
        <item x="192"/>
        <item x="201"/>
        <item x="92"/>
        <item x="190"/>
        <item x="240"/>
        <item x="273"/>
        <item x="51"/>
        <item x="131"/>
        <item x="228"/>
        <item x="157"/>
        <item x="139"/>
        <item x="125"/>
        <item x="236"/>
        <item x="249"/>
        <item x="207"/>
        <item x="196"/>
        <item x="32"/>
        <item x="67"/>
        <item x="33"/>
        <item x="117"/>
        <item x="193"/>
        <item x="21"/>
        <item x="7"/>
        <item x="283"/>
        <item x="252"/>
        <item x="30"/>
        <item x="99"/>
        <item x="118"/>
        <item x="182"/>
        <item x="98"/>
        <item x="153"/>
        <item x="73"/>
        <item x="37"/>
        <item x="25"/>
        <item x="122"/>
        <item x="64"/>
        <item x="66"/>
        <item x="43"/>
        <item x="237"/>
        <item x="132"/>
        <item x="86"/>
        <item x="205"/>
        <item x="274"/>
        <item x="241"/>
        <item x="10"/>
        <item x="90"/>
        <item x="40"/>
        <item x="209"/>
        <item x="197"/>
        <item x="150"/>
        <item x="22"/>
        <item x="34"/>
        <item x="219"/>
        <item x="81"/>
        <item x="184"/>
        <item x="0"/>
        <item x="103"/>
        <item x="262"/>
        <item x="147"/>
        <item x="137"/>
        <item x="1"/>
        <item x="39"/>
        <item x="162"/>
        <item x="203"/>
        <item x="185"/>
        <item x="3"/>
        <item x="224"/>
        <item x="72"/>
        <item x="124"/>
        <item x="97"/>
        <item x="49"/>
        <item x="144"/>
        <item x="76"/>
        <item x="168"/>
        <item x="173"/>
        <item x="265"/>
        <item x="164"/>
        <item x="46"/>
        <item x="110"/>
        <item x="230"/>
        <item x="202"/>
        <item x="222"/>
        <item x="180"/>
        <item x="71"/>
        <item x="143"/>
        <item x="231"/>
        <item x="11"/>
        <item x="271"/>
        <item x="127"/>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3"/>
        <item x="2"/>
        <item x="1"/>
        <item t="default"/>
      </items>
    </pivotField>
    <pivotField compact="0" outline="0" showAll="0"/>
    <pivotField compact="0" outline="0" showAll="0"/>
    <pivotField compact="0" outline="0" showAll="0"/>
    <pivotField compact="0" outline="0" showAll="0"/>
    <pivotField compact="0" outline="0" showAll="0"/>
    <pivotField compact="0" numFmtId="165" outline="0" showAll="0"/>
    <pivotField compact="0" numFmtId="9" outline="0" showAll="0"/>
    <pivotField compact="0" numFmtId="165" outline="0" showAll="0"/>
    <pivotField dataField="1" compact="0" numFmtId="165" outline="0" showAll="0"/>
    <pivotField dataField="1" compact="0" numFmtId="165" outline="0" showAll="0"/>
    <pivotField compact="0" outline="0" showAll="0"/>
    <pivotField compact="0" numFmtId="166" outline="0" showAll="0"/>
    <pivotField compact="0" numFmtId="1"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2">
    <i>
      <x/>
    </i>
    <i i="1">
      <x v="1"/>
    </i>
  </colItems>
  <dataFields count="2">
    <dataField name="Total Sales" fld="17" baseField="0" baseItem="0" numFmtId="165"/>
    <dataField name="Total Profit" fld="18" baseField="0" baseItem="0" numFmtId="165"/>
  </dataFields>
  <formats count="1">
    <format dxfId="4">
      <pivotArea outline="0" fieldPosition="0">
        <references count="1">
          <reference field="8" count="0" selected="0"/>
        </references>
      </pivotArea>
    </format>
  </format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AC8BEF-842A-4AB6-8A3C-F34F1C8AD488}" name="Sales and Profit by Region"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A3:C8" firstHeaderRow="0" firstDataRow="1" firstDataCol="1"/>
  <pivotFields count="25">
    <pivotField compact="0" outline="0" showAll="0"/>
    <pivotField compact="0" numFmtId="164" outline="0" showAll="0">
      <items count="285">
        <item x="229"/>
        <item x="278"/>
        <item x="113"/>
        <item x="152"/>
        <item x="259"/>
        <item x="179"/>
        <item x="154"/>
        <item x="253"/>
        <item x="227"/>
        <item x="108"/>
        <item x="242"/>
        <item x="56"/>
        <item x="189"/>
        <item x="217"/>
        <item x="181"/>
        <item x="187"/>
        <item x="140"/>
        <item x="102"/>
        <item x="246"/>
        <item x="280"/>
        <item x="198"/>
        <item x="5"/>
        <item x="74"/>
        <item x="4"/>
        <item x="149"/>
        <item x="82"/>
        <item x="96"/>
        <item x="70"/>
        <item x="243"/>
        <item x="267"/>
        <item x="100"/>
        <item x="257"/>
        <item x="88"/>
        <item x="2"/>
        <item x="175"/>
        <item x="261"/>
        <item x="167"/>
        <item x="130"/>
        <item x="50"/>
        <item x="19"/>
        <item x="68"/>
        <item x="148"/>
        <item x="63"/>
        <item x="65"/>
        <item x="176"/>
        <item x="208"/>
        <item x="52"/>
        <item x="260"/>
        <item x="36"/>
        <item x="254"/>
        <item x="145"/>
        <item x="146"/>
        <item x="93"/>
        <item x="112"/>
        <item x="156"/>
        <item x="136"/>
        <item x="91"/>
        <item x="89"/>
        <item x="200"/>
        <item x="239"/>
        <item x="44"/>
        <item x="53"/>
        <item x="75"/>
        <item x="23"/>
        <item x="266"/>
        <item x="107"/>
        <item x="218"/>
        <item x="268"/>
        <item x="165"/>
        <item x="77"/>
        <item x="160"/>
        <item x="8"/>
        <item x="282"/>
        <item x="115"/>
        <item x="16"/>
        <item x="186"/>
        <item x="13"/>
        <item x="106"/>
        <item x="138"/>
        <item x="94"/>
        <item x="269"/>
        <item x="191"/>
        <item x="109"/>
        <item x="120"/>
        <item x="85"/>
        <item x="264"/>
        <item x="141"/>
        <item x="188"/>
        <item x="169"/>
        <item x="61"/>
        <item x="214"/>
        <item x="28"/>
        <item x="14"/>
        <item x="9"/>
        <item x="275"/>
        <item x="29"/>
        <item x="87"/>
        <item x="245"/>
        <item x="232"/>
        <item x="80"/>
        <item x="247"/>
        <item x="174"/>
        <item x="195"/>
        <item x="57"/>
        <item x="212"/>
        <item x="163"/>
        <item x="48"/>
        <item x="111"/>
        <item x="20"/>
        <item x="24"/>
        <item x="158"/>
        <item x="223"/>
        <item x="178"/>
        <item x="62"/>
        <item x="104"/>
        <item x="26"/>
        <item x="258"/>
        <item x="27"/>
        <item x="233"/>
        <item x="226"/>
        <item x="234"/>
        <item x="17"/>
        <item x="210"/>
        <item x="256"/>
        <item x="215"/>
        <item x="155"/>
        <item x="244"/>
        <item x="79"/>
        <item x="83"/>
        <item x="42"/>
        <item x="38"/>
        <item x="18"/>
        <item x="172"/>
        <item x="105"/>
        <item x="126"/>
        <item x="171"/>
        <item x="69"/>
        <item x="133"/>
        <item x="142"/>
        <item x="255"/>
        <item x="216"/>
        <item x="170"/>
        <item x="55"/>
        <item x="129"/>
        <item x="211"/>
        <item x="95"/>
        <item x="166"/>
        <item x="213"/>
        <item x="84"/>
        <item x="204"/>
        <item x="221"/>
        <item x="250"/>
        <item x="238"/>
        <item x="41"/>
        <item x="134"/>
        <item x="59"/>
        <item x="279"/>
        <item x="54"/>
        <item x="78"/>
        <item x="161"/>
        <item x="35"/>
        <item x="270"/>
        <item x="47"/>
        <item x="119"/>
        <item x="6"/>
        <item x="135"/>
        <item x="58"/>
        <item x="151"/>
        <item x="206"/>
        <item x="31"/>
        <item x="45"/>
        <item x="183"/>
        <item x="128"/>
        <item x="220"/>
        <item x="116"/>
        <item x="281"/>
        <item x="114"/>
        <item x="123"/>
        <item x="263"/>
        <item x="60"/>
        <item x="272"/>
        <item x="235"/>
        <item x="12"/>
        <item x="251"/>
        <item x="101"/>
        <item x="199"/>
        <item x="194"/>
        <item x="15"/>
        <item x="177"/>
        <item x="277"/>
        <item x="159"/>
        <item x="276"/>
        <item x="121"/>
        <item x="248"/>
        <item x="225"/>
        <item x="192"/>
        <item x="201"/>
        <item x="92"/>
        <item x="190"/>
        <item x="240"/>
        <item x="273"/>
        <item x="51"/>
        <item x="131"/>
        <item x="228"/>
        <item x="157"/>
        <item x="139"/>
        <item x="125"/>
        <item x="236"/>
        <item x="249"/>
        <item x="207"/>
        <item x="196"/>
        <item x="32"/>
        <item x="67"/>
        <item x="33"/>
        <item x="117"/>
        <item x="193"/>
        <item x="21"/>
        <item x="7"/>
        <item x="283"/>
        <item x="252"/>
        <item x="30"/>
        <item x="99"/>
        <item x="118"/>
        <item x="182"/>
        <item x="98"/>
        <item x="153"/>
        <item x="73"/>
        <item x="37"/>
        <item x="25"/>
        <item x="122"/>
        <item x="64"/>
        <item x="66"/>
        <item x="43"/>
        <item x="237"/>
        <item x="132"/>
        <item x="86"/>
        <item x="205"/>
        <item x="274"/>
        <item x="241"/>
        <item x="10"/>
        <item x="90"/>
        <item x="40"/>
        <item x="209"/>
        <item x="197"/>
        <item x="150"/>
        <item x="22"/>
        <item x="34"/>
        <item x="219"/>
        <item x="81"/>
        <item x="184"/>
        <item x="0"/>
        <item x="103"/>
        <item x="262"/>
        <item x="147"/>
        <item x="137"/>
        <item x="1"/>
        <item x="39"/>
        <item x="162"/>
        <item x="203"/>
        <item x="185"/>
        <item x="3"/>
        <item x="224"/>
        <item x="72"/>
        <item x="124"/>
        <item x="97"/>
        <item x="49"/>
        <item x="144"/>
        <item x="76"/>
        <item x="168"/>
        <item x="173"/>
        <item x="265"/>
        <item x="164"/>
        <item x="46"/>
        <item x="110"/>
        <item x="230"/>
        <item x="202"/>
        <item x="222"/>
        <item x="180"/>
        <item x="71"/>
        <item x="143"/>
        <item x="231"/>
        <item x="11"/>
        <item x="271"/>
        <item x="127"/>
        <item t="default"/>
      </items>
    </pivotField>
    <pivotField compact="0" numFmtId="164"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9" outline="0" showAll="0"/>
    <pivotField compact="0" numFmtId="165" outline="0" showAll="0"/>
    <pivotField dataField="1" compact="0" numFmtId="165" outline="0" showAll="0"/>
    <pivotField dataField="1" compact="0" numFmtId="165" outline="0" showAll="0"/>
    <pivotField compact="0" outline="0" showAll="0"/>
    <pivotField compact="0" numFmtId="166" outline="0" showAll="0"/>
    <pivotField compact="0" numFmtId="1"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Total Sales" fld="17" baseField="0" baseItem="0" numFmtId="165"/>
    <dataField name="Total Profit" fld="18" baseField="0" baseItem="0" numFmtId="165"/>
  </dataFields>
  <formats count="1">
    <format dxfId="1">
      <pivotArea outline="0" fieldPosition="0">
        <references count="1">
          <reference field="6" count="0" selected="0"/>
        </references>
      </pivotArea>
    </format>
  </format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5176B-D40D-4631-97A8-911F894893E2}" name="PivotTable3" cacheId="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3">
  <location ref="A3:C16" firstHeaderRow="0" firstDataRow="1" firstDataCol="1"/>
  <pivotFields count="25">
    <pivotField compact="0" outline="0" showAll="0" insertBlankRow="1"/>
    <pivotField compact="0" numFmtId="164" outline="0" showAll="0" insertBlankRow="1" sumSubtotal="1">
      <items count="285">
        <item x="229"/>
        <item x="278"/>
        <item x="113"/>
        <item x="152"/>
        <item x="259"/>
        <item x="179"/>
        <item x="154"/>
        <item x="253"/>
        <item x="227"/>
        <item x="108"/>
        <item x="242"/>
        <item x="56"/>
        <item x="189"/>
        <item x="217"/>
        <item x="181"/>
        <item x="187"/>
        <item x="140"/>
        <item x="102"/>
        <item x="246"/>
        <item x="280"/>
        <item x="198"/>
        <item x="5"/>
        <item x="74"/>
        <item x="4"/>
        <item x="149"/>
        <item x="82"/>
        <item x="96"/>
        <item x="70"/>
        <item x="243"/>
        <item x="267"/>
        <item x="100"/>
        <item x="257"/>
        <item x="88"/>
        <item x="2"/>
        <item x="175"/>
        <item x="261"/>
        <item x="167"/>
        <item x="130"/>
        <item x="50"/>
        <item x="19"/>
        <item x="68"/>
        <item x="148"/>
        <item x="63"/>
        <item x="65"/>
        <item x="176"/>
        <item x="208"/>
        <item x="52"/>
        <item x="260"/>
        <item x="36"/>
        <item x="254"/>
        <item x="145"/>
        <item x="146"/>
        <item x="93"/>
        <item x="112"/>
        <item x="156"/>
        <item x="136"/>
        <item x="91"/>
        <item x="89"/>
        <item x="200"/>
        <item x="239"/>
        <item x="44"/>
        <item x="53"/>
        <item x="75"/>
        <item x="23"/>
        <item x="266"/>
        <item x="107"/>
        <item x="218"/>
        <item x="268"/>
        <item x="165"/>
        <item x="77"/>
        <item x="160"/>
        <item x="8"/>
        <item x="282"/>
        <item x="115"/>
        <item x="16"/>
        <item x="186"/>
        <item x="13"/>
        <item x="106"/>
        <item x="138"/>
        <item x="94"/>
        <item x="269"/>
        <item x="191"/>
        <item x="109"/>
        <item x="120"/>
        <item x="85"/>
        <item x="264"/>
        <item x="141"/>
        <item x="188"/>
        <item x="169"/>
        <item x="61"/>
        <item x="214"/>
        <item x="28"/>
        <item x="14"/>
        <item x="9"/>
        <item x="275"/>
        <item x="29"/>
        <item x="87"/>
        <item x="245"/>
        <item x="232"/>
        <item x="80"/>
        <item x="247"/>
        <item x="174"/>
        <item x="195"/>
        <item x="57"/>
        <item x="212"/>
        <item x="163"/>
        <item x="48"/>
        <item x="111"/>
        <item x="20"/>
        <item x="24"/>
        <item x="158"/>
        <item x="223"/>
        <item x="178"/>
        <item x="62"/>
        <item x="104"/>
        <item x="26"/>
        <item x="258"/>
        <item x="27"/>
        <item x="233"/>
        <item x="226"/>
        <item x="234"/>
        <item x="17"/>
        <item x="210"/>
        <item x="256"/>
        <item x="215"/>
        <item x="155"/>
        <item x="244"/>
        <item x="79"/>
        <item x="83"/>
        <item x="42"/>
        <item x="38"/>
        <item x="18"/>
        <item x="172"/>
        <item x="105"/>
        <item x="126"/>
        <item x="171"/>
        <item x="69"/>
        <item x="133"/>
        <item x="142"/>
        <item x="255"/>
        <item x="216"/>
        <item x="170"/>
        <item x="55"/>
        <item x="129"/>
        <item x="211"/>
        <item x="95"/>
        <item x="166"/>
        <item x="213"/>
        <item x="84"/>
        <item x="204"/>
        <item x="221"/>
        <item x="250"/>
        <item x="238"/>
        <item x="41"/>
        <item x="134"/>
        <item x="59"/>
        <item x="279"/>
        <item x="54"/>
        <item x="78"/>
        <item x="161"/>
        <item x="35"/>
        <item x="270"/>
        <item x="47"/>
        <item x="119"/>
        <item x="6"/>
        <item x="135"/>
        <item x="58"/>
        <item x="151"/>
        <item x="206"/>
        <item x="31"/>
        <item x="45"/>
        <item x="183"/>
        <item x="128"/>
        <item x="220"/>
        <item x="116"/>
        <item x="281"/>
        <item x="114"/>
        <item x="123"/>
        <item x="263"/>
        <item x="60"/>
        <item x="272"/>
        <item x="235"/>
        <item x="12"/>
        <item x="251"/>
        <item x="101"/>
        <item x="199"/>
        <item x="194"/>
        <item x="15"/>
        <item x="177"/>
        <item x="277"/>
        <item x="159"/>
        <item x="276"/>
        <item x="121"/>
        <item x="248"/>
        <item x="225"/>
        <item x="192"/>
        <item x="201"/>
        <item x="92"/>
        <item x="190"/>
        <item x="240"/>
        <item x="273"/>
        <item x="51"/>
        <item x="131"/>
        <item x="228"/>
        <item x="157"/>
        <item x="139"/>
        <item x="125"/>
        <item x="236"/>
        <item x="249"/>
        <item x="207"/>
        <item x="196"/>
        <item x="32"/>
        <item x="67"/>
        <item x="33"/>
        <item x="117"/>
        <item x="193"/>
        <item x="21"/>
        <item x="7"/>
        <item x="283"/>
        <item x="252"/>
        <item x="30"/>
        <item x="99"/>
        <item x="118"/>
        <item x="182"/>
        <item x="98"/>
        <item x="153"/>
        <item x="73"/>
        <item x="37"/>
        <item x="25"/>
        <item x="122"/>
        <item x="64"/>
        <item x="66"/>
        <item x="43"/>
        <item x="237"/>
        <item x="132"/>
        <item x="86"/>
        <item x="205"/>
        <item x="274"/>
        <item x="241"/>
        <item x="10"/>
        <item x="90"/>
        <item x="40"/>
        <item x="209"/>
        <item x="197"/>
        <item x="150"/>
        <item x="22"/>
        <item x="34"/>
        <item x="219"/>
        <item x="81"/>
        <item x="184"/>
        <item x="0"/>
        <item x="103"/>
        <item x="262"/>
        <item x="147"/>
        <item x="137"/>
        <item x="1"/>
        <item x="39"/>
        <item x="162"/>
        <item x="203"/>
        <item x="185"/>
        <item x="3"/>
        <item x="224"/>
        <item x="72"/>
        <item x="124"/>
        <item x="97"/>
        <item x="49"/>
        <item x="144"/>
        <item x="76"/>
        <item x="168"/>
        <item x="173"/>
        <item x="265"/>
        <item x="164"/>
        <item x="46"/>
        <item x="110"/>
        <item x="230"/>
        <item x="202"/>
        <item x="222"/>
        <item x="180"/>
        <item x="71"/>
        <item x="143"/>
        <item x="231"/>
        <item x="11"/>
        <item x="271"/>
        <item x="127"/>
        <item t="sum"/>
      </items>
    </pivotField>
    <pivotField compact="0" numFmtId="164" outline="0" showAll="0" insertBlankRow="1"/>
    <pivotField compact="0" outline="0" showAll="0" insertBlankRow="1"/>
    <pivotField compact="0" outline="0" showAll="0" insertBlankRow="1"/>
    <pivotField compact="0" outline="0" showAll="0" insertBlankRow="1"/>
    <pivotField compact="0" outline="0" showAll="0" insertBlankRow="1">
      <items count="5">
        <item x="2"/>
        <item x="3"/>
        <item x="0"/>
        <item x="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65" outline="0" showAll="0" insertBlankRow="1"/>
    <pivotField compact="0" numFmtId="9" outline="0" showAll="0" insertBlankRow="1"/>
    <pivotField compact="0" numFmtId="165" outline="0" showAll="0" insertBlankRow="1"/>
    <pivotField dataField="1" compact="0" numFmtId="165" outline="0" showAll="0" insertBlankRow="1"/>
    <pivotField dataField="1" compact="0" numFmtId="165" outline="0" showAll="0" insertBlankRow="1"/>
    <pivotField compact="0" outline="0" showAll="0" insertBlankRow="1"/>
    <pivotField compact="0" numFmtId="166" outline="0" showAll="0" insertBlankRow="1"/>
    <pivotField compact="0" numFmtId="1" outline="0" showAll="0" insertBlankRow="1"/>
    <pivotField compact="0" outline="0" showAll="0" insertBlankRow="1"/>
    <pivotField compact="0" outline="0" dragToRow="0" dragToCol="0" dragToPage="0" showAll="0" insertBlankRow="1" defaultSubtotal="0"/>
    <pivotField axis="axisRow" compact="0" outline="0" showAll="0" insertBlankRow="1">
      <items count="15">
        <item x="0"/>
        <item x="1"/>
        <item x="2"/>
        <item x="3"/>
        <item x="4"/>
        <item x="5"/>
        <item x="6"/>
        <item x="7"/>
        <item x="8"/>
        <item x="9"/>
        <item x="10"/>
        <item x="11"/>
        <item x="12"/>
        <item x="13"/>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Total Sales" fld="17" baseField="0" baseItem="0" numFmtId="165"/>
    <dataField name="Total Profit" fld="18" baseField="0" baseItem="0" numFmtId="165"/>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25DE7-5CC9-4C6E-B8FE-12905E1BD189}"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26:D39" firstHeaderRow="0" firstDataRow="1" firstDataCol="1"/>
  <pivotFields count="25">
    <pivotField dataField="1" compact="0" outline="0" showAll="0" insertBlankRow="1"/>
    <pivotField compact="0" numFmtId="167" outline="0" showAll="0" insertBlankRow="1" sumSubtotal="1">
      <items count="285">
        <item x="229"/>
        <item x="278"/>
        <item x="113"/>
        <item x="152"/>
        <item x="259"/>
        <item x="179"/>
        <item x="154"/>
        <item x="253"/>
        <item x="227"/>
        <item x="108"/>
        <item x="242"/>
        <item x="56"/>
        <item x="189"/>
        <item x="217"/>
        <item x="181"/>
        <item x="187"/>
        <item x="140"/>
        <item x="102"/>
        <item x="246"/>
        <item x="280"/>
        <item x="198"/>
        <item x="5"/>
        <item x="74"/>
        <item x="4"/>
        <item x="149"/>
        <item x="82"/>
        <item x="96"/>
        <item x="70"/>
        <item x="243"/>
        <item x="267"/>
        <item x="100"/>
        <item x="257"/>
        <item x="88"/>
        <item x="2"/>
        <item x="175"/>
        <item x="261"/>
        <item x="167"/>
        <item x="130"/>
        <item x="50"/>
        <item x="19"/>
        <item x="68"/>
        <item x="148"/>
        <item x="63"/>
        <item x="65"/>
        <item x="176"/>
        <item x="208"/>
        <item x="52"/>
        <item x="260"/>
        <item x="36"/>
        <item x="254"/>
        <item x="145"/>
        <item x="146"/>
        <item x="93"/>
        <item x="112"/>
        <item x="156"/>
        <item x="136"/>
        <item x="91"/>
        <item x="89"/>
        <item x="200"/>
        <item x="239"/>
        <item x="44"/>
        <item x="53"/>
        <item x="75"/>
        <item x="23"/>
        <item x="266"/>
        <item x="107"/>
        <item x="218"/>
        <item x="268"/>
        <item x="165"/>
        <item x="77"/>
        <item x="160"/>
        <item x="8"/>
        <item x="282"/>
        <item x="115"/>
        <item x="16"/>
        <item x="186"/>
        <item x="13"/>
        <item x="106"/>
        <item x="138"/>
        <item x="94"/>
        <item x="269"/>
        <item x="191"/>
        <item x="109"/>
        <item x="120"/>
        <item x="85"/>
        <item x="264"/>
        <item x="141"/>
        <item x="188"/>
        <item x="169"/>
        <item x="61"/>
        <item x="214"/>
        <item x="28"/>
        <item x="14"/>
        <item x="9"/>
        <item x="275"/>
        <item x="29"/>
        <item x="87"/>
        <item x="245"/>
        <item x="232"/>
        <item x="80"/>
        <item x="247"/>
        <item x="174"/>
        <item x="195"/>
        <item x="57"/>
        <item x="212"/>
        <item x="163"/>
        <item x="48"/>
        <item x="111"/>
        <item x="20"/>
        <item x="24"/>
        <item x="158"/>
        <item x="223"/>
        <item x="178"/>
        <item x="62"/>
        <item x="104"/>
        <item x="26"/>
        <item x="258"/>
        <item x="27"/>
        <item x="233"/>
        <item x="226"/>
        <item x="234"/>
        <item x="17"/>
        <item x="210"/>
        <item x="256"/>
        <item x="215"/>
        <item x="155"/>
        <item x="244"/>
        <item x="79"/>
        <item x="83"/>
        <item x="42"/>
        <item x="38"/>
        <item x="18"/>
        <item x="172"/>
        <item x="105"/>
        <item x="126"/>
        <item x="171"/>
        <item x="69"/>
        <item x="133"/>
        <item x="142"/>
        <item x="255"/>
        <item x="216"/>
        <item x="170"/>
        <item x="55"/>
        <item x="129"/>
        <item x="211"/>
        <item x="95"/>
        <item x="166"/>
        <item x="213"/>
        <item x="84"/>
        <item x="204"/>
        <item x="221"/>
        <item x="250"/>
        <item x="238"/>
        <item x="41"/>
        <item x="134"/>
        <item x="59"/>
        <item x="279"/>
        <item x="54"/>
        <item x="78"/>
        <item x="161"/>
        <item x="35"/>
        <item x="270"/>
        <item x="47"/>
        <item x="119"/>
        <item x="6"/>
        <item x="135"/>
        <item x="58"/>
        <item x="151"/>
        <item x="206"/>
        <item x="31"/>
        <item x="45"/>
        <item x="183"/>
        <item x="128"/>
        <item x="220"/>
        <item x="116"/>
        <item x="281"/>
        <item x="114"/>
        <item x="123"/>
        <item x="263"/>
        <item x="60"/>
        <item x="272"/>
        <item x="235"/>
        <item x="12"/>
        <item x="251"/>
        <item x="101"/>
        <item x="199"/>
        <item x="194"/>
        <item x="15"/>
        <item x="177"/>
        <item x="277"/>
        <item x="159"/>
        <item x="276"/>
        <item x="121"/>
        <item x="248"/>
        <item x="225"/>
        <item x="192"/>
        <item x="201"/>
        <item x="92"/>
        <item x="190"/>
        <item x="240"/>
        <item x="273"/>
        <item x="51"/>
        <item x="131"/>
        <item x="228"/>
        <item x="157"/>
        <item x="139"/>
        <item x="125"/>
        <item x="236"/>
        <item x="249"/>
        <item x="207"/>
        <item x="196"/>
        <item x="32"/>
        <item x="67"/>
        <item x="33"/>
        <item x="117"/>
        <item x="193"/>
        <item x="21"/>
        <item x="7"/>
        <item x="283"/>
        <item x="252"/>
        <item x="30"/>
        <item x="99"/>
        <item x="118"/>
        <item x="182"/>
        <item x="98"/>
        <item x="153"/>
        <item x="73"/>
        <item x="37"/>
        <item x="25"/>
        <item x="122"/>
        <item x="64"/>
        <item x="66"/>
        <item x="43"/>
        <item x="237"/>
        <item x="132"/>
        <item x="86"/>
        <item x="205"/>
        <item x="274"/>
        <item x="241"/>
        <item x="10"/>
        <item x="90"/>
        <item x="40"/>
        <item x="209"/>
        <item x="197"/>
        <item x="150"/>
        <item x="22"/>
        <item x="34"/>
        <item x="219"/>
        <item x="81"/>
        <item x="184"/>
        <item x="0"/>
        <item x="103"/>
        <item x="262"/>
        <item x="147"/>
        <item x="137"/>
        <item x="1"/>
        <item x="39"/>
        <item x="162"/>
        <item x="203"/>
        <item x="185"/>
        <item x="3"/>
        <item x="224"/>
        <item x="72"/>
        <item x="124"/>
        <item x="97"/>
        <item x="49"/>
        <item x="144"/>
        <item x="76"/>
        <item x="168"/>
        <item x="173"/>
        <item x="265"/>
        <item x="164"/>
        <item x="46"/>
        <item x="110"/>
        <item x="230"/>
        <item x="202"/>
        <item x="222"/>
        <item x="180"/>
        <item x="71"/>
        <item x="143"/>
        <item x="231"/>
        <item x="11"/>
        <item x="271"/>
        <item x="127"/>
        <item t="sum"/>
      </items>
    </pivotField>
    <pivotField compact="0" numFmtId="164" outline="0" showAll="0" insertBlankRow="1"/>
    <pivotField compact="0" outline="0" showAll="0" insertBlankRow="1"/>
    <pivotField compact="0" outline="0" showAll="0" insertBlankRow="1"/>
    <pivotField compact="0" outline="0" showAll="0" insertBlankRow="1"/>
    <pivotField compact="0" outline="0" showAll="0" insertBlankRow="1">
      <items count="5">
        <item x="2"/>
        <item x="3"/>
        <item x="0"/>
        <item x="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65" outline="0" showAll="0" insertBlankRow="1"/>
    <pivotField compact="0" numFmtId="9" outline="0" showAll="0" insertBlankRow="1"/>
    <pivotField compact="0" numFmtId="165" outline="0" showAll="0" insertBlankRow="1"/>
    <pivotField dataField="1" compact="0" numFmtId="165" outline="0" showAll="0" insertBlankRow="1"/>
    <pivotField dataField="1" compact="0" numFmtId="165" outline="0" showAll="0" insertBlankRow="1"/>
    <pivotField compact="0" outline="0" showAll="0" insertBlankRow="1"/>
    <pivotField compact="0" numFmtId="166" outline="0" showAll="0" insertBlankRow="1"/>
    <pivotField compact="0" numFmtId="1" outline="0" showAll="0" insertBlankRow="1"/>
    <pivotField compact="0" outline="0" showAll="0" insertBlankRow="1"/>
    <pivotField compact="0" outline="0" dragToRow="0" dragToCol="0" dragToPage="0" showAll="0" insertBlankRow="1" defaultSubtotal="0"/>
    <pivotField axis="axisRow" compact="0" outline="0" showAll="0" insertBlankRow="1">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 Sales" fld="17" baseField="0" baseItem="0" numFmtId="165"/>
    <dataField name=" Profit" fld="18" baseField="0" baseItem="0" numFmtId="165"/>
    <dataField name="Orders" fld="0" subtotal="count" baseField="0" baseItem="0"/>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408875-6517-44E7-856A-0A967766EBE5}" sourceName="Region">
  <pivotTables>
    <pivotTable tabId="9" name="PivotTable3"/>
    <pivotTable tabId="9" name="PivotTable2"/>
  </pivotTables>
  <data>
    <tabular pivotCacheId="12514801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1577A9-E8B9-4325-9F9F-63C8291D84D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D80334-504E-4EF6-9915-B5F71E359A42}" name="Table4" displayName="Table4" ref="A11:D23" totalsRowShown="0" headerRowDxfId="30" dataDxfId="28" headerRowBorderDxfId="29" tableBorderDxfId="27">
  <autoFilter ref="A11:D23" xr:uid="{33D80334-504E-4EF6-9915-B5F71E359A42}">
    <filterColumn colId="0" hiddenButton="1"/>
    <filterColumn colId="1" hiddenButton="1"/>
    <filterColumn colId="2" hiddenButton="1"/>
    <filterColumn colId="3" hiddenButton="1"/>
  </autoFilter>
  <tableColumns count="4">
    <tableColumn id="1" xr3:uid="{E92D65A1-E533-4903-A088-C6D859D24AE8}" name="Months" dataDxfId="26">
      <calculatedColumnFormula>'Monthly Sales and Profit Trend'!G27</calculatedColumnFormula>
    </tableColumn>
    <tableColumn id="2" xr3:uid="{3D666C63-B13D-4FF4-9AEF-7760A76AFFA2}" name="Sales" dataDxfId="25">
      <calculatedColumnFormula>'Monthly Sales and Profit Trend'!H27</calculatedColumnFormula>
    </tableColumn>
    <tableColumn id="3" xr3:uid="{45B76D91-CC86-4971-A928-E9E0FE6F3F73}" name="Profit" dataDxfId="24">
      <calculatedColumnFormula>'Monthly Sales and Profit Trend'!I27</calculatedColumnFormula>
    </tableColumn>
    <tableColumn id="4" xr3:uid="{E9811060-0A74-4BAF-A507-569ABACE3230}" name="Orders" dataDxfId="23">
      <calculatedColumnFormula>'Monthly Sales and Profit Trend'!J27</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11A50C-25ED-4B3E-B101-27F041AF52D0}" name="Table5" displayName="Table5" ref="F11:I15" totalsRowShown="0" headerRowDxfId="22" dataDxfId="20" headerRowBorderDxfId="21" tableBorderDxfId="19">
  <autoFilter ref="F11:I15" xr:uid="{8611A50C-25ED-4B3E-B101-27F041AF52D0}">
    <filterColumn colId="0" hiddenButton="1"/>
    <filterColumn colId="1" hiddenButton="1"/>
    <filterColumn colId="2" hiddenButton="1"/>
    <filterColumn colId="3" hiddenButton="1"/>
  </autoFilter>
  <tableColumns count="4">
    <tableColumn id="1" xr3:uid="{0F6A4567-A987-412F-9ED8-7A5A4E105F91}" name="Region" dataDxfId="18">
      <calculatedColumnFormula>'Sales and Profit by Region'!A4</calculatedColumnFormula>
    </tableColumn>
    <tableColumn id="2" xr3:uid="{03A011A9-B15F-4514-B76D-7A6EDADCED59}" name="Sales" dataDxfId="17">
      <calculatedColumnFormula>'Sales and Profit by Region'!B4</calculatedColumnFormula>
    </tableColumn>
    <tableColumn id="3" xr3:uid="{16C53A19-D1E2-461F-81AD-26A593219830}" name="Profit" dataDxfId="16">
      <calculatedColumnFormula>'Sales and Profit by Region'!C4</calculatedColumnFormula>
    </tableColumn>
    <tableColumn id="4" xr3:uid="{A096A3E6-78FD-489E-993E-E73A75858744}" name="Return Rate" dataDxfId="15">
      <calculatedColumnFormula>COUNTIFS(Sales_Data!$G$2:$G$501,$F12,Sales_Data!$T$2:$T$501,"Yes")/COUNTIF(Sales_Data!$G$2:$G$501,$F12)</calculatedColumnFormula>
    </tableColumn>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A2AE81-3AA4-47C8-85E5-DBAC2521CEA3}" name="Table6" displayName="Table6" ref="F19:I23" totalsRowShown="0" headerRowDxfId="14" dataDxfId="12" headerRowBorderDxfId="13" tableBorderDxfId="11">
  <autoFilter ref="F19:I23" xr:uid="{36A2AE81-3AA4-47C8-85E5-DBAC2521CEA3}">
    <filterColumn colId="0" hiddenButton="1"/>
    <filterColumn colId="1" hiddenButton="1"/>
    <filterColumn colId="2" hiddenButton="1"/>
    <filterColumn colId="3" hiddenButton="1"/>
  </autoFilter>
  <tableColumns count="4">
    <tableColumn id="1" xr3:uid="{268ED88B-7117-4C1A-A09A-69186DF8A33E}" name="Category" dataDxfId="10">
      <calculatedColumnFormula>'Sales and Profit by Category'!A28</calculatedColumnFormula>
    </tableColumn>
    <tableColumn id="2" xr3:uid="{2BB2CC53-7D7E-442C-BEAF-AC2C11E827DD}" name="Sales" dataDxfId="9">
      <calculatedColumnFormula>'Sales and Profit by Category'!B28</calculatedColumnFormula>
    </tableColumn>
    <tableColumn id="3" xr3:uid="{AED3517E-82BE-4CE6-9CBE-5171237A8EF5}" name="Profit" dataDxfId="8">
      <calculatedColumnFormula>'Sales and Profit by Category'!C28</calculatedColumnFormula>
    </tableColumn>
    <tableColumn id="4" xr3:uid="{A1F122D6-8BE4-459D-81EC-4E5AB5CDFB04}" name="Avg Rating" dataDxfId="7">
      <calculatedColumnFormula>'Sales and Profit by Category'!D28</calculatedColumnFormula>
    </tableColumn>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26B4C-1A6C-4CE9-BB2A-80B66379C371}" name="SalesDataTable" displayName="SalesDataTable" ref="A1:W501">
  <tableColumns count="23">
    <tableColumn id="1" xr3:uid="{C22051D9-98CD-44ED-8F35-B1846CADC9C3}" name="Order_ID"/>
    <tableColumn id="2" xr3:uid="{98C359B1-4F5E-4535-A82C-722328540D00}" name="Order_Date"/>
    <tableColumn id="3" xr3:uid="{8FB1DEDE-B732-4054-9DC4-BAC77B85FBAF}" name="Ship_Date"/>
    <tableColumn id="4" xr3:uid="{4EB97810-FCFC-4580-9CFC-A97C60E80F09}" name="Customer_ID"/>
    <tableColumn id="5" xr3:uid="{3EF3D8B5-5209-40BA-BA9E-0E4747253974}" name="Customer_Segment"/>
    <tableColumn id="6" xr3:uid="{2D73AC99-E17B-4979-958F-D553B4C4D5CF}" name="Country"/>
    <tableColumn id="7" xr3:uid="{188B3C12-370C-465E-AFF0-11F72F2E2415}" name="Region"/>
    <tableColumn id="8" xr3:uid="{FA44A941-7D95-487F-9BA5-D2796E5F5E46}" name="City"/>
    <tableColumn id="9" xr3:uid="{9A22E99E-B796-4D17-A06B-07CFBE189BE5}" name="Product_Category"/>
    <tableColumn id="10" xr3:uid="{9B3E3ADB-F26E-49F6-86BB-438B24064D85}" name="Product_Subcategory"/>
    <tableColumn id="11" xr3:uid="{E6EBA46C-D027-4363-A1D4-202F2D965E68}" name="Product_Name"/>
    <tableColumn id="12" xr3:uid="{105BFF22-18B2-4DEC-9CA4-068DA0CFC57D}" name="Channel"/>
    <tableColumn id="13" xr3:uid="{8E12BD93-0053-451C-B051-32A7337DE087}" name="Payment_Method"/>
    <tableColumn id="14" xr3:uid="{2E6B0089-C434-41DB-BD76-9F1CA78BDAF0}" name="Quantity"/>
    <tableColumn id="15" xr3:uid="{767A2E15-9DD9-4629-82D5-3E30C985A886}" name="Unit_Price"/>
    <tableColumn id="16" xr3:uid="{4CE95674-93C3-457C-95B1-45F0C34F9126}" name="Discount"/>
    <tableColumn id="17" xr3:uid="{C506C377-35F6-4EA2-964D-395DDC75ED88}" name="Shipping_Cost"/>
    <tableColumn id="18" xr3:uid="{FB955734-186C-42B7-9E36-6EB3460399F1}" name="Sales">
      <calculatedColumnFormula>N2*O2*(1-P2)</calculatedColumnFormula>
    </tableColumn>
    <tableColumn id="19" xr3:uid="{C3D0A059-B7A0-4895-84E2-003D9F2B7B49}" name="Profit" dataDxfId="6">
      <calculatedColumnFormula>R2*_xlfn.XLOOKUP(I2,Lookup_Lists!$A$2:$A$5,Lookup_Lists!$B$2:$B$5)-Q2-IF(T2="Yes",R2*0.2,0)</calculatedColumnFormula>
    </tableColumn>
    <tableColumn id="20" xr3:uid="{036E66B7-81C9-4C32-880F-E72300BD833F}" name="Returned"/>
    <tableColumn id="21" xr3:uid="{754E5004-1DF1-4CF8-AB21-8E8ACCFDF9BB}" name="Rating"/>
    <tableColumn id="22" xr3:uid="{E853BA9D-38BD-4133-A4EB-B409D5360676}" name="Delivery_Days">
      <calculatedColumnFormula>C2-B2</calculatedColumnFormula>
    </tableColumn>
    <tableColumn id="23" xr3:uid="{4FD4CB0E-6A4B-4D5F-8622-1005384E929F}" name="Return_Value" dataDxfId="5">
      <calculatedColumnFormula>IF(SalesDataTable[[#This Row],[Returned]]="Yes",1,0)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2A20B39-19AA-4DBF-8C21-AD4CA4BD2CE2}">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F416-2F82-4108-B416-1A0694A19CA6}">
  <sheetPr>
    <tabColor theme="3" tint="0.499984740745262"/>
  </sheetPr>
  <dimension ref="A1:W23"/>
  <sheetViews>
    <sheetView showGridLines="0" showRowColHeaders="0" zoomScale="85" zoomScaleNormal="85" workbookViewId="0">
      <selection activeCell="U16" sqref="U16"/>
    </sheetView>
  </sheetViews>
  <sheetFormatPr defaultRowHeight="14.25"/>
  <cols>
    <col min="1" max="1" width="11.5" style="9" customWidth="1"/>
    <col min="2" max="3" width="15.625" style="9" customWidth="1"/>
    <col min="4" max="4" width="7.125" style="9" bestFit="1" customWidth="1"/>
    <col min="5" max="5" width="9" style="9"/>
    <col min="6" max="6" width="14.75" style="9" bestFit="1" customWidth="1"/>
    <col min="7" max="8" width="15.625" style="9" customWidth="1"/>
    <col min="9" max="9" width="12.375" style="9" customWidth="1"/>
    <col min="10" max="19" width="9" style="9"/>
    <col min="20" max="20" width="7.25" style="9" bestFit="1" customWidth="1"/>
    <col min="21" max="21" width="12.75" style="9" bestFit="1" customWidth="1"/>
    <col min="22" max="22" width="11.25" style="9" bestFit="1" customWidth="1"/>
    <col min="23" max="23" width="12" style="9" bestFit="1" customWidth="1"/>
    <col min="24" max="16384" width="9" style="9"/>
  </cols>
  <sheetData>
    <row r="1" spans="1:23" ht="14.25" customHeight="1">
      <c r="A1" s="31" t="s">
        <v>796</v>
      </c>
      <c r="B1" s="31"/>
      <c r="C1" s="31"/>
      <c r="D1" s="31"/>
      <c r="E1" s="31"/>
      <c r="F1" s="31"/>
      <c r="G1" s="31"/>
      <c r="H1" s="31"/>
      <c r="I1" s="31"/>
    </row>
    <row r="2" spans="1:23" ht="14.25" customHeight="1">
      <c r="A2" s="31"/>
      <c r="B2" s="31"/>
      <c r="C2" s="31"/>
      <c r="D2" s="31"/>
      <c r="E2" s="31"/>
      <c r="F2" s="31"/>
      <c r="G2" s="31"/>
      <c r="H2" s="31"/>
      <c r="I2" s="31"/>
    </row>
    <row r="3" spans="1:23" ht="14.25" customHeight="1">
      <c r="A3" s="31"/>
      <c r="B3" s="31"/>
      <c r="C3" s="31"/>
      <c r="D3" s="31"/>
      <c r="E3" s="31"/>
      <c r="F3" s="31"/>
      <c r="G3" s="31"/>
      <c r="H3" s="31"/>
      <c r="I3" s="31"/>
    </row>
    <row r="7" spans="1:23" ht="15">
      <c r="F7" s="17"/>
    </row>
    <row r="10" spans="1:23" ht="15">
      <c r="T10" s="26"/>
      <c r="U10" s="26"/>
      <c r="V10" s="26"/>
      <c r="W10" s="26"/>
    </row>
    <row r="11" spans="1:23" ht="15">
      <c r="A11" s="10" t="s">
        <v>790</v>
      </c>
      <c r="B11" s="10" t="s">
        <v>17</v>
      </c>
      <c r="C11" s="10" t="s">
        <v>18</v>
      </c>
      <c r="D11" s="10" t="s">
        <v>792</v>
      </c>
      <c r="F11" s="12" t="s">
        <v>6</v>
      </c>
      <c r="G11" s="13" t="s">
        <v>17</v>
      </c>
      <c r="H11" s="13" t="s">
        <v>18</v>
      </c>
      <c r="I11" s="14" t="s">
        <v>793</v>
      </c>
      <c r="T11" s="23"/>
      <c r="U11" s="24"/>
      <c r="V11" s="24"/>
      <c r="W11" s="25"/>
    </row>
    <row r="12" spans="1:23">
      <c r="A12" s="11" t="str">
        <f>'Monthly Sales and Profit Trend'!G27</f>
        <v>Jan 2025</v>
      </c>
      <c r="B12" s="27">
        <f>'Monthly Sales and Profit Trend'!H27</f>
        <v>605987.0675</v>
      </c>
      <c r="C12" s="27">
        <f>'Monthly Sales and Profit Trend'!I27</f>
        <v>99784.884369999985</v>
      </c>
      <c r="D12" s="28">
        <f>'Monthly Sales and Profit Trend'!J27</f>
        <v>30</v>
      </c>
      <c r="F12" s="11" t="str">
        <f>'Sales and Profit by Region'!A4</f>
        <v>East</v>
      </c>
      <c r="G12" s="27">
        <f>'Sales and Profit by Region'!B4</f>
        <v>2607497.0980000021</v>
      </c>
      <c r="H12" s="27">
        <f>'Sales and Profit by Region'!C4</f>
        <v>418844.15267999988</v>
      </c>
      <c r="I12" s="18">
        <f>COUNTIFS(Sales_Data!$G$2:$G$501,$F12,Sales_Data!$T$2:$T$501,"Yes")/COUNTIF(Sales_Data!$G$2:$G$501,$F12)</f>
        <v>3.6764705882352942E-2</v>
      </c>
      <c r="T12" s="23"/>
      <c r="U12" s="24"/>
      <c r="V12" s="24"/>
      <c r="W12" s="25"/>
    </row>
    <row r="13" spans="1:23">
      <c r="A13" s="11" t="str">
        <f>'Monthly Sales and Profit Trend'!G28</f>
        <v>Feb 2025</v>
      </c>
      <c r="B13" s="27">
        <f>'Monthly Sales and Profit Trend'!H28</f>
        <v>489588.35199999996</v>
      </c>
      <c r="C13" s="27">
        <f>'Monthly Sales and Profit Trend'!I28</f>
        <v>80249.472249999992</v>
      </c>
      <c r="D13" s="28">
        <f>'Monthly Sales and Profit Trend'!J28</f>
        <v>41</v>
      </c>
      <c r="F13" s="11" t="str">
        <f>'Sales and Profit by Region'!A5</f>
        <v>North</v>
      </c>
      <c r="G13" s="27">
        <f>'Sales and Profit by Region'!B5</f>
        <v>2084247.9020000002</v>
      </c>
      <c r="H13" s="27">
        <f>'Sales and Profit by Region'!C5</f>
        <v>367803.03826000006</v>
      </c>
      <c r="I13" s="18">
        <f>COUNTIFS(Sales_Data!$G$2:$G$501,$F13,Sales_Data!$T$2:$T$501,"Yes")/COUNTIF(Sales_Data!$G$2:$G$501,$F13)</f>
        <v>5.3097345132743362E-2</v>
      </c>
      <c r="T13" s="23"/>
      <c r="U13" s="24"/>
      <c r="V13" s="24"/>
      <c r="W13" s="25"/>
    </row>
    <row r="14" spans="1:23">
      <c r="A14" s="11" t="str">
        <f>'Monthly Sales and Profit Trend'!G29</f>
        <v>Mar 2025</v>
      </c>
      <c r="B14" s="27">
        <f>'Monthly Sales and Profit Trend'!H29</f>
        <v>1218851.4600000002</v>
      </c>
      <c r="C14" s="27">
        <f>'Monthly Sales and Profit Trend'!I29</f>
        <v>198394.16687999998</v>
      </c>
      <c r="D14" s="28">
        <f>'Monthly Sales and Profit Trend'!J29</f>
        <v>47</v>
      </c>
      <c r="F14" s="11" t="str">
        <f>'Sales and Profit by Region'!A6</f>
        <v>South</v>
      </c>
      <c r="G14" s="27">
        <f>'Sales and Profit by Region'!B6</f>
        <v>2268019.2354999995</v>
      </c>
      <c r="H14" s="27">
        <f>'Sales and Profit by Region'!C6</f>
        <v>363838.19371000002</v>
      </c>
      <c r="I14" s="18">
        <f>COUNTIFS(Sales_Data!$G$2:$G$501,$F14,Sales_Data!$T$2:$T$501,"Yes")/COUNTIF(Sales_Data!$G$2:$G$501,$F14)</f>
        <v>4.5454545454545456E-2</v>
      </c>
      <c r="T14" s="23"/>
      <c r="U14" s="24"/>
      <c r="V14" s="24"/>
      <c r="W14" s="25"/>
    </row>
    <row r="15" spans="1:23">
      <c r="A15" s="11" t="str">
        <f>'Monthly Sales and Profit Trend'!G30</f>
        <v>Apr 2025</v>
      </c>
      <c r="B15" s="27">
        <f>'Monthly Sales and Profit Trend'!H30</f>
        <v>959716.70400000026</v>
      </c>
      <c r="C15" s="27">
        <f>'Monthly Sales and Profit Trend'!I30</f>
        <v>154358.76294000002</v>
      </c>
      <c r="D15" s="28">
        <f>'Monthly Sales and Profit Trend'!J30</f>
        <v>45</v>
      </c>
      <c r="F15" s="11" t="str">
        <f>'Sales and Profit by Region'!A7</f>
        <v>West</v>
      </c>
      <c r="G15" s="27">
        <f>'Sales and Profit by Region'!B7</f>
        <v>2154382.3559999992</v>
      </c>
      <c r="H15" s="27">
        <f>'Sales and Profit by Region'!C7</f>
        <v>345951.84116999985</v>
      </c>
      <c r="I15" s="18">
        <f>COUNTIFS(Sales_Data!$G$2:$G$501,$F15,Sales_Data!$T$2:$T$501,"Yes")/COUNTIF(Sales_Data!$G$2:$G$501,$F15)</f>
        <v>5.0420168067226892E-2</v>
      </c>
    </row>
    <row r="16" spans="1:23">
      <c r="A16" s="11" t="str">
        <f>'Monthly Sales and Profit Trend'!G31</f>
        <v>May 2025</v>
      </c>
      <c r="B16" s="27">
        <f>'Monthly Sales and Profit Trend'!H31</f>
        <v>347485.69349999994</v>
      </c>
      <c r="C16" s="27">
        <f>'Monthly Sales and Profit Trend'!I31</f>
        <v>51466.188670000018</v>
      </c>
      <c r="D16" s="28">
        <f>'Monthly Sales and Profit Trend'!J31</f>
        <v>44</v>
      </c>
      <c r="H16" s="9" t="s">
        <v>791</v>
      </c>
      <c r="I16" s="19"/>
    </row>
    <row r="17" spans="1:23">
      <c r="A17" s="11" t="str">
        <f>'Monthly Sales and Profit Trend'!G32</f>
        <v>Jun 2025</v>
      </c>
      <c r="B17" s="27">
        <f>'Monthly Sales and Profit Trend'!H32</f>
        <v>1425448.7045000002</v>
      </c>
      <c r="C17" s="27">
        <f>'Monthly Sales and Profit Trend'!I32</f>
        <v>245588.6940799999</v>
      </c>
      <c r="D17" s="28">
        <f>'Monthly Sales and Profit Trend'!J32</f>
        <v>42</v>
      </c>
    </row>
    <row r="18" spans="1:23">
      <c r="A18" s="11" t="str">
        <f>'Monthly Sales and Profit Trend'!G33</f>
        <v>Jul 2025</v>
      </c>
      <c r="B18" s="27">
        <f>'Monthly Sales and Profit Trend'!H33</f>
        <v>390605.00899999996</v>
      </c>
      <c r="C18" s="27">
        <f>'Monthly Sales and Profit Trend'!I33</f>
        <v>67516.879629999996</v>
      </c>
      <c r="D18" s="28">
        <f>'Monthly Sales and Profit Trend'!J33</f>
        <v>32</v>
      </c>
    </row>
    <row r="19" spans="1:23" ht="15">
      <c r="A19" s="11" t="str">
        <f>'Monthly Sales and Profit Trend'!G34</f>
        <v>Aug 2025</v>
      </c>
      <c r="B19" s="27">
        <f>'Monthly Sales and Profit Trend'!H34</f>
        <v>771290.90449999971</v>
      </c>
      <c r="C19" s="27">
        <f>'Monthly Sales and Profit Trend'!I34</f>
        <v>124616.21324999996</v>
      </c>
      <c r="D19" s="28">
        <f>'Monthly Sales and Profit Trend'!J34</f>
        <v>43</v>
      </c>
      <c r="F19" s="16" t="s">
        <v>794</v>
      </c>
      <c r="G19" s="16" t="s">
        <v>17</v>
      </c>
      <c r="H19" s="16" t="s">
        <v>18</v>
      </c>
      <c r="I19" s="16" t="s">
        <v>795</v>
      </c>
    </row>
    <row r="20" spans="1:23">
      <c r="A20" s="11" t="str">
        <f>'Monthly Sales and Profit Trend'!G35</f>
        <v>Sep 2025</v>
      </c>
      <c r="B20" s="27">
        <f>'Monthly Sales and Profit Trend'!H35</f>
        <v>429680.15300000005</v>
      </c>
      <c r="C20" s="27">
        <f>'Monthly Sales and Profit Trend'!I35</f>
        <v>75723.352580000021</v>
      </c>
      <c r="D20" s="28">
        <f>'Monthly Sales and Profit Trend'!J35</f>
        <v>38</v>
      </c>
      <c r="F20" s="11" t="str">
        <f>'Sales and Profit by Category'!A28</f>
        <v>Electronics</v>
      </c>
      <c r="G20" s="27">
        <f>'Sales and Profit by Category'!B28</f>
        <v>5732221.2404999966</v>
      </c>
      <c r="H20" s="27">
        <f>'Sales and Profit by Category'!C28</f>
        <v>852895.47519000049</v>
      </c>
      <c r="I20" s="15">
        <f>'Sales and Profit by Category'!D28</f>
        <v>4.2988095238095267</v>
      </c>
    </row>
    <row r="21" spans="1:23">
      <c r="A21" s="11" t="str">
        <f>'Monthly Sales and Profit Trend'!G36</f>
        <v>Oct 2025</v>
      </c>
      <c r="B21" s="27">
        <f>'Monthly Sales and Profit Trend'!H36</f>
        <v>623210.08750000002</v>
      </c>
      <c r="C21" s="27">
        <f>'Monthly Sales and Profit Trend'!I36</f>
        <v>99176.010700000013</v>
      </c>
      <c r="D21" s="28">
        <f>'Monthly Sales and Profit Trend'!J36</f>
        <v>44</v>
      </c>
      <c r="F21" s="11" t="str">
        <f>'Sales and Profit by Category'!A29</f>
        <v>Furniture</v>
      </c>
      <c r="G21" s="27">
        <f>'Sales and Profit by Category'!B29</f>
        <v>2440570.8975000004</v>
      </c>
      <c r="H21" s="27">
        <f>'Sales and Profit by Category'!C29</f>
        <v>498103.6618</v>
      </c>
      <c r="I21" s="15">
        <f>'Sales and Profit by Category'!D29</f>
        <v>4.2931372549019606</v>
      </c>
    </row>
    <row r="22" spans="1:23">
      <c r="A22" s="11" t="str">
        <f>'Monthly Sales and Profit Trend'!G37</f>
        <v>Nov 2025</v>
      </c>
      <c r="B22" s="27">
        <f>'Monthly Sales and Profit Trend'!H37</f>
        <v>936248.43900000001</v>
      </c>
      <c r="C22" s="27">
        <f>'Monthly Sales and Profit Trend'!I37</f>
        <v>139943.52149999997</v>
      </c>
      <c r="D22" s="28">
        <f>'Monthly Sales and Profit Trend'!J37</f>
        <v>42</v>
      </c>
      <c r="F22" s="11" t="str">
        <f>'Sales and Profit by Category'!A30</f>
        <v>Home &amp; Lifestyle</v>
      </c>
      <c r="G22" s="27">
        <f>'Sales and Profit by Category'!B30</f>
        <v>815273.6864999996</v>
      </c>
      <c r="H22" s="27">
        <f>'Sales and Profit by Category'!C30</f>
        <v>163090.54918999999</v>
      </c>
      <c r="I22" s="15">
        <f>'Sales and Profit by Category'!D30</f>
        <v>4.2807228915662634</v>
      </c>
    </row>
    <row r="23" spans="1:23">
      <c r="A23" s="11" t="str">
        <f>'Monthly Sales and Profit Trend'!G38</f>
        <v>Dec 2025</v>
      </c>
      <c r="B23" s="27">
        <f>'Monthly Sales and Profit Trend'!H38</f>
        <v>916034.01700000011</v>
      </c>
      <c r="C23" s="27">
        <f>'Monthly Sales and Profit Trend'!I38</f>
        <v>159619.07897000006</v>
      </c>
      <c r="D23" s="28">
        <f>'Monthly Sales and Profit Trend'!J38</f>
        <v>52</v>
      </c>
      <c r="F23" s="11" t="str">
        <f>'Sales and Profit by Category'!A31</f>
        <v>Office Supplies</v>
      </c>
      <c r="G23" s="27">
        <f>'Sales and Profit by Category'!B31</f>
        <v>126080.76699999998</v>
      </c>
      <c r="H23" s="27">
        <f>'Sales and Profit by Category'!C31</f>
        <v>-17652.460359999997</v>
      </c>
      <c r="I23" s="15">
        <f>'Sales and Profit by Category'!D31</f>
        <v>4.2061224489795919</v>
      </c>
      <c r="W23" s="9" t="s">
        <v>791</v>
      </c>
    </row>
  </sheetData>
  <mergeCells count="1">
    <mergeCell ref="A1:I3"/>
  </mergeCells>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9499-3925-4DF4-A87B-26A6CE1582F5}">
  <sheetPr>
    <tabColor theme="3" tint="0.499984740745262"/>
  </sheetPr>
  <dimension ref="A1:D15"/>
  <sheetViews>
    <sheetView showGridLines="0" tabSelected="1" workbookViewId="0">
      <selection activeCell="B17" sqref="B17"/>
    </sheetView>
  </sheetViews>
  <sheetFormatPr defaultRowHeight="14.25"/>
  <cols>
    <col min="1" max="1" width="45.5" customWidth="1"/>
    <col min="2" max="2" width="33.375" customWidth="1"/>
    <col min="3" max="3" width="60" customWidth="1"/>
    <col min="4" max="4" width="62.375" customWidth="1"/>
  </cols>
  <sheetData>
    <row r="1" spans="1:4">
      <c r="A1" s="42" t="s">
        <v>821</v>
      </c>
      <c r="B1" s="42"/>
      <c r="C1" s="42"/>
      <c r="D1" s="42"/>
    </row>
    <row r="2" spans="1:4">
      <c r="A2" s="42"/>
      <c r="B2" s="42"/>
      <c r="C2" s="42"/>
      <c r="D2" s="42"/>
    </row>
    <row r="3" spans="1:4" ht="22.5" customHeight="1">
      <c r="A3" s="39" t="s">
        <v>808</v>
      </c>
      <c r="B3" s="40" t="s">
        <v>802</v>
      </c>
      <c r="C3" s="40" t="s">
        <v>822</v>
      </c>
      <c r="D3" s="41" t="s">
        <v>809</v>
      </c>
    </row>
    <row r="4" spans="1:4" ht="50.1" customHeight="1">
      <c r="A4" s="34" t="s">
        <v>838</v>
      </c>
      <c r="B4" s="35" t="s">
        <v>831</v>
      </c>
      <c r="C4" s="35" t="s">
        <v>832</v>
      </c>
      <c r="D4" s="36" t="s">
        <v>833</v>
      </c>
    </row>
    <row r="5" spans="1:4" ht="50.1" customHeight="1">
      <c r="A5" s="37" t="s">
        <v>810</v>
      </c>
      <c r="B5" s="33" t="s">
        <v>823</v>
      </c>
      <c r="C5" s="33" t="s">
        <v>834</v>
      </c>
      <c r="D5" s="38" t="s">
        <v>811</v>
      </c>
    </row>
    <row r="6" spans="1:4" ht="50.1" customHeight="1">
      <c r="A6" s="34" t="s">
        <v>803</v>
      </c>
      <c r="B6" s="35" t="s">
        <v>824</v>
      </c>
      <c r="C6" s="35" t="s">
        <v>835</v>
      </c>
      <c r="D6" s="36" t="s">
        <v>812</v>
      </c>
    </row>
    <row r="7" spans="1:4" ht="50.1" customHeight="1">
      <c r="A7" s="37" t="s">
        <v>813</v>
      </c>
      <c r="B7" s="33" t="s">
        <v>825</v>
      </c>
      <c r="C7" s="33" t="s">
        <v>836</v>
      </c>
      <c r="D7" s="38" t="s">
        <v>814</v>
      </c>
    </row>
    <row r="8" spans="1:4" ht="50.1" customHeight="1">
      <c r="A8" s="34" t="s">
        <v>804</v>
      </c>
      <c r="B8" s="35" t="s">
        <v>826</v>
      </c>
      <c r="C8" s="35" t="s">
        <v>837</v>
      </c>
      <c r="D8" s="36" t="s">
        <v>815</v>
      </c>
    </row>
    <row r="9" spans="1:4" ht="50.1" customHeight="1">
      <c r="A9" s="37" t="s">
        <v>805</v>
      </c>
      <c r="B9" s="33" t="s">
        <v>827</v>
      </c>
      <c r="C9" s="33" t="s">
        <v>828</v>
      </c>
      <c r="D9" s="38" t="s">
        <v>816</v>
      </c>
    </row>
    <row r="10" spans="1:4" ht="50.1" customHeight="1">
      <c r="A10" s="34" t="s">
        <v>806</v>
      </c>
      <c r="B10" s="35" t="s">
        <v>829</v>
      </c>
      <c r="C10" s="35" t="s">
        <v>817</v>
      </c>
      <c r="D10" s="36" t="s">
        <v>818</v>
      </c>
    </row>
    <row r="11" spans="1:4" ht="50.1" customHeight="1">
      <c r="A11" s="37" t="s">
        <v>807</v>
      </c>
      <c r="B11" s="33" t="s">
        <v>819</v>
      </c>
      <c r="C11" s="33" t="s">
        <v>830</v>
      </c>
      <c r="D11" s="38" t="s">
        <v>820</v>
      </c>
    </row>
    <row r="12" spans="1:4">
      <c r="A12" s="30"/>
      <c r="B12" s="30"/>
      <c r="C12" s="30"/>
    </row>
    <row r="13" spans="1:4">
      <c r="A13" s="29"/>
      <c r="B13" s="29"/>
      <c r="C13" s="29"/>
    </row>
    <row r="14" spans="1:4">
      <c r="A14" s="29"/>
      <c r="B14" s="29"/>
      <c r="C14" s="29"/>
    </row>
    <row r="15" spans="1:4">
      <c r="A15" s="29"/>
      <c r="B15" s="29"/>
      <c r="C15" s="29"/>
    </row>
  </sheetData>
  <mergeCells count="1">
    <mergeCell ref="A1:D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38FD-8CB3-421A-B136-EC49AD232C3A}">
  <dimension ref="A1:Z501"/>
  <sheetViews>
    <sheetView zoomScale="85" zoomScaleNormal="85" workbookViewId="0">
      <selection activeCell="F413" sqref="F413"/>
    </sheetView>
  </sheetViews>
  <sheetFormatPr defaultRowHeight="14.25"/>
  <cols>
    <col min="1" max="1" width="15" bestFit="1" customWidth="1"/>
    <col min="2" max="3" width="10.375" bestFit="1" customWidth="1"/>
    <col min="4" max="4" width="10.75" bestFit="1" customWidth="1"/>
    <col min="5" max="5" width="14.125" bestFit="1" customWidth="1"/>
    <col min="6" max="6" width="10.125" bestFit="1" customWidth="1"/>
    <col min="7" max="7" width="6" bestFit="1" customWidth="1"/>
    <col min="8" max="8" width="14.375" bestFit="1" customWidth="1"/>
    <col min="9" max="9" width="14.875" bestFit="1" customWidth="1"/>
    <col min="10" max="11" width="14.25" bestFit="1" customWidth="1"/>
    <col min="12" max="12" width="15.75" bestFit="1" customWidth="1"/>
    <col min="13" max="13" width="14.875" bestFit="1" customWidth="1"/>
    <col min="14" max="14" width="5.375" bestFit="1" customWidth="1"/>
    <col min="15" max="15" width="10.25" bestFit="1" customWidth="1"/>
    <col min="16" max="16" width="5.25" bestFit="1" customWidth="1"/>
    <col min="17" max="17" width="9.375" bestFit="1" customWidth="1"/>
    <col min="18" max="18" width="11.25" bestFit="1" customWidth="1"/>
    <col min="19" max="19" width="10.25" bestFit="1" customWidth="1"/>
    <col min="20" max="20" width="5.875" bestFit="1" customWidth="1"/>
    <col min="21" max="21" width="4.75" bestFit="1" customWidth="1"/>
    <col min="22" max="22" width="7.625" bestFit="1" customWidth="1"/>
  </cols>
  <sheetData>
    <row r="1" spans="1:26"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797</v>
      </c>
      <c r="X1" s="2"/>
      <c r="Y1" s="2"/>
      <c r="Z1" s="2"/>
    </row>
    <row r="2" spans="1:26">
      <c r="A2" t="s">
        <v>22</v>
      </c>
      <c r="B2" s="3">
        <v>45985</v>
      </c>
      <c r="C2" s="3">
        <v>45986</v>
      </c>
      <c r="D2" t="s">
        <v>23</v>
      </c>
      <c r="E2" t="s">
        <v>24</v>
      </c>
      <c r="F2" t="s">
        <v>25</v>
      </c>
      <c r="G2" t="s">
        <v>26</v>
      </c>
      <c r="H2" t="s">
        <v>27</v>
      </c>
      <c r="I2" t="s">
        <v>28</v>
      </c>
      <c r="J2" t="s">
        <v>29</v>
      </c>
      <c r="K2" t="s">
        <v>29</v>
      </c>
      <c r="L2" t="s">
        <v>30</v>
      </c>
      <c r="M2" t="s">
        <v>31</v>
      </c>
      <c r="N2">
        <v>1</v>
      </c>
      <c r="O2" s="4">
        <v>52341.98</v>
      </c>
      <c r="P2" s="5">
        <v>0</v>
      </c>
      <c r="Q2" s="4">
        <v>989.75</v>
      </c>
      <c r="R2" s="4">
        <f t="shared" ref="R2:R65" si="0">N2*O2*(1-P2)</f>
        <v>52341.98</v>
      </c>
      <c r="S2" s="4">
        <f>R2*_xlfn.XLOOKUP(I2,Lookup_Lists!$A$2:$A$5,Lookup_Lists!$B$2:$B$5)-Q2-IF(T2="Yes",R2*0.2,0)</f>
        <v>8431.8063999999995</v>
      </c>
      <c r="T2" t="s">
        <v>32</v>
      </c>
      <c r="U2" s="6">
        <v>4.5999999999999996</v>
      </c>
      <c r="V2" s="7">
        <f t="shared" ref="V2:V65" si="1">C2-B2</f>
        <v>1</v>
      </c>
      <c r="W2">
        <f>IF(SalesDataTable[[#This Row],[Returned]]="Yes",1,0)</f>
        <v>0</v>
      </c>
    </row>
    <row r="3" spans="1:26">
      <c r="A3" t="s">
        <v>33</v>
      </c>
      <c r="B3" s="3">
        <v>45990</v>
      </c>
      <c r="C3" s="3">
        <v>45996</v>
      </c>
      <c r="D3" t="s">
        <v>34</v>
      </c>
      <c r="E3" t="s">
        <v>35</v>
      </c>
      <c r="F3" t="s">
        <v>25</v>
      </c>
      <c r="G3" t="s">
        <v>36</v>
      </c>
      <c r="H3" t="s">
        <v>37</v>
      </c>
      <c r="I3" t="s">
        <v>38</v>
      </c>
      <c r="J3" t="s">
        <v>39</v>
      </c>
      <c r="K3" t="s">
        <v>39</v>
      </c>
      <c r="L3" t="s">
        <v>30</v>
      </c>
      <c r="M3" t="s">
        <v>40</v>
      </c>
      <c r="N3">
        <v>3</v>
      </c>
      <c r="O3" s="4">
        <v>412.47</v>
      </c>
      <c r="P3" s="5">
        <v>0</v>
      </c>
      <c r="Q3" s="4">
        <v>644.16999999999996</v>
      </c>
      <c r="R3" s="4">
        <f t="shared" si="0"/>
        <v>1237.4100000000001</v>
      </c>
      <c r="S3" s="4">
        <f>R3*_xlfn.XLOOKUP(I3,Lookup_Lists!$A$2:$A$5,Lookup_Lists!$B$2:$B$5)-Q3-IF(T3="Yes",R3*0.2,0)</f>
        <v>-248.19879999999995</v>
      </c>
      <c r="T3" t="s">
        <v>32</v>
      </c>
      <c r="U3" s="6">
        <v>4.3</v>
      </c>
      <c r="V3" s="7">
        <f t="shared" si="1"/>
        <v>6</v>
      </c>
      <c r="W3">
        <f>IF(SalesDataTable[[#This Row],[Returned]]="Yes",1,0)</f>
        <v>0</v>
      </c>
    </row>
    <row r="4" spans="1:26">
      <c r="A4" t="s">
        <v>41</v>
      </c>
      <c r="B4" s="3">
        <v>45705</v>
      </c>
      <c r="C4" s="3">
        <v>45709</v>
      </c>
      <c r="D4" t="s">
        <v>42</v>
      </c>
      <c r="E4" t="s">
        <v>35</v>
      </c>
      <c r="F4" t="s">
        <v>25</v>
      </c>
      <c r="G4" t="s">
        <v>43</v>
      </c>
      <c r="H4" t="s">
        <v>44</v>
      </c>
      <c r="I4" t="s">
        <v>38</v>
      </c>
      <c r="J4" t="s">
        <v>45</v>
      </c>
      <c r="K4" t="s">
        <v>45</v>
      </c>
      <c r="L4" t="s">
        <v>46</v>
      </c>
      <c r="M4" t="s">
        <v>47</v>
      </c>
      <c r="N4">
        <v>1</v>
      </c>
      <c r="O4" s="4">
        <v>251.67</v>
      </c>
      <c r="P4" s="5">
        <v>0.05</v>
      </c>
      <c r="Q4" s="4">
        <v>588.48</v>
      </c>
      <c r="R4" s="4">
        <f t="shared" si="0"/>
        <v>239.08649999999997</v>
      </c>
      <c r="S4" s="4">
        <f>R4*_xlfn.XLOOKUP(I4,Lookup_Lists!$A$2:$A$5,Lookup_Lists!$B$2:$B$5)-Q4-IF(T4="Yes",R4*0.2,0)</f>
        <v>-511.97232000000002</v>
      </c>
      <c r="T4" t="s">
        <v>32</v>
      </c>
      <c r="U4" s="6">
        <v>4.4000000000000004</v>
      </c>
      <c r="V4" s="7">
        <f t="shared" si="1"/>
        <v>4</v>
      </c>
      <c r="W4">
        <f>IF(SalesDataTable[[#This Row],[Returned]]="Yes",1,0)</f>
        <v>0</v>
      </c>
    </row>
    <row r="5" spans="1:26">
      <c r="A5" t="s">
        <v>48</v>
      </c>
      <c r="B5" s="3">
        <v>45996</v>
      </c>
      <c r="C5" s="3">
        <v>45998</v>
      </c>
      <c r="D5" t="s">
        <v>49</v>
      </c>
      <c r="E5" t="s">
        <v>35</v>
      </c>
      <c r="F5" t="s">
        <v>25</v>
      </c>
      <c r="G5" t="s">
        <v>50</v>
      </c>
      <c r="H5" t="s">
        <v>51</v>
      </c>
      <c r="I5" t="s">
        <v>52</v>
      </c>
      <c r="J5" t="s">
        <v>53</v>
      </c>
      <c r="K5" t="s">
        <v>53</v>
      </c>
      <c r="L5" t="s">
        <v>54</v>
      </c>
      <c r="M5" t="s">
        <v>55</v>
      </c>
      <c r="N5">
        <v>1</v>
      </c>
      <c r="O5" s="4">
        <v>542.62</v>
      </c>
      <c r="P5" s="5">
        <v>0.1</v>
      </c>
      <c r="Q5" s="4">
        <v>488.18</v>
      </c>
      <c r="R5" s="4">
        <f t="shared" si="0"/>
        <v>488.358</v>
      </c>
      <c r="S5" s="4">
        <f>R5*_xlfn.XLOOKUP(I5,Lookup_Lists!$A$2:$A$5,Lookup_Lists!$B$2:$B$5)-Q5-IF(T5="Yes",R5*0.2,0)</f>
        <v>-361.20691999999997</v>
      </c>
      <c r="T5" t="s">
        <v>32</v>
      </c>
      <c r="U5" s="6">
        <v>4.5</v>
      </c>
      <c r="V5" s="7">
        <f t="shared" si="1"/>
        <v>2</v>
      </c>
      <c r="W5">
        <f>IF(SalesDataTable[[#This Row],[Returned]]="Yes",1,0)</f>
        <v>0</v>
      </c>
    </row>
    <row r="6" spans="1:26">
      <c r="A6" t="s">
        <v>56</v>
      </c>
      <c r="B6" s="3">
        <v>45694</v>
      </c>
      <c r="C6" s="3">
        <v>45699</v>
      </c>
      <c r="D6" t="s">
        <v>57</v>
      </c>
      <c r="E6" t="s">
        <v>35</v>
      </c>
      <c r="F6" t="s">
        <v>25</v>
      </c>
      <c r="G6" t="s">
        <v>26</v>
      </c>
      <c r="H6" t="s">
        <v>27</v>
      </c>
      <c r="I6" t="s">
        <v>58</v>
      </c>
      <c r="J6" t="s">
        <v>59</v>
      </c>
      <c r="K6" t="s">
        <v>59</v>
      </c>
      <c r="L6" t="s">
        <v>60</v>
      </c>
      <c r="M6" t="s">
        <v>31</v>
      </c>
      <c r="N6">
        <v>1</v>
      </c>
      <c r="O6" s="4">
        <v>6352.35</v>
      </c>
      <c r="P6" s="5">
        <v>0.1</v>
      </c>
      <c r="Q6" s="4">
        <v>207.17</v>
      </c>
      <c r="R6" s="4">
        <f t="shared" si="0"/>
        <v>5717.1150000000007</v>
      </c>
      <c r="S6" s="4">
        <f>R6*_xlfn.XLOOKUP(I6,Lookup_Lists!$A$2:$A$5,Lookup_Lists!$B$2:$B$5)-Q6-IF(T6="Yes",R6*0.2,0)</f>
        <v>1164.9376</v>
      </c>
      <c r="T6" t="s">
        <v>32</v>
      </c>
      <c r="U6" s="6">
        <v>4.5</v>
      </c>
      <c r="V6" s="7">
        <f t="shared" si="1"/>
        <v>5</v>
      </c>
      <c r="W6">
        <f>IF(SalesDataTable[[#This Row],[Returned]]="Yes",1,0)</f>
        <v>0</v>
      </c>
    </row>
    <row r="7" spans="1:26">
      <c r="A7" t="s">
        <v>61</v>
      </c>
      <c r="B7" s="3">
        <v>45691</v>
      </c>
      <c r="C7" s="3">
        <v>45693</v>
      </c>
      <c r="D7" t="s">
        <v>62</v>
      </c>
      <c r="E7" t="s">
        <v>24</v>
      </c>
      <c r="F7" t="s">
        <v>25</v>
      </c>
      <c r="G7" t="s">
        <v>43</v>
      </c>
      <c r="H7" t="s">
        <v>63</v>
      </c>
      <c r="I7" t="s">
        <v>38</v>
      </c>
      <c r="J7" t="s">
        <v>45</v>
      </c>
      <c r="K7" t="s">
        <v>45</v>
      </c>
      <c r="L7" t="s">
        <v>64</v>
      </c>
      <c r="M7" t="s">
        <v>47</v>
      </c>
      <c r="N7">
        <v>1</v>
      </c>
      <c r="O7" s="4">
        <v>239.69</v>
      </c>
      <c r="P7" s="5">
        <v>0.1</v>
      </c>
      <c r="Q7" s="4">
        <v>390.81</v>
      </c>
      <c r="R7" s="4">
        <f t="shared" si="0"/>
        <v>215.721</v>
      </c>
      <c r="S7" s="4">
        <f>R7*_xlfn.XLOOKUP(I7,Lookup_Lists!$A$2:$A$5,Lookup_Lists!$B$2:$B$5)-Q7-IF(T7="Yes",R7*0.2,0)</f>
        <v>-321.77927999999997</v>
      </c>
      <c r="T7" t="s">
        <v>32</v>
      </c>
      <c r="U7" s="6">
        <v>3.9</v>
      </c>
      <c r="V7" s="7">
        <f t="shared" si="1"/>
        <v>2</v>
      </c>
      <c r="W7">
        <f>IF(SalesDataTable[[#This Row],[Returned]]="Yes",1,0)</f>
        <v>0</v>
      </c>
    </row>
    <row r="8" spans="1:26">
      <c r="A8" t="s">
        <v>65</v>
      </c>
      <c r="B8" s="3">
        <v>45877</v>
      </c>
      <c r="C8" s="3">
        <v>45882</v>
      </c>
      <c r="D8" t="s">
        <v>66</v>
      </c>
      <c r="E8" t="s">
        <v>35</v>
      </c>
      <c r="F8" t="s">
        <v>25</v>
      </c>
      <c r="G8" t="s">
        <v>26</v>
      </c>
      <c r="H8" t="s">
        <v>67</v>
      </c>
      <c r="I8" t="s">
        <v>28</v>
      </c>
      <c r="J8" t="s">
        <v>29</v>
      </c>
      <c r="K8" t="s">
        <v>29</v>
      </c>
      <c r="L8" t="s">
        <v>64</v>
      </c>
      <c r="M8" t="s">
        <v>40</v>
      </c>
      <c r="N8">
        <v>3</v>
      </c>
      <c r="O8" s="4">
        <v>58116.44</v>
      </c>
      <c r="P8" s="5">
        <v>0</v>
      </c>
      <c r="Q8" s="4">
        <v>2731.45</v>
      </c>
      <c r="R8" s="4">
        <f t="shared" si="0"/>
        <v>174349.32</v>
      </c>
      <c r="S8" s="4">
        <f>R8*_xlfn.XLOOKUP(I8,Lookup_Lists!$A$2:$A$5,Lookup_Lists!$B$2:$B$5)-Q8-IF(T8="Yes",R8*0.2,0)</f>
        <v>28651.427599999999</v>
      </c>
      <c r="T8" t="s">
        <v>32</v>
      </c>
      <c r="U8" s="6">
        <v>4.9000000000000004</v>
      </c>
      <c r="V8" s="7">
        <f t="shared" si="1"/>
        <v>5</v>
      </c>
      <c r="W8">
        <f>IF(SalesDataTable[[#This Row],[Returned]]="Yes",1,0)</f>
        <v>0</v>
      </c>
    </row>
    <row r="9" spans="1:26">
      <c r="A9" t="s">
        <v>68</v>
      </c>
      <c r="B9" s="3">
        <v>45941</v>
      </c>
      <c r="C9" s="3">
        <v>45948</v>
      </c>
      <c r="D9" t="s">
        <v>69</v>
      </c>
      <c r="E9" t="s">
        <v>70</v>
      </c>
      <c r="F9" t="s">
        <v>25</v>
      </c>
      <c r="G9" t="s">
        <v>50</v>
      </c>
      <c r="H9" t="s">
        <v>71</v>
      </c>
      <c r="I9" t="s">
        <v>38</v>
      </c>
      <c r="J9" t="s">
        <v>72</v>
      </c>
      <c r="K9" t="s">
        <v>72</v>
      </c>
      <c r="L9" t="s">
        <v>54</v>
      </c>
      <c r="M9" t="s">
        <v>47</v>
      </c>
      <c r="N9">
        <v>1</v>
      </c>
      <c r="O9" s="4">
        <v>158.58000000000001</v>
      </c>
      <c r="P9" s="5">
        <v>0.1</v>
      </c>
      <c r="Q9" s="4">
        <v>492.6</v>
      </c>
      <c r="R9" s="4">
        <f t="shared" si="0"/>
        <v>142.72200000000001</v>
      </c>
      <c r="S9" s="4">
        <f>R9*_xlfn.XLOOKUP(I9,Lookup_Lists!$A$2:$A$5,Lookup_Lists!$B$2:$B$5)-Q9-IF(T9="Yes",R9*0.2,0)</f>
        <v>-446.92896000000002</v>
      </c>
      <c r="T9" t="s">
        <v>32</v>
      </c>
      <c r="U9" s="6">
        <v>4.2</v>
      </c>
      <c r="V9" s="7">
        <f t="shared" si="1"/>
        <v>7</v>
      </c>
      <c r="W9">
        <f>IF(SalesDataTable[[#This Row],[Returned]]="Yes",1,0)</f>
        <v>0</v>
      </c>
    </row>
    <row r="10" spans="1:26">
      <c r="A10" t="s">
        <v>73</v>
      </c>
      <c r="B10" s="3">
        <v>45749</v>
      </c>
      <c r="C10" s="3">
        <v>45754</v>
      </c>
      <c r="D10" t="s">
        <v>74</v>
      </c>
      <c r="E10" t="s">
        <v>24</v>
      </c>
      <c r="F10" t="s">
        <v>25</v>
      </c>
      <c r="G10" t="s">
        <v>43</v>
      </c>
      <c r="H10" t="s">
        <v>63</v>
      </c>
      <c r="I10" t="s">
        <v>28</v>
      </c>
      <c r="J10" t="s">
        <v>75</v>
      </c>
      <c r="K10" t="s">
        <v>75</v>
      </c>
      <c r="L10" t="s">
        <v>46</v>
      </c>
      <c r="M10" t="s">
        <v>31</v>
      </c>
      <c r="N10">
        <v>5</v>
      </c>
      <c r="O10" s="4">
        <v>11656.52</v>
      </c>
      <c r="P10" s="5">
        <v>0.05</v>
      </c>
      <c r="Q10" s="4">
        <v>1018</v>
      </c>
      <c r="R10" s="4">
        <f t="shared" si="0"/>
        <v>55368.47</v>
      </c>
      <c r="S10" s="4">
        <f>R10*_xlfn.XLOOKUP(I10,Lookup_Lists!$A$2:$A$5,Lookup_Lists!$B$2:$B$5)-Q10-IF(T10="Yes",R10*0.2,0)</f>
        <v>8948.3245999999999</v>
      </c>
      <c r="T10" t="s">
        <v>32</v>
      </c>
      <c r="U10" s="6">
        <v>5</v>
      </c>
      <c r="V10" s="7">
        <f t="shared" si="1"/>
        <v>5</v>
      </c>
      <c r="W10">
        <f>IF(SalesDataTable[[#This Row],[Returned]]="Yes",1,0)</f>
        <v>0</v>
      </c>
    </row>
    <row r="11" spans="1:26">
      <c r="A11" t="s">
        <v>76</v>
      </c>
      <c r="B11" s="3">
        <v>45780</v>
      </c>
      <c r="C11" s="3">
        <v>45781</v>
      </c>
      <c r="D11" t="s">
        <v>77</v>
      </c>
      <c r="E11" t="s">
        <v>24</v>
      </c>
      <c r="F11" t="s">
        <v>25</v>
      </c>
      <c r="G11" t="s">
        <v>50</v>
      </c>
      <c r="H11" t="s">
        <v>78</v>
      </c>
      <c r="I11" t="s">
        <v>38</v>
      </c>
      <c r="J11" t="s">
        <v>39</v>
      </c>
      <c r="K11" t="s">
        <v>39</v>
      </c>
      <c r="L11" t="s">
        <v>60</v>
      </c>
      <c r="M11" t="s">
        <v>31</v>
      </c>
      <c r="N11">
        <v>4</v>
      </c>
      <c r="O11" s="4">
        <v>385.78</v>
      </c>
      <c r="P11" s="5">
        <v>0.05</v>
      </c>
      <c r="Q11" s="4">
        <v>416.53</v>
      </c>
      <c r="R11" s="4">
        <f t="shared" si="0"/>
        <v>1465.9639999999997</v>
      </c>
      <c r="S11" s="4">
        <f>R11*_xlfn.XLOOKUP(I11,Lookup_Lists!$A$2:$A$5,Lookup_Lists!$B$2:$B$5)-Q11-IF(T11="Yes",R11*0.2,0)</f>
        <v>52.578479999999956</v>
      </c>
      <c r="T11" t="s">
        <v>32</v>
      </c>
      <c r="U11" s="6">
        <v>4.3</v>
      </c>
      <c r="V11" s="7">
        <f t="shared" si="1"/>
        <v>1</v>
      </c>
      <c r="W11">
        <f>IF(SalesDataTable[[#This Row],[Returned]]="Yes",1,0)</f>
        <v>0</v>
      </c>
    </row>
    <row r="12" spans="1:26">
      <c r="A12" t="s">
        <v>79</v>
      </c>
      <c r="B12" s="3">
        <v>45968</v>
      </c>
      <c r="C12" s="3">
        <v>45972</v>
      </c>
      <c r="D12" t="s">
        <v>80</v>
      </c>
      <c r="E12" t="s">
        <v>81</v>
      </c>
      <c r="F12" t="s">
        <v>25</v>
      </c>
      <c r="G12" t="s">
        <v>26</v>
      </c>
      <c r="H12" t="s">
        <v>82</v>
      </c>
      <c r="I12" t="s">
        <v>58</v>
      </c>
      <c r="J12" t="s">
        <v>59</v>
      </c>
      <c r="K12" t="s">
        <v>59</v>
      </c>
      <c r="L12" t="s">
        <v>46</v>
      </c>
      <c r="M12" t="s">
        <v>31</v>
      </c>
      <c r="N12">
        <v>2</v>
      </c>
      <c r="O12" s="4">
        <v>6203.42</v>
      </c>
      <c r="P12" s="5">
        <v>0</v>
      </c>
      <c r="Q12" s="4">
        <v>278.08999999999997</v>
      </c>
      <c r="R12" s="4">
        <f t="shared" si="0"/>
        <v>12406.84</v>
      </c>
      <c r="S12" s="4">
        <f>R12*_xlfn.XLOOKUP(I12,Lookup_Lists!$A$2:$A$5,Lookup_Lists!$B$2:$B$5)-Q12-IF(T12="Yes",R12*0.2,0)</f>
        <v>2699.5515999999998</v>
      </c>
      <c r="T12" t="s">
        <v>32</v>
      </c>
      <c r="U12" s="6">
        <v>4.3</v>
      </c>
      <c r="V12" s="7">
        <f t="shared" si="1"/>
        <v>4</v>
      </c>
      <c r="W12">
        <f>IF(SalesDataTable[[#This Row],[Returned]]="Yes",1,0)</f>
        <v>0</v>
      </c>
    </row>
    <row r="13" spans="1:26">
      <c r="A13" t="s">
        <v>83</v>
      </c>
      <c r="B13" s="3">
        <v>46020</v>
      </c>
      <c r="C13" s="3">
        <v>46026</v>
      </c>
      <c r="D13" t="s">
        <v>84</v>
      </c>
      <c r="E13" t="s">
        <v>35</v>
      </c>
      <c r="F13" t="s">
        <v>25</v>
      </c>
      <c r="G13" t="s">
        <v>50</v>
      </c>
      <c r="H13" t="s">
        <v>71</v>
      </c>
      <c r="I13" t="s">
        <v>28</v>
      </c>
      <c r="J13" t="s">
        <v>75</v>
      </c>
      <c r="K13" t="s">
        <v>75</v>
      </c>
      <c r="L13" t="s">
        <v>54</v>
      </c>
      <c r="M13" t="s">
        <v>47</v>
      </c>
      <c r="N13">
        <v>1</v>
      </c>
      <c r="O13" s="4">
        <v>10116.629999999999</v>
      </c>
      <c r="P13" s="5">
        <v>0.2</v>
      </c>
      <c r="Q13" s="4">
        <v>557.24</v>
      </c>
      <c r="R13" s="4">
        <f t="shared" si="0"/>
        <v>8093.3040000000001</v>
      </c>
      <c r="S13" s="4">
        <f>R13*_xlfn.XLOOKUP(I13,Lookup_Lists!$A$2:$A$5,Lookup_Lists!$B$2:$B$5)-Q13-IF(T13="Yes",R13*0.2,0)</f>
        <v>899.55471999999986</v>
      </c>
      <c r="T13" t="s">
        <v>32</v>
      </c>
      <c r="U13" s="6">
        <v>4.2</v>
      </c>
      <c r="V13" s="7">
        <f t="shared" si="1"/>
        <v>6</v>
      </c>
      <c r="W13">
        <f>IF(SalesDataTable[[#This Row],[Returned]]="Yes",1,0)</f>
        <v>0</v>
      </c>
    </row>
    <row r="14" spans="1:26">
      <c r="A14" t="s">
        <v>85</v>
      </c>
      <c r="B14" s="3">
        <v>45900</v>
      </c>
      <c r="C14" s="3">
        <v>45907</v>
      </c>
      <c r="D14" t="s">
        <v>86</v>
      </c>
      <c r="E14" t="s">
        <v>35</v>
      </c>
      <c r="F14" t="s">
        <v>25</v>
      </c>
      <c r="G14" t="s">
        <v>50</v>
      </c>
      <c r="H14" t="s">
        <v>87</v>
      </c>
      <c r="I14" t="s">
        <v>58</v>
      </c>
      <c r="J14" t="s">
        <v>88</v>
      </c>
      <c r="K14" t="s">
        <v>88</v>
      </c>
      <c r="L14" t="s">
        <v>46</v>
      </c>
      <c r="M14" t="s">
        <v>89</v>
      </c>
      <c r="N14">
        <v>3</v>
      </c>
      <c r="O14" s="4">
        <v>8461.7999999999993</v>
      </c>
      <c r="P14" s="5">
        <v>0</v>
      </c>
      <c r="Q14" s="4">
        <v>690.28</v>
      </c>
      <c r="R14" s="4">
        <f t="shared" si="0"/>
        <v>25385.399999999998</v>
      </c>
      <c r="S14" s="4">
        <f>R14*_xlfn.XLOOKUP(I14,Lookup_Lists!$A$2:$A$5,Lookup_Lists!$B$2:$B$5)-Q14-IF(T14="Yes",R14*0.2,0)</f>
        <v>5402.2159999999994</v>
      </c>
      <c r="T14" t="s">
        <v>32</v>
      </c>
      <c r="U14" s="6">
        <v>4.5</v>
      </c>
      <c r="V14" s="7">
        <f t="shared" si="1"/>
        <v>7</v>
      </c>
      <c r="W14">
        <f>IF(SalesDataTable[[#This Row],[Returned]]="Yes",1,0)</f>
        <v>0</v>
      </c>
    </row>
    <row r="15" spans="1:26">
      <c r="A15" t="s">
        <v>90</v>
      </c>
      <c r="B15" s="3">
        <v>45755</v>
      </c>
      <c r="C15" s="3">
        <v>45760</v>
      </c>
      <c r="D15" t="s">
        <v>91</v>
      </c>
      <c r="E15" t="s">
        <v>35</v>
      </c>
      <c r="F15" t="s">
        <v>25</v>
      </c>
      <c r="G15" t="s">
        <v>26</v>
      </c>
      <c r="H15" t="s">
        <v>82</v>
      </c>
      <c r="I15" t="s">
        <v>58</v>
      </c>
      <c r="J15" t="s">
        <v>92</v>
      </c>
      <c r="K15" t="s">
        <v>92</v>
      </c>
      <c r="L15" t="s">
        <v>46</v>
      </c>
      <c r="M15" t="s">
        <v>31</v>
      </c>
      <c r="N15">
        <v>1</v>
      </c>
      <c r="O15" s="4">
        <v>9142.9699999999993</v>
      </c>
      <c r="P15" s="5">
        <v>0.05</v>
      </c>
      <c r="Q15" s="4">
        <v>225.56</v>
      </c>
      <c r="R15" s="4">
        <f t="shared" si="0"/>
        <v>8685.8214999999982</v>
      </c>
      <c r="S15" s="4">
        <f>R15*_xlfn.XLOOKUP(I15,Lookup_Lists!$A$2:$A$5,Lookup_Lists!$B$2:$B$5)-Q15-IF(T15="Yes",R15*0.2,0)</f>
        <v>1859.0371599999994</v>
      </c>
      <c r="T15" t="s">
        <v>32</v>
      </c>
      <c r="U15" s="6">
        <v>4.0999999999999996</v>
      </c>
      <c r="V15" s="7">
        <f t="shared" si="1"/>
        <v>5</v>
      </c>
      <c r="W15">
        <f>IF(SalesDataTable[[#This Row],[Returned]]="Yes",1,0)</f>
        <v>0</v>
      </c>
    </row>
    <row r="16" spans="1:26">
      <c r="A16" t="s">
        <v>93</v>
      </c>
      <c r="B16" s="3">
        <v>45779</v>
      </c>
      <c r="C16" s="3">
        <v>45781</v>
      </c>
      <c r="D16" t="s">
        <v>86</v>
      </c>
      <c r="E16" t="s">
        <v>70</v>
      </c>
      <c r="F16" t="s">
        <v>25</v>
      </c>
      <c r="G16" t="s">
        <v>26</v>
      </c>
      <c r="H16" t="s">
        <v>67</v>
      </c>
      <c r="I16" t="s">
        <v>52</v>
      </c>
      <c r="J16" t="s">
        <v>94</v>
      </c>
      <c r="K16" t="s">
        <v>94</v>
      </c>
      <c r="L16" t="s">
        <v>46</v>
      </c>
      <c r="M16" t="s">
        <v>47</v>
      </c>
      <c r="N16">
        <v>1</v>
      </c>
      <c r="O16" s="4">
        <v>5353.06</v>
      </c>
      <c r="P16" s="5">
        <v>0.05</v>
      </c>
      <c r="Q16" s="4">
        <v>401.41</v>
      </c>
      <c r="R16" s="4">
        <f t="shared" si="0"/>
        <v>5085.4070000000002</v>
      </c>
      <c r="S16" s="4">
        <f>R16*_xlfn.XLOOKUP(I16,Lookup_Lists!$A$2:$A$5,Lookup_Lists!$B$2:$B$5)-Q16-IF(T16="Yes",R16*0.2,0)</f>
        <v>920.79582000000005</v>
      </c>
      <c r="T16" t="s">
        <v>32</v>
      </c>
      <c r="U16" s="6">
        <v>4.9000000000000004</v>
      </c>
      <c r="V16" s="7">
        <f t="shared" si="1"/>
        <v>2</v>
      </c>
      <c r="W16">
        <f>IF(SalesDataTable[[#This Row],[Returned]]="Yes",1,0)</f>
        <v>0</v>
      </c>
    </row>
    <row r="17" spans="1:23">
      <c r="A17" t="s">
        <v>95</v>
      </c>
      <c r="B17" s="3">
        <v>45907</v>
      </c>
      <c r="C17" s="3">
        <v>45909</v>
      </c>
      <c r="D17" t="s">
        <v>96</v>
      </c>
      <c r="E17" t="s">
        <v>35</v>
      </c>
      <c r="F17" t="s">
        <v>25</v>
      </c>
      <c r="G17" t="s">
        <v>50</v>
      </c>
      <c r="H17" t="s">
        <v>78</v>
      </c>
      <c r="I17" t="s">
        <v>38</v>
      </c>
      <c r="J17" t="s">
        <v>39</v>
      </c>
      <c r="K17" t="s">
        <v>39</v>
      </c>
      <c r="L17" t="s">
        <v>54</v>
      </c>
      <c r="M17" t="s">
        <v>47</v>
      </c>
      <c r="N17">
        <v>2</v>
      </c>
      <c r="O17" s="4">
        <v>477.04</v>
      </c>
      <c r="P17" s="5">
        <v>0</v>
      </c>
      <c r="Q17" s="4">
        <v>641.96</v>
      </c>
      <c r="R17" s="4">
        <f t="shared" si="0"/>
        <v>954.08</v>
      </c>
      <c r="S17" s="4">
        <f>R17*_xlfn.XLOOKUP(I17,Lookup_Lists!$A$2:$A$5,Lookup_Lists!$B$2:$B$5)-Q17-IF(T17="Yes",R17*0.2,0)</f>
        <v>-336.65440000000001</v>
      </c>
      <c r="T17" t="s">
        <v>32</v>
      </c>
      <c r="U17" s="6">
        <v>4.3</v>
      </c>
      <c r="V17" s="7">
        <f t="shared" si="1"/>
        <v>2</v>
      </c>
      <c r="W17">
        <f>IF(SalesDataTable[[#This Row],[Returned]]="Yes",1,0)</f>
        <v>0</v>
      </c>
    </row>
    <row r="18" spans="1:23">
      <c r="A18" t="s">
        <v>97</v>
      </c>
      <c r="B18" s="3">
        <v>45753</v>
      </c>
      <c r="C18" s="3">
        <v>45754</v>
      </c>
      <c r="D18" t="s">
        <v>98</v>
      </c>
      <c r="E18" t="s">
        <v>35</v>
      </c>
      <c r="F18" t="s">
        <v>25</v>
      </c>
      <c r="G18" t="s">
        <v>26</v>
      </c>
      <c r="H18" t="s">
        <v>67</v>
      </c>
      <c r="I18" t="s">
        <v>28</v>
      </c>
      <c r="J18" t="s">
        <v>99</v>
      </c>
      <c r="K18" t="s">
        <v>99</v>
      </c>
      <c r="L18" t="s">
        <v>54</v>
      </c>
      <c r="M18" t="s">
        <v>31</v>
      </c>
      <c r="N18">
        <v>1</v>
      </c>
      <c r="O18" s="4">
        <v>3166.08</v>
      </c>
      <c r="P18" s="5">
        <v>0.1</v>
      </c>
      <c r="Q18" s="4">
        <v>449.67</v>
      </c>
      <c r="R18" s="4">
        <f t="shared" si="0"/>
        <v>2849.4720000000002</v>
      </c>
      <c r="S18" s="4">
        <f>R18*_xlfn.XLOOKUP(I18,Lookup_Lists!$A$2:$A$5,Lookup_Lists!$B$2:$B$5)-Q18-IF(T18="Yes",R18*0.2,0)</f>
        <v>63.234960000000058</v>
      </c>
      <c r="T18" t="s">
        <v>32</v>
      </c>
      <c r="U18" s="6">
        <v>4.3</v>
      </c>
      <c r="V18" s="7">
        <f t="shared" si="1"/>
        <v>1</v>
      </c>
      <c r="W18">
        <f>IF(SalesDataTable[[#This Row],[Returned]]="Yes",1,0)</f>
        <v>0</v>
      </c>
    </row>
    <row r="19" spans="1:23">
      <c r="A19" t="s">
        <v>100</v>
      </c>
      <c r="B19" s="3">
        <v>45818</v>
      </c>
      <c r="C19" s="3">
        <v>45820</v>
      </c>
      <c r="D19" t="s">
        <v>101</v>
      </c>
      <c r="E19" t="s">
        <v>35</v>
      </c>
      <c r="F19" t="s">
        <v>25</v>
      </c>
      <c r="G19" t="s">
        <v>43</v>
      </c>
      <c r="H19" t="s">
        <v>102</v>
      </c>
      <c r="I19" t="s">
        <v>28</v>
      </c>
      <c r="J19" t="s">
        <v>29</v>
      </c>
      <c r="K19" t="s">
        <v>29</v>
      </c>
      <c r="L19" t="s">
        <v>54</v>
      </c>
      <c r="M19" t="s">
        <v>31</v>
      </c>
      <c r="N19">
        <v>8</v>
      </c>
      <c r="O19" s="4">
        <v>61299.1</v>
      </c>
      <c r="P19" s="5">
        <v>0</v>
      </c>
      <c r="Q19" s="4">
        <v>7557.39</v>
      </c>
      <c r="R19" s="4">
        <f t="shared" si="0"/>
        <v>490392.8</v>
      </c>
      <c r="S19" s="4">
        <f>R19*_xlfn.XLOOKUP(I19,Lookup_Lists!$A$2:$A$5,Lookup_Lists!$B$2:$B$5)-Q19-IF(T19="Yes",R19*0.2,0)</f>
        <v>80713.313999999998</v>
      </c>
      <c r="T19" t="s">
        <v>32</v>
      </c>
      <c r="U19" s="6">
        <v>5</v>
      </c>
      <c r="V19" s="7">
        <f t="shared" si="1"/>
        <v>2</v>
      </c>
      <c r="W19">
        <f>IF(SalesDataTable[[#This Row],[Returned]]="Yes",1,0)</f>
        <v>0</v>
      </c>
    </row>
    <row r="20" spans="1:23">
      <c r="A20" t="s">
        <v>103</v>
      </c>
      <c r="B20" s="3">
        <v>45836</v>
      </c>
      <c r="C20" s="3">
        <v>45837</v>
      </c>
      <c r="D20" t="s">
        <v>104</v>
      </c>
      <c r="E20" t="s">
        <v>35</v>
      </c>
      <c r="F20" t="s">
        <v>25</v>
      </c>
      <c r="G20" t="s">
        <v>26</v>
      </c>
      <c r="H20" t="s">
        <v>67</v>
      </c>
      <c r="I20" t="s">
        <v>52</v>
      </c>
      <c r="J20" t="s">
        <v>105</v>
      </c>
      <c r="K20" t="s">
        <v>105</v>
      </c>
      <c r="L20" t="s">
        <v>30</v>
      </c>
      <c r="M20" t="s">
        <v>31</v>
      </c>
      <c r="N20">
        <v>1</v>
      </c>
      <c r="O20" s="4">
        <v>1462.67</v>
      </c>
      <c r="P20" s="5">
        <v>0</v>
      </c>
      <c r="Q20" s="4">
        <v>480.07</v>
      </c>
      <c r="R20" s="4">
        <f t="shared" si="0"/>
        <v>1462.67</v>
      </c>
      <c r="S20" s="4">
        <f>R20*_xlfn.XLOOKUP(I20,Lookup_Lists!$A$2:$A$5,Lookup_Lists!$B$2:$B$5)-Q20-IF(T20="Yes",R20*0.2,0)</f>
        <v>-99.775799999999947</v>
      </c>
      <c r="T20" t="s">
        <v>32</v>
      </c>
      <c r="U20" s="6">
        <v>4.5</v>
      </c>
      <c r="V20" s="7">
        <f t="shared" si="1"/>
        <v>1</v>
      </c>
      <c r="W20">
        <f>IF(SalesDataTable[[#This Row],[Returned]]="Yes",1,0)</f>
        <v>0</v>
      </c>
    </row>
    <row r="21" spans="1:23">
      <c r="A21" t="s">
        <v>106</v>
      </c>
      <c r="B21" s="3">
        <v>45712</v>
      </c>
      <c r="C21" s="3">
        <v>45718</v>
      </c>
      <c r="D21" t="s">
        <v>107</v>
      </c>
      <c r="E21" t="s">
        <v>35</v>
      </c>
      <c r="F21" t="s">
        <v>25</v>
      </c>
      <c r="G21" t="s">
        <v>43</v>
      </c>
      <c r="H21" t="s">
        <v>63</v>
      </c>
      <c r="I21" t="s">
        <v>38</v>
      </c>
      <c r="J21" t="s">
        <v>108</v>
      </c>
      <c r="K21" t="s">
        <v>108</v>
      </c>
      <c r="L21" t="s">
        <v>30</v>
      </c>
      <c r="M21" t="s">
        <v>55</v>
      </c>
      <c r="N21">
        <v>2</v>
      </c>
      <c r="O21" s="4">
        <v>114.64</v>
      </c>
      <c r="P21" s="5">
        <v>0.2</v>
      </c>
      <c r="Q21" s="4">
        <v>112.39</v>
      </c>
      <c r="R21" s="4">
        <f t="shared" si="0"/>
        <v>183.42400000000001</v>
      </c>
      <c r="S21" s="4">
        <f>R21*_xlfn.XLOOKUP(I21,Lookup_Lists!$A$2:$A$5,Lookup_Lists!$B$2:$B$5)-Q21-IF(T21="Yes",R21*0.2,0)</f>
        <v>-53.694319999999998</v>
      </c>
      <c r="T21" t="s">
        <v>32</v>
      </c>
      <c r="U21" s="6">
        <v>4.4000000000000004</v>
      </c>
      <c r="V21" s="7">
        <f t="shared" si="1"/>
        <v>6</v>
      </c>
      <c r="W21">
        <f>IF(SalesDataTable[[#This Row],[Returned]]="Yes",1,0)</f>
        <v>0</v>
      </c>
    </row>
    <row r="22" spans="1:23">
      <c r="A22" t="s">
        <v>109</v>
      </c>
      <c r="B22" s="3">
        <v>45799</v>
      </c>
      <c r="C22" s="3">
        <v>45800</v>
      </c>
      <c r="D22" t="s">
        <v>110</v>
      </c>
      <c r="E22" t="s">
        <v>35</v>
      </c>
      <c r="F22" t="s">
        <v>25</v>
      </c>
      <c r="G22" t="s">
        <v>26</v>
      </c>
      <c r="H22" t="s">
        <v>82</v>
      </c>
      <c r="I22" t="s">
        <v>28</v>
      </c>
      <c r="J22" t="s">
        <v>111</v>
      </c>
      <c r="K22" t="s">
        <v>111</v>
      </c>
      <c r="L22" t="s">
        <v>46</v>
      </c>
      <c r="M22" t="s">
        <v>47</v>
      </c>
      <c r="N22">
        <v>3</v>
      </c>
      <c r="O22" s="4">
        <v>1096.27</v>
      </c>
      <c r="P22" s="5">
        <v>0.2</v>
      </c>
      <c r="Q22" s="4">
        <v>523.21</v>
      </c>
      <c r="R22" s="4">
        <f t="shared" si="0"/>
        <v>2631.0480000000002</v>
      </c>
      <c r="S22" s="4">
        <f>R22*_xlfn.XLOOKUP(I22,Lookup_Lists!$A$2:$A$5,Lookup_Lists!$B$2:$B$5)-Q22-IF(T22="Yes",R22*0.2,0)</f>
        <v>-49.621360000000038</v>
      </c>
      <c r="T22" t="s">
        <v>32</v>
      </c>
      <c r="U22" s="6">
        <v>4.8</v>
      </c>
      <c r="V22" s="7">
        <f t="shared" si="1"/>
        <v>1</v>
      </c>
      <c r="W22">
        <f>IF(SalesDataTable[[#This Row],[Returned]]="Yes",1,0)</f>
        <v>0</v>
      </c>
    </row>
    <row r="23" spans="1:23">
      <c r="A23" t="s">
        <v>112</v>
      </c>
      <c r="B23" s="3">
        <v>45940</v>
      </c>
      <c r="C23" s="3">
        <v>45942</v>
      </c>
      <c r="D23" t="s">
        <v>113</v>
      </c>
      <c r="E23" t="s">
        <v>35</v>
      </c>
      <c r="F23" t="s">
        <v>25</v>
      </c>
      <c r="G23" t="s">
        <v>43</v>
      </c>
      <c r="H23" t="s">
        <v>44</v>
      </c>
      <c r="I23" t="s">
        <v>52</v>
      </c>
      <c r="J23" t="s">
        <v>114</v>
      </c>
      <c r="K23" t="s">
        <v>114</v>
      </c>
      <c r="L23" t="s">
        <v>64</v>
      </c>
      <c r="M23" t="s">
        <v>40</v>
      </c>
      <c r="N23">
        <v>3</v>
      </c>
      <c r="O23" s="4">
        <v>10260.76</v>
      </c>
      <c r="P23" s="5">
        <v>0</v>
      </c>
      <c r="Q23" s="4">
        <v>860.87</v>
      </c>
      <c r="R23" s="4">
        <f t="shared" si="0"/>
        <v>30782.28</v>
      </c>
      <c r="S23" s="4">
        <f>R23*_xlfn.XLOOKUP(I23,Lookup_Lists!$A$2:$A$5,Lookup_Lists!$B$2:$B$5)-Q23-IF(T23="Yes",R23*0.2,0)</f>
        <v>7142.5227999999997</v>
      </c>
      <c r="T23" t="s">
        <v>32</v>
      </c>
      <c r="U23" s="6">
        <v>4.4000000000000004</v>
      </c>
      <c r="V23" s="7">
        <f t="shared" si="1"/>
        <v>2</v>
      </c>
      <c r="W23">
        <f>IF(SalesDataTable[[#This Row],[Returned]]="Yes",1,0)</f>
        <v>0</v>
      </c>
    </row>
    <row r="24" spans="1:23">
      <c r="A24" t="s">
        <v>115</v>
      </c>
      <c r="B24" s="3">
        <v>45975</v>
      </c>
      <c r="C24" s="3">
        <v>45981</v>
      </c>
      <c r="D24" t="s">
        <v>116</v>
      </c>
      <c r="E24" t="s">
        <v>81</v>
      </c>
      <c r="F24" t="s">
        <v>25</v>
      </c>
      <c r="G24" t="s">
        <v>26</v>
      </c>
      <c r="H24" t="s">
        <v>27</v>
      </c>
      <c r="I24" t="s">
        <v>52</v>
      </c>
      <c r="J24" t="s">
        <v>94</v>
      </c>
      <c r="K24" t="s">
        <v>94</v>
      </c>
      <c r="L24" t="s">
        <v>64</v>
      </c>
      <c r="M24" t="s">
        <v>89</v>
      </c>
      <c r="N24">
        <v>1</v>
      </c>
      <c r="O24" s="4">
        <v>5555.26</v>
      </c>
      <c r="P24" s="5">
        <v>0.1</v>
      </c>
      <c r="Q24" s="4">
        <v>398.01</v>
      </c>
      <c r="R24" s="4">
        <f t="shared" si="0"/>
        <v>4999.7340000000004</v>
      </c>
      <c r="S24" s="4">
        <f>R24*_xlfn.XLOOKUP(I24,Lookup_Lists!$A$2:$A$5,Lookup_Lists!$B$2:$B$5)-Q24-IF(T24="Yes",R24*0.2,0)</f>
        <v>901.92084000000023</v>
      </c>
      <c r="T24" t="s">
        <v>32</v>
      </c>
      <c r="U24" s="6">
        <v>4.2</v>
      </c>
      <c r="V24" s="7">
        <f t="shared" si="1"/>
        <v>6</v>
      </c>
      <c r="W24">
        <f>IF(SalesDataTable[[#This Row],[Returned]]="Yes",1,0)</f>
        <v>0</v>
      </c>
    </row>
    <row r="25" spans="1:23">
      <c r="A25" t="s">
        <v>117</v>
      </c>
      <c r="B25" s="3">
        <v>45739</v>
      </c>
      <c r="C25" s="3">
        <v>45746</v>
      </c>
      <c r="D25" t="s">
        <v>118</v>
      </c>
      <c r="E25" t="s">
        <v>35</v>
      </c>
      <c r="F25" t="s">
        <v>25</v>
      </c>
      <c r="G25" t="s">
        <v>50</v>
      </c>
      <c r="H25" t="s">
        <v>87</v>
      </c>
      <c r="I25" t="s">
        <v>28</v>
      </c>
      <c r="J25" t="s">
        <v>111</v>
      </c>
      <c r="K25" t="s">
        <v>111</v>
      </c>
      <c r="L25" t="s">
        <v>54</v>
      </c>
      <c r="M25" t="s">
        <v>40</v>
      </c>
      <c r="N25">
        <v>1</v>
      </c>
      <c r="O25" s="4">
        <v>1293.6099999999999</v>
      </c>
      <c r="P25" s="5">
        <v>0</v>
      </c>
      <c r="Q25" s="4">
        <v>258.20999999999998</v>
      </c>
      <c r="R25" s="4">
        <f t="shared" si="0"/>
        <v>1293.6099999999999</v>
      </c>
      <c r="S25" s="4">
        <f>R25*_xlfn.XLOOKUP(I25,Lookup_Lists!$A$2:$A$5,Lookup_Lists!$B$2:$B$5)-Q25-IF(T25="Yes",R25*0.2,0)</f>
        <v>-284.0822</v>
      </c>
      <c r="T25" t="s">
        <v>119</v>
      </c>
      <c r="U25" s="6">
        <v>3.1</v>
      </c>
      <c r="V25" s="7">
        <f t="shared" si="1"/>
        <v>7</v>
      </c>
      <c r="W25">
        <f>IF(SalesDataTable[[#This Row],[Returned]]="Yes",1,0)</f>
        <v>1</v>
      </c>
    </row>
    <row r="26" spans="1:23">
      <c r="A26" t="s">
        <v>120</v>
      </c>
      <c r="B26" s="3">
        <v>45800</v>
      </c>
      <c r="C26" s="3">
        <v>45803</v>
      </c>
      <c r="D26" t="s">
        <v>121</v>
      </c>
      <c r="E26" t="s">
        <v>70</v>
      </c>
      <c r="F26" t="s">
        <v>25</v>
      </c>
      <c r="G26" t="s">
        <v>43</v>
      </c>
      <c r="H26" t="s">
        <v>122</v>
      </c>
      <c r="I26" t="s">
        <v>28</v>
      </c>
      <c r="J26" t="s">
        <v>123</v>
      </c>
      <c r="K26" t="s">
        <v>123</v>
      </c>
      <c r="L26" t="s">
        <v>54</v>
      </c>
      <c r="M26" t="s">
        <v>55</v>
      </c>
      <c r="N26">
        <v>1</v>
      </c>
      <c r="O26" s="4">
        <v>1906.15</v>
      </c>
      <c r="P26" s="5">
        <v>0</v>
      </c>
      <c r="Q26" s="4">
        <v>556.86</v>
      </c>
      <c r="R26" s="4">
        <f t="shared" si="0"/>
        <v>1906.15</v>
      </c>
      <c r="S26" s="4">
        <f>R26*_xlfn.XLOOKUP(I26,Lookup_Lists!$A$2:$A$5,Lookup_Lists!$B$2:$B$5)-Q26-IF(T26="Yes",R26*0.2,0)</f>
        <v>-213.75299999999999</v>
      </c>
      <c r="T26" t="s">
        <v>32</v>
      </c>
      <c r="U26" s="6">
        <v>4.5999999999999996</v>
      </c>
      <c r="V26" s="7">
        <f t="shared" si="1"/>
        <v>3</v>
      </c>
      <c r="W26">
        <f>IF(SalesDataTable[[#This Row],[Returned]]="Yes",1,0)</f>
        <v>0</v>
      </c>
    </row>
    <row r="27" spans="1:23">
      <c r="A27" t="s">
        <v>124</v>
      </c>
      <c r="B27" s="3">
        <v>45953</v>
      </c>
      <c r="C27" s="3">
        <v>45955</v>
      </c>
      <c r="D27" t="s">
        <v>125</v>
      </c>
      <c r="E27" t="s">
        <v>35</v>
      </c>
      <c r="F27" t="s">
        <v>25</v>
      </c>
      <c r="G27" t="s">
        <v>36</v>
      </c>
      <c r="H27" t="s">
        <v>126</v>
      </c>
      <c r="I27" t="s">
        <v>58</v>
      </c>
      <c r="J27" t="s">
        <v>127</v>
      </c>
      <c r="K27" t="s">
        <v>127</v>
      </c>
      <c r="L27" t="s">
        <v>46</v>
      </c>
      <c r="M27" t="s">
        <v>89</v>
      </c>
      <c r="N27">
        <v>6</v>
      </c>
      <c r="O27" s="4">
        <v>20812.16</v>
      </c>
      <c r="P27" s="5">
        <v>0.05</v>
      </c>
      <c r="Q27" s="4">
        <v>2331.23</v>
      </c>
      <c r="R27" s="4">
        <f t="shared" si="0"/>
        <v>118629.31199999999</v>
      </c>
      <c r="S27" s="4">
        <f>R27*_xlfn.XLOOKUP(I27,Lookup_Lists!$A$2:$A$5,Lookup_Lists!$B$2:$B$5)-Q27-IF(T27="Yes",R27*0.2,0)</f>
        <v>26139.804879999996</v>
      </c>
      <c r="T27" t="s">
        <v>32</v>
      </c>
      <c r="U27" s="6">
        <v>4.3</v>
      </c>
      <c r="V27" s="7">
        <f t="shared" si="1"/>
        <v>2</v>
      </c>
      <c r="W27">
        <f>IF(SalesDataTable[[#This Row],[Returned]]="Yes",1,0)</f>
        <v>0</v>
      </c>
    </row>
    <row r="28" spans="1:23">
      <c r="A28" t="s">
        <v>128</v>
      </c>
      <c r="B28" s="3">
        <v>45811</v>
      </c>
      <c r="C28" s="3">
        <v>45816</v>
      </c>
      <c r="D28" t="s">
        <v>129</v>
      </c>
      <c r="E28" t="s">
        <v>70</v>
      </c>
      <c r="F28" t="s">
        <v>25</v>
      </c>
      <c r="G28" t="s">
        <v>43</v>
      </c>
      <c r="H28" t="s">
        <v>102</v>
      </c>
      <c r="I28" t="s">
        <v>38</v>
      </c>
      <c r="J28" t="s">
        <v>130</v>
      </c>
      <c r="K28" t="s">
        <v>130</v>
      </c>
      <c r="L28" t="s">
        <v>54</v>
      </c>
      <c r="M28" t="s">
        <v>47</v>
      </c>
      <c r="N28">
        <v>3</v>
      </c>
      <c r="O28" s="4">
        <v>695.62</v>
      </c>
      <c r="P28" s="5">
        <v>0.1</v>
      </c>
      <c r="Q28" s="4">
        <v>210.5</v>
      </c>
      <c r="R28" s="4">
        <f t="shared" si="0"/>
        <v>1878.1740000000002</v>
      </c>
      <c r="S28" s="4">
        <f>R28*_xlfn.XLOOKUP(I28,Lookup_Lists!$A$2:$A$5,Lookup_Lists!$B$2:$B$5)-Q28-IF(T28="Yes",R28*0.2,0)</f>
        <v>390.51568000000009</v>
      </c>
      <c r="T28" t="s">
        <v>32</v>
      </c>
      <c r="U28" s="6">
        <v>3.6</v>
      </c>
      <c r="V28" s="7">
        <f t="shared" si="1"/>
        <v>5</v>
      </c>
      <c r="W28">
        <f>IF(SalesDataTable[[#This Row],[Returned]]="Yes",1,0)</f>
        <v>0</v>
      </c>
    </row>
    <row r="29" spans="1:23">
      <c r="A29" t="s">
        <v>131</v>
      </c>
      <c r="B29" s="3">
        <v>45813</v>
      </c>
      <c r="C29" s="3">
        <v>45816</v>
      </c>
      <c r="D29" t="s">
        <v>132</v>
      </c>
      <c r="E29" t="s">
        <v>35</v>
      </c>
      <c r="F29" t="s">
        <v>25</v>
      </c>
      <c r="G29" t="s">
        <v>43</v>
      </c>
      <c r="H29" t="s">
        <v>102</v>
      </c>
      <c r="I29" t="s">
        <v>58</v>
      </c>
      <c r="J29" t="s">
        <v>127</v>
      </c>
      <c r="K29" t="s">
        <v>127</v>
      </c>
      <c r="L29" t="s">
        <v>46</v>
      </c>
      <c r="M29" t="s">
        <v>40</v>
      </c>
      <c r="N29">
        <v>3</v>
      </c>
      <c r="O29" s="4">
        <v>17372.45</v>
      </c>
      <c r="P29" s="5">
        <v>0.1</v>
      </c>
      <c r="Q29" s="4">
        <v>1214.74</v>
      </c>
      <c r="R29" s="4">
        <f t="shared" si="0"/>
        <v>46905.615000000005</v>
      </c>
      <c r="S29" s="4">
        <f>R29*_xlfn.XLOOKUP(I29,Lookup_Lists!$A$2:$A$5,Lookup_Lists!$B$2:$B$5)-Q29-IF(T29="Yes",R29*0.2,0)</f>
        <v>10042.607600000001</v>
      </c>
      <c r="T29" t="s">
        <v>32</v>
      </c>
      <c r="U29" s="6">
        <v>4.8</v>
      </c>
      <c r="V29" s="7">
        <f t="shared" si="1"/>
        <v>3</v>
      </c>
      <c r="W29">
        <f>IF(SalesDataTable[[#This Row],[Returned]]="Yes",1,0)</f>
        <v>0</v>
      </c>
    </row>
    <row r="30" spans="1:23">
      <c r="A30" t="s">
        <v>133</v>
      </c>
      <c r="B30" s="3">
        <v>45778</v>
      </c>
      <c r="C30" s="3">
        <v>45784</v>
      </c>
      <c r="D30" t="s">
        <v>129</v>
      </c>
      <c r="E30" t="s">
        <v>35</v>
      </c>
      <c r="F30" t="s">
        <v>25</v>
      </c>
      <c r="G30" t="s">
        <v>26</v>
      </c>
      <c r="H30" t="s">
        <v>27</v>
      </c>
      <c r="I30" t="s">
        <v>28</v>
      </c>
      <c r="J30" t="s">
        <v>75</v>
      </c>
      <c r="K30" t="s">
        <v>75</v>
      </c>
      <c r="L30" t="s">
        <v>60</v>
      </c>
      <c r="M30" t="s">
        <v>31</v>
      </c>
      <c r="N30">
        <v>5</v>
      </c>
      <c r="O30" s="4">
        <v>9920.33</v>
      </c>
      <c r="P30" s="5">
        <v>0</v>
      </c>
      <c r="Q30" s="4">
        <v>1182.99</v>
      </c>
      <c r="R30" s="4">
        <f t="shared" si="0"/>
        <v>49601.65</v>
      </c>
      <c r="S30" s="4">
        <f>R30*_xlfn.XLOOKUP(I30,Lookup_Lists!$A$2:$A$5,Lookup_Lists!$B$2:$B$5)-Q30-IF(T30="Yes",R30*0.2,0)</f>
        <v>7745.3070000000007</v>
      </c>
      <c r="T30" t="s">
        <v>32</v>
      </c>
      <c r="U30" s="6">
        <v>4.0999999999999996</v>
      </c>
      <c r="V30" s="7">
        <f t="shared" si="1"/>
        <v>6</v>
      </c>
      <c r="W30">
        <f>IF(SalesDataTable[[#This Row],[Returned]]="Yes",1,0)</f>
        <v>0</v>
      </c>
    </row>
    <row r="31" spans="1:23">
      <c r="A31" t="s">
        <v>134</v>
      </c>
      <c r="B31" s="3">
        <v>45782</v>
      </c>
      <c r="C31" s="3">
        <v>45784</v>
      </c>
      <c r="D31" t="s">
        <v>135</v>
      </c>
      <c r="E31" t="s">
        <v>70</v>
      </c>
      <c r="F31" t="s">
        <v>25</v>
      </c>
      <c r="G31" t="s">
        <v>50</v>
      </c>
      <c r="H31" t="s">
        <v>87</v>
      </c>
      <c r="I31" t="s">
        <v>28</v>
      </c>
      <c r="J31" t="s">
        <v>99</v>
      </c>
      <c r="K31" t="s">
        <v>99</v>
      </c>
      <c r="L31" t="s">
        <v>46</v>
      </c>
      <c r="M31" t="s">
        <v>31</v>
      </c>
      <c r="N31">
        <v>1</v>
      </c>
      <c r="O31" s="4">
        <v>3970.75</v>
      </c>
      <c r="P31" s="5">
        <v>0.05</v>
      </c>
      <c r="Q31" s="4">
        <v>596.37</v>
      </c>
      <c r="R31" s="4">
        <f t="shared" si="0"/>
        <v>3772.2124999999996</v>
      </c>
      <c r="S31" s="4">
        <f>R31*_xlfn.XLOOKUP(I31,Lookup_Lists!$A$2:$A$5,Lookup_Lists!$B$2:$B$5)-Q31-IF(T31="Yes",R31*0.2,0)</f>
        <v>82.628249999999866</v>
      </c>
      <c r="T31" t="s">
        <v>32</v>
      </c>
      <c r="U31" s="6">
        <v>3.9</v>
      </c>
      <c r="V31" s="7">
        <f t="shared" si="1"/>
        <v>2</v>
      </c>
      <c r="W31">
        <f>IF(SalesDataTable[[#This Row],[Returned]]="Yes",1,0)</f>
        <v>0</v>
      </c>
    </row>
    <row r="32" spans="1:23">
      <c r="A32" t="s">
        <v>136</v>
      </c>
      <c r="B32" s="3">
        <v>45944</v>
      </c>
      <c r="C32" s="3">
        <v>45949</v>
      </c>
      <c r="D32" t="s">
        <v>137</v>
      </c>
      <c r="E32" t="s">
        <v>81</v>
      </c>
      <c r="F32" t="s">
        <v>25</v>
      </c>
      <c r="G32" t="s">
        <v>36</v>
      </c>
      <c r="H32" t="s">
        <v>138</v>
      </c>
      <c r="I32" t="s">
        <v>52</v>
      </c>
      <c r="J32" t="s">
        <v>53</v>
      </c>
      <c r="K32" t="s">
        <v>53</v>
      </c>
      <c r="L32" t="s">
        <v>64</v>
      </c>
      <c r="M32" t="s">
        <v>47</v>
      </c>
      <c r="N32">
        <v>2</v>
      </c>
      <c r="O32" s="4">
        <v>608.04</v>
      </c>
      <c r="P32" s="5">
        <v>0.15</v>
      </c>
      <c r="Q32" s="4">
        <v>256.31</v>
      </c>
      <c r="R32" s="4">
        <f t="shared" si="0"/>
        <v>1033.6679999999999</v>
      </c>
      <c r="S32" s="4">
        <f>R32*_xlfn.XLOOKUP(I32,Lookup_Lists!$A$2:$A$5,Lookup_Lists!$B$2:$B$5)-Q32-IF(T32="Yes",R32*0.2,0)</f>
        <v>12.443679999999972</v>
      </c>
      <c r="T32" t="s">
        <v>32</v>
      </c>
      <c r="U32" s="6">
        <v>4</v>
      </c>
      <c r="V32" s="7">
        <f t="shared" si="1"/>
        <v>5</v>
      </c>
      <c r="W32">
        <f>IF(SalesDataTable[[#This Row],[Returned]]="Yes",1,0)</f>
        <v>0</v>
      </c>
    </row>
    <row r="33" spans="1:23">
      <c r="A33" t="s">
        <v>139</v>
      </c>
      <c r="B33" s="3">
        <v>45883</v>
      </c>
      <c r="C33" s="3">
        <v>45884</v>
      </c>
      <c r="D33" t="s">
        <v>140</v>
      </c>
      <c r="E33" t="s">
        <v>35</v>
      </c>
      <c r="F33" t="s">
        <v>25</v>
      </c>
      <c r="G33" t="s">
        <v>43</v>
      </c>
      <c r="H33" t="s">
        <v>44</v>
      </c>
      <c r="I33" t="s">
        <v>28</v>
      </c>
      <c r="J33" t="s">
        <v>99</v>
      </c>
      <c r="K33" t="s">
        <v>99</v>
      </c>
      <c r="L33" t="s">
        <v>54</v>
      </c>
      <c r="M33" t="s">
        <v>40</v>
      </c>
      <c r="N33">
        <v>1</v>
      </c>
      <c r="O33" s="4">
        <v>3808.65</v>
      </c>
      <c r="P33" s="5">
        <v>0.1</v>
      </c>
      <c r="Q33" s="4">
        <v>173.74</v>
      </c>
      <c r="R33" s="4">
        <f t="shared" si="0"/>
        <v>3427.7850000000003</v>
      </c>
      <c r="S33" s="4">
        <f>R33*_xlfn.XLOOKUP(I33,Lookup_Lists!$A$2:$A$5,Lookup_Lists!$B$2:$B$5)-Q33-IF(T33="Yes",R33*0.2,0)</f>
        <v>443.26130000000001</v>
      </c>
      <c r="T33" t="s">
        <v>32</v>
      </c>
      <c r="U33" s="6">
        <v>4.4000000000000004</v>
      </c>
      <c r="V33" s="7">
        <f t="shared" si="1"/>
        <v>1</v>
      </c>
      <c r="W33">
        <f>IF(SalesDataTable[[#This Row],[Returned]]="Yes",1,0)</f>
        <v>0</v>
      </c>
    </row>
    <row r="34" spans="1:23">
      <c r="A34" t="s">
        <v>141</v>
      </c>
      <c r="B34" s="3">
        <v>45935</v>
      </c>
      <c r="C34" s="3">
        <v>45939</v>
      </c>
      <c r="D34" t="s">
        <v>142</v>
      </c>
      <c r="E34" t="s">
        <v>35</v>
      </c>
      <c r="F34" t="s">
        <v>25</v>
      </c>
      <c r="G34" t="s">
        <v>36</v>
      </c>
      <c r="H34" t="s">
        <v>138</v>
      </c>
      <c r="I34" t="s">
        <v>52</v>
      </c>
      <c r="J34" t="s">
        <v>114</v>
      </c>
      <c r="K34" t="s">
        <v>114</v>
      </c>
      <c r="L34" t="s">
        <v>64</v>
      </c>
      <c r="M34" t="s">
        <v>31</v>
      </c>
      <c r="N34">
        <v>2</v>
      </c>
      <c r="O34" s="4">
        <v>8376.7999999999993</v>
      </c>
      <c r="P34" s="5">
        <v>0</v>
      </c>
      <c r="Q34" s="4">
        <v>760.78</v>
      </c>
      <c r="R34" s="4">
        <f t="shared" si="0"/>
        <v>16753.599999999999</v>
      </c>
      <c r="S34" s="4">
        <f>R34*_xlfn.XLOOKUP(I34,Lookup_Lists!$A$2:$A$5,Lookup_Lists!$B$2:$B$5)-Q34-IF(T34="Yes",R34*0.2,0)</f>
        <v>3595.1559999999999</v>
      </c>
      <c r="T34" t="s">
        <v>32</v>
      </c>
      <c r="U34" s="6">
        <v>4.8</v>
      </c>
      <c r="V34" s="7">
        <f t="shared" si="1"/>
        <v>4</v>
      </c>
      <c r="W34">
        <f>IF(SalesDataTable[[#This Row],[Returned]]="Yes",1,0)</f>
        <v>0</v>
      </c>
    </row>
    <row r="35" spans="1:23">
      <c r="A35" t="s">
        <v>143</v>
      </c>
      <c r="B35" s="3">
        <v>45937</v>
      </c>
      <c r="C35" s="3">
        <v>45944</v>
      </c>
      <c r="D35" t="s">
        <v>144</v>
      </c>
      <c r="E35" t="s">
        <v>81</v>
      </c>
      <c r="F35" t="s">
        <v>25</v>
      </c>
      <c r="G35" t="s">
        <v>36</v>
      </c>
      <c r="H35" t="s">
        <v>145</v>
      </c>
      <c r="I35" t="s">
        <v>28</v>
      </c>
      <c r="J35" t="s">
        <v>111</v>
      </c>
      <c r="K35" t="s">
        <v>111</v>
      </c>
      <c r="L35" t="s">
        <v>54</v>
      </c>
      <c r="M35" t="s">
        <v>55</v>
      </c>
      <c r="N35">
        <v>3</v>
      </c>
      <c r="O35" s="4">
        <v>1343.33</v>
      </c>
      <c r="P35" s="5">
        <v>0.1</v>
      </c>
      <c r="Q35" s="4">
        <v>619.54</v>
      </c>
      <c r="R35" s="4">
        <f t="shared" si="0"/>
        <v>3626.991</v>
      </c>
      <c r="S35" s="4">
        <f>R35*_xlfn.XLOOKUP(I35,Lookup_Lists!$A$2:$A$5,Lookup_Lists!$B$2:$B$5)-Q35-IF(T35="Yes",R35*0.2,0)</f>
        <v>33.318380000000047</v>
      </c>
      <c r="T35" t="s">
        <v>32</v>
      </c>
      <c r="U35" s="6">
        <v>4.0999999999999996</v>
      </c>
      <c r="V35" s="7">
        <f t="shared" si="1"/>
        <v>7</v>
      </c>
      <c r="W35">
        <f>IF(SalesDataTable[[#This Row],[Returned]]="Yes",1,0)</f>
        <v>0</v>
      </c>
    </row>
    <row r="36" spans="1:23">
      <c r="A36" t="s">
        <v>146</v>
      </c>
      <c r="B36" s="3">
        <v>45976</v>
      </c>
      <c r="C36" s="3">
        <v>45981</v>
      </c>
      <c r="D36" t="s">
        <v>23</v>
      </c>
      <c r="E36" t="s">
        <v>81</v>
      </c>
      <c r="F36" t="s">
        <v>25</v>
      </c>
      <c r="G36" t="s">
        <v>50</v>
      </c>
      <c r="H36" t="s">
        <v>78</v>
      </c>
      <c r="I36" t="s">
        <v>38</v>
      </c>
      <c r="J36" t="s">
        <v>108</v>
      </c>
      <c r="K36" t="s">
        <v>108</v>
      </c>
      <c r="L36" t="s">
        <v>64</v>
      </c>
      <c r="M36" t="s">
        <v>40</v>
      </c>
      <c r="N36">
        <v>1</v>
      </c>
      <c r="O36" s="4">
        <v>119.25</v>
      </c>
      <c r="P36" s="5">
        <v>0</v>
      </c>
      <c r="Q36" s="4">
        <v>268.08999999999997</v>
      </c>
      <c r="R36" s="4">
        <f t="shared" si="0"/>
        <v>119.25</v>
      </c>
      <c r="S36" s="4">
        <f>R36*_xlfn.XLOOKUP(I36,Lookup_Lists!$A$2:$A$5,Lookup_Lists!$B$2:$B$5)-Q36-IF(T36="Yes",R36*0.2,0)</f>
        <v>-229.92999999999998</v>
      </c>
      <c r="T36" t="s">
        <v>32</v>
      </c>
      <c r="U36" s="6">
        <v>3.8</v>
      </c>
      <c r="V36" s="7">
        <f t="shared" si="1"/>
        <v>5</v>
      </c>
      <c r="W36">
        <f>IF(SalesDataTable[[#This Row],[Returned]]="Yes",1,0)</f>
        <v>0</v>
      </c>
    </row>
    <row r="37" spans="1:23">
      <c r="A37" t="s">
        <v>147</v>
      </c>
      <c r="B37" s="3">
        <v>45873</v>
      </c>
      <c r="C37" s="3">
        <v>45876</v>
      </c>
      <c r="D37" t="s">
        <v>148</v>
      </c>
      <c r="E37" t="s">
        <v>70</v>
      </c>
      <c r="F37" t="s">
        <v>25</v>
      </c>
      <c r="G37" t="s">
        <v>50</v>
      </c>
      <c r="H37" t="s">
        <v>71</v>
      </c>
      <c r="I37" t="s">
        <v>28</v>
      </c>
      <c r="J37" t="s">
        <v>29</v>
      </c>
      <c r="K37" t="s">
        <v>29</v>
      </c>
      <c r="L37" t="s">
        <v>64</v>
      </c>
      <c r="M37" t="s">
        <v>89</v>
      </c>
      <c r="N37">
        <v>4</v>
      </c>
      <c r="O37" s="4">
        <v>60573.94</v>
      </c>
      <c r="P37" s="5">
        <v>0</v>
      </c>
      <c r="Q37" s="4">
        <v>3726.05</v>
      </c>
      <c r="R37" s="4">
        <f t="shared" si="0"/>
        <v>242295.76</v>
      </c>
      <c r="S37" s="4">
        <f>R37*_xlfn.XLOOKUP(I37,Lookup_Lists!$A$2:$A$5,Lookup_Lists!$B$2:$B$5)-Q37-IF(T37="Yes",R37*0.2,0)</f>
        <v>39887.186799999996</v>
      </c>
      <c r="T37" t="s">
        <v>32</v>
      </c>
      <c r="U37" s="6">
        <v>4.9000000000000004</v>
      </c>
      <c r="V37" s="7">
        <f t="shared" si="1"/>
        <v>3</v>
      </c>
      <c r="W37">
        <f>IF(SalesDataTable[[#This Row],[Returned]]="Yes",1,0)</f>
        <v>0</v>
      </c>
    </row>
    <row r="38" spans="1:23">
      <c r="A38" t="s">
        <v>149</v>
      </c>
      <c r="B38" s="3">
        <v>45722</v>
      </c>
      <c r="C38" s="3">
        <v>45726</v>
      </c>
      <c r="D38" t="s">
        <v>150</v>
      </c>
      <c r="E38" t="s">
        <v>35</v>
      </c>
      <c r="F38" t="s">
        <v>25</v>
      </c>
      <c r="G38" t="s">
        <v>26</v>
      </c>
      <c r="H38" t="s">
        <v>67</v>
      </c>
      <c r="I38" t="s">
        <v>38</v>
      </c>
      <c r="J38" t="s">
        <v>72</v>
      </c>
      <c r="K38" t="s">
        <v>72</v>
      </c>
      <c r="L38" t="s">
        <v>54</v>
      </c>
      <c r="M38" t="s">
        <v>31</v>
      </c>
      <c r="N38">
        <v>7</v>
      </c>
      <c r="O38" s="4">
        <v>197.19</v>
      </c>
      <c r="P38" s="5">
        <v>0.1</v>
      </c>
      <c r="Q38" s="4">
        <v>194.05</v>
      </c>
      <c r="R38" s="4">
        <f t="shared" si="0"/>
        <v>1242.297</v>
      </c>
      <c r="S38" s="4">
        <f>R38*_xlfn.XLOOKUP(I38,Lookup_Lists!$A$2:$A$5,Lookup_Lists!$B$2:$B$5)-Q38-IF(T38="Yes",R38*0.2,0)</f>
        <v>203.48504000000003</v>
      </c>
      <c r="T38" t="s">
        <v>32</v>
      </c>
      <c r="U38" s="6">
        <v>3.4</v>
      </c>
      <c r="V38" s="7">
        <f t="shared" si="1"/>
        <v>4</v>
      </c>
      <c r="W38">
        <f>IF(SalesDataTable[[#This Row],[Returned]]="Yes",1,0)</f>
        <v>0</v>
      </c>
    </row>
    <row r="39" spans="1:23">
      <c r="A39" t="s">
        <v>151</v>
      </c>
      <c r="B39" s="3">
        <v>45952</v>
      </c>
      <c r="C39" s="3">
        <v>45958</v>
      </c>
      <c r="D39" t="s">
        <v>152</v>
      </c>
      <c r="E39" t="s">
        <v>35</v>
      </c>
      <c r="F39" t="s">
        <v>25</v>
      </c>
      <c r="G39" t="s">
        <v>26</v>
      </c>
      <c r="H39" t="s">
        <v>153</v>
      </c>
      <c r="I39" t="s">
        <v>38</v>
      </c>
      <c r="J39" t="s">
        <v>108</v>
      </c>
      <c r="K39" t="s">
        <v>108</v>
      </c>
      <c r="L39" t="s">
        <v>54</v>
      </c>
      <c r="M39" t="s">
        <v>55</v>
      </c>
      <c r="N39">
        <v>5</v>
      </c>
      <c r="O39" s="4">
        <v>127.21</v>
      </c>
      <c r="P39" s="5">
        <v>0</v>
      </c>
      <c r="Q39" s="4">
        <v>650.33000000000004</v>
      </c>
      <c r="R39" s="4">
        <f t="shared" si="0"/>
        <v>636.04999999999995</v>
      </c>
      <c r="S39" s="4">
        <f>R39*_xlfn.XLOOKUP(I39,Lookup_Lists!$A$2:$A$5,Lookup_Lists!$B$2:$B$5)-Q39-IF(T39="Yes",R39*0.2,0)</f>
        <v>-446.79400000000004</v>
      </c>
      <c r="T39" t="s">
        <v>32</v>
      </c>
      <c r="U39" s="6">
        <v>3.8</v>
      </c>
      <c r="V39" s="7">
        <f t="shared" si="1"/>
        <v>6</v>
      </c>
      <c r="W39">
        <f>IF(SalesDataTable[[#This Row],[Returned]]="Yes",1,0)</f>
        <v>0</v>
      </c>
    </row>
    <row r="40" spans="1:23">
      <c r="A40" t="s">
        <v>154</v>
      </c>
      <c r="B40" s="3">
        <v>45835</v>
      </c>
      <c r="C40" s="3">
        <v>45840</v>
      </c>
      <c r="D40" t="s">
        <v>155</v>
      </c>
      <c r="E40" t="s">
        <v>70</v>
      </c>
      <c r="F40" t="s">
        <v>25</v>
      </c>
      <c r="G40" t="s">
        <v>50</v>
      </c>
      <c r="H40" t="s">
        <v>71</v>
      </c>
      <c r="I40" t="s">
        <v>28</v>
      </c>
      <c r="J40" t="s">
        <v>111</v>
      </c>
      <c r="K40" t="s">
        <v>111</v>
      </c>
      <c r="L40" t="s">
        <v>64</v>
      </c>
      <c r="M40" t="s">
        <v>89</v>
      </c>
      <c r="N40">
        <v>2</v>
      </c>
      <c r="O40" s="4">
        <v>1186.3900000000001</v>
      </c>
      <c r="P40" s="5">
        <v>0.2</v>
      </c>
      <c r="Q40" s="4">
        <v>377.64</v>
      </c>
      <c r="R40" s="4">
        <f t="shared" si="0"/>
        <v>1898.2240000000002</v>
      </c>
      <c r="S40" s="4">
        <f>R40*_xlfn.XLOOKUP(I40,Lookup_Lists!$A$2:$A$5,Lookup_Lists!$B$2:$B$5)-Q40-IF(T40="Yes",R40*0.2,0)</f>
        <v>-35.959679999999992</v>
      </c>
      <c r="T40" t="s">
        <v>32</v>
      </c>
      <c r="U40" s="6">
        <v>4.5999999999999996</v>
      </c>
      <c r="V40" s="7">
        <f t="shared" si="1"/>
        <v>5</v>
      </c>
      <c r="W40">
        <f>IF(SalesDataTable[[#This Row],[Returned]]="Yes",1,0)</f>
        <v>0</v>
      </c>
    </row>
    <row r="41" spans="1:23">
      <c r="A41" t="s">
        <v>156</v>
      </c>
      <c r="B41" s="3">
        <v>45991</v>
      </c>
      <c r="C41" s="3">
        <v>45994</v>
      </c>
      <c r="D41" t="s">
        <v>157</v>
      </c>
      <c r="E41" t="s">
        <v>24</v>
      </c>
      <c r="F41" t="s">
        <v>25</v>
      </c>
      <c r="G41" t="s">
        <v>36</v>
      </c>
      <c r="H41" t="s">
        <v>138</v>
      </c>
      <c r="I41" t="s">
        <v>58</v>
      </c>
      <c r="J41" t="s">
        <v>59</v>
      </c>
      <c r="K41" t="s">
        <v>59</v>
      </c>
      <c r="L41" t="s">
        <v>54</v>
      </c>
      <c r="M41" t="s">
        <v>40</v>
      </c>
      <c r="N41">
        <v>4</v>
      </c>
      <c r="O41" s="4">
        <v>5888.99</v>
      </c>
      <c r="P41" s="5">
        <v>0.15</v>
      </c>
      <c r="Q41" s="4">
        <v>572.34</v>
      </c>
      <c r="R41" s="4">
        <f t="shared" si="0"/>
        <v>20022.565999999999</v>
      </c>
      <c r="S41" s="4">
        <f>R41*_xlfn.XLOOKUP(I41,Lookup_Lists!$A$2:$A$5,Lookup_Lists!$B$2:$B$5)-Q41-IF(T41="Yes",R41*0.2,0)</f>
        <v>4233.0758399999995</v>
      </c>
      <c r="T41" t="s">
        <v>32</v>
      </c>
      <c r="U41" s="6">
        <v>4.8</v>
      </c>
      <c r="V41" s="7">
        <f t="shared" si="1"/>
        <v>3</v>
      </c>
      <c r="W41">
        <f>IF(SalesDataTable[[#This Row],[Returned]]="Yes",1,0)</f>
        <v>0</v>
      </c>
    </row>
    <row r="42" spans="1:23">
      <c r="A42" t="s">
        <v>158</v>
      </c>
      <c r="B42" s="3">
        <v>45970</v>
      </c>
      <c r="C42" s="3">
        <v>45976</v>
      </c>
      <c r="D42" t="s">
        <v>159</v>
      </c>
      <c r="E42" t="s">
        <v>35</v>
      </c>
      <c r="F42" t="s">
        <v>25</v>
      </c>
      <c r="G42" t="s">
        <v>36</v>
      </c>
      <c r="H42" t="s">
        <v>37</v>
      </c>
      <c r="I42" t="s">
        <v>28</v>
      </c>
      <c r="J42" t="s">
        <v>75</v>
      </c>
      <c r="K42" t="s">
        <v>75</v>
      </c>
      <c r="L42" t="s">
        <v>46</v>
      </c>
      <c r="M42" t="s">
        <v>55</v>
      </c>
      <c r="N42">
        <v>2</v>
      </c>
      <c r="O42" s="4">
        <v>12585.06</v>
      </c>
      <c r="P42" s="5">
        <v>0.1</v>
      </c>
      <c r="Q42" s="4">
        <v>615.02</v>
      </c>
      <c r="R42" s="4">
        <f t="shared" si="0"/>
        <v>22653.108</v>
      </c>
      <c r="S42" s="4">
        <f>R42*_xlfn.XLOOKUP(I42,Lookup_Lists!$A$2:$A$5,Lookup_Lists!$B$2:$B$5)-Q42-IF(T42="Yes",R42*0.2,0)</f>
        <v>-1068.0821600000004</v>
      </c>
      <c r="T42" t="s">
        <v>119</v>
      </c>
      <c r="U42" s="6">
        <v>3.6</v>
      </c>
      <c r="V42" s="7">
        <f t="shared" si="1"/>
        <v>6</v>
      </c>
      <c r="W42">
        <f>IF(SalesDataTable[[#This Row],[Returned]]="Yes",1,0)</f>
        <v>1</v>
      </c>
    </row>
    <row r="43" spans="1:23">
      <c r="A43" t="s">
        <v>160</v>
      </c>
      <c r="B43" s="3">
        <v>45866</v>
      </c>
      <c r="C43" s="3">
        <v>45870</v>
      </c>
      <c r="D43" t="s">
        <v>161</v>
      </c>
      <c r="E43" t="s">
        <v>24</v>
      </c>
      <c r="F43" t="s">
        <v>25</v>
      </c>
      <c r="G43" t="s">
        <v>36</v>
      </c>
      <c r="H43" t="s">
        <v>138</v>
      </c>
      <c r="I43" t="s">
        <v>58</v>
      </c>
      <c r="J43" t="s">
        <v>92</v>
      </c>
      <c r="K43" t="s">
        <v>92</v>
      </c>
      <c r="L43" t="s">
        <v>54</v>
      </c>
      <c r="M43" t="s">
        <v>40</v>
      </c>
      <c r="N43">
        <v>2</v>
      </c>
      <c r="O43" s="4">
        <v>8100.43</v>
      </c>
      <c r="P43" s="5">
        <v>0.1</v>
      </c>
      <c r="Q43" s="4">
        <v>533.35</v>
      </c>
      <c r="R43" s="4">
        <f t="shared" si="0"/>
        <v>14580.774000000001</v>
      </c>
      <c r="S43" s="4">
        <f>R43*_xlfn.XLOOKUP(I43,Lookup_Lists!$A$2:$A$5,Lookup_Lists!$B$2:$B$5)-Q43-IF(T43="Yes",R43*0.2,0)</f>
        <v>2966.0357600000002</v>
      </c>
      <c r="T43" t="s">
        <v>32</v>
      </c>
      <c r="U43" s="6">
        <v>4.3</v>
      </c>
      <c r="V43" s="7">
        <f t="shared" si="1"/>
        <v>4</v>
      </c>
      <c r="W43">
        <f>IF(SalesDataTable[[#This Row],[Returned]]="Yes",1,0)</f>
        <v>0</v>
      </c>
    </row>
    <row r="44" spans="1:23">
      <c r="A44" t="s">
        <v>162</v>
      </c>
      <c r="B44" s="3">
        <v>45834</v>
      </c>
      <c r="C44" s="3">
        <v>45838</v>
      </c>
      <c r="D44" t="s">
        <v>163</v>
      </c>
      <c r="E44" t="s">
        <v>70</v>
      </c>
      <c r="F44" t="s">
        <v>25</v>
      </c>
      <c r="G44" t="s">
        <v>43</v>
      </c>
      <c r="H44" t="s">
        <v>102</v>
      </c>
      <c r="I44" t="s">
        <v>28</v>
      </c>
      <c r="J44" t="s">
        <v>123</v>
      </c>
      <c r="K44" t="s">
        <v>123</v>
      </c>
      <c r="L44" t="s">
        <v>54</v>
      </c>
      <c r="M44" t="s">
        <v>40</v>
      </c>
      <c r="N44">
        <v>2</v>
      </c>
      <c r="O44" s="4">
        <v>1985.16</v>
      </c>
      <c r="P44" s="5">
        <v>0.2</v>
      </c>
      <c r="Q44" s="4">
        <v>532.95000000000005</v>
      </c>
      <c r="R44" s="4">
        <f t="shared" si="0"/>
        <v>3176.2560000000003</v>
      </c>
      <c r="S44" s="4">
        <f>R44*_xlfn.XLOOKUP(I44,Lookup_Lists!$A$2:$A$5,Lookup_Lists!$B$2:$B$5)-Q44-IF(T44="Yes",R44*0.2,0)</f>
        <v>38.776079999999979</v>
      </c>
      <c r="T44" t="s">
        <v>32</v>
      </c>
      <c r="U44" s="6">
        <v>4.3</v>
      </c>
      <c r="V44" s="7">
        <f t="shared" si="1"/>
        <v>4</v>
      </c>
      <c r="W44">
        <f>IF(SalesDataTable[[#This Row],[Returned]]="Yes",1,0)</f>
        <v>0</v>
      </c>
    </row>
    <row r="45" spans="1:23">
      <c r="A45" t="s">
        <v>164</v>
      </c>
      <c r="B45" s="3">
        <v>45959</v>
      </c>
      <c r="C45" s="3">
        <v>45966</v>
      </c>
      <c r="D45" t="s">
        <v>165</v>
      </c>
      <c r="E45" t="s">
        <v>70</v>
      </c>
      <c r="F45" t="s">
        <v>25</v>
      </c>
      <c r="G45" t="s">
        <v>50</v>
      </c>
      <c r="H45" t="s">
        <v>51</v>
      </c>
      <c r="I45" t="s">
        <v>28</v>
      </c>
      <c r="J45" t="s">
        <v>123</v>
      </c>
      <c r="K45" t="s">
        <v>123</v>
      </c>
      <c r="L45" t="s">
        <v>54</v>
      </c>
      <c r="M45" t="s">
        <v>89</v>
      </c>
      <c r="N45">
        <v>3</v>
      </c>
      <c r="O45" s="4">
        <v>1652.35</v>
      </c>
      <c r="P45" s="5">
        <v>0</v>
      </c>
      <c r="Q45" s="4">
        <v>185.44</v>
      </c>
      <c r="R45" s="4">
        <f t="shared" si="0"/>
        <v>4957.0499999999993</v>
      </c>
      <c r="S45" s="4">
        <f>R45*_xlfn.XLOOKUP(I45,Lookup_Lists!$A$2:$A$5,Lookup_Lists!$B$2:$B$5)-Q45-IF(T45="Yes",R45*0.2,0)</f>
        <v>706.82899999999995</v>
      </c>
      <c r="T45" t="s">
        <v>32</v>
      </c>
      <c r="U45" s="6">
        <v>3.9</v>
      </c>
      <c r="V45" s="7">
        <f t="shared" si="1"/>
        <v>7</v>
      </c>
      <c r="W45">
        <f>IF(SalesDataTable[[#This Row],[Returned]]="Yes",1,0)</f>
        <v>0</v>
      </c>
    </row>
    <row r="46" spans="1:23">
      <c r="A46" t="s">
        <v>166</v>
      </c>
      <c r="B46" s="3">
        <v>45722</v>
      </c>
      <c r="C46" s="3">
        <v>45728</v>
      </c>
      <c r="D46" t="s">
        <v>167</v>
      </c>
      <c r="E46" t="s">
        <v>70</v>
      </c>
      <c r="F46" t="s">
        <v>25</v>
      </c>
      <c r="G46" t="s">
        <v>50</v>
      </c>
      <c r="H46" t="s">
        <v>71</v>
      </c>
      <c r="I46" t="s">
        <v>58</v>
      </c>
      <c r="J46" t="s">
        <v>88</v>
      </c>
      <c r="K46" t="s">
        <v>88</v>
      </c>
      <c r="L46" t="s">
        <v>54</v>
      </c>
      <c r="M46" t="s">
        <v>89</v>
      </c>
      <c r="N46">
        <v>1</v>
      </c>
      <c r="O46" s="4">
        <v>8197.32</v>
      </c>
      <c r="P46" s="5">
        <v>0</v>
      </c>
      <c r="Q46" s="4">
        <v>240.21</v>
      </c>
      <c r="R46" s="4">
        <f t="shared" si="0"/>
        <v>8197.32</v>
      </c>
      <c r="S46" s="4">
        <f>R46*_xlfn.XLOOKUP(I46,Lookup_Lists!$A$2:$A$5,Lookup_Lists!$B$2:$B$5)-Q46-IF(T46="Yes",R46*0.2,0)</f>
        <v>1727.1467999999998</v>
      </c>
      <c r="T46" t="s">
        <v>32</v>
      </c>
      <c r="U46" s="6">
        <v>3.6</v>
      </c>
      <c r="V46" s="7">
        <f t="shared" si="1"/>
        <v>6</v>
      </c>
      <c r="W46">
        <f>IF(SalesDataTable[[#This Row],[Returned]]="Yes",1,0)</f>
        <v>0</v>
      </c>
    </row>
    <row r="47" spans="1:23">
      <c r="A47" t="s">
        <v>168</v>
      </c>
      <c r="B47" s="3">
        <v>45735</v>
      </c>
      <c r="C47" s="3">
        <v>45737</v>
      </c>
      <c r="D47" t="s">
        <v>169</v>
      </c>
      <c r="E47" t="s">
        <v>70</v>
      </c>
      <c r="F47" t="s">
        <v>25</v>
      </c>
      <c r="G47" t="s">
        <v>43</v>
      </c>
      <c r="H47" t="s">
        <v>122</v>
      </c>
      <c r="I47" t="s">
        <v>52</v>
      </c>
      <c r="J47" t="s">
        <v>114</v>
      </c>
      <c r="K47" t="s">
        <v>114</v>
      </c>
      <c r="L47" t="s">
        <v>46</v>
      </c>
      <c r="M47" t="s">
        <v>47</v>
      </c>
      <c r="N47">
        <v>3</v>
      </c>
      <c r="O47" s="4">
        <v>10613.61</v>
      </c>
      <c r="P47" s="5">
        <v>0</v>
      </c>
      <c r="Q47" s="4">
        <v>855.48</v>
      </c>
      <c r="R47" s="4">
        <f t="shared" si="0"/>
        <v>31840.83</v>
      </c>
      <c r="S47" s="4">
        <f>R47*_xlfn.XLOOKUP(I47,Lookup_Lists!$A$2:$A$5,Lookup_Lists!$B$2:$B$5)-Q47-IF(T47="Yes",R47*0.2,0)</f>
        <v>7423.1358000000018</v>
      </c>
      <c r="T47" t="s">
        <v>32</v>
      </c>
      <c r="U47" s="6">
        <v>4</v>
      </c>
      <c r="V47" s="7">
        <f t="shared" si="1"/>
        <v>2</v>
      </c>
      <c r="W47">
        <f>IF(SalesDataTable[[#This Row],[Returned]]="Yes",1,0)</f>
        <v>0</v>
      </c>
    </row>
    <row r="48" spans="1:23">
      <c r="A48" t="s">
        <v>170</v>
      </c>
      <c r="B48" s="3">
        <v>45884</v>
      </c>
      <c r="C48" s="3">
        <v>45887</v>
      </c>
      <c r="D48" t="s">
        <v>171</v>
      </c>
      <c r="E48" t="s">
        <v>81</v>
      </c>
      <c r="F48" t="s">
        <v>25</v>
      </c>
      <c r="G48" t="s">
        <v>43</v>
      </c>
      <c r="H48" t="s">
        <v>122</v>
      </c>
      <c r="I48" t="s">
        <v>38</v>
      </c>
      <c r="J48" t="s">
        <v>39</v>
      </c>
      <c r="K48" t="s">
        <v>39</v>
      </c>
      <c r="L48" t="s">
        <v>60</v>
      </c>
      <c r="M48" t="s">
        <v>40</v>
      </c>
      <c r="N48">
        <v>3</v>
      </c>
      <c r="O48" s="4">
        <v>402.95</v>
      </c>
      <c r="P48" s="5">
        <v>0</v>
      </c>
      <c r="Q48" s="4">
        <v>234.86</v>
      </c>
      <c r="R48" s="4">
        <f t="shared" si="0"/>
        <v>1208.8499999999999</v>
      </c>
      <c r="S48" s="4">
        <f>R48*_xlfn.XLOOKUP(I48,Lookup_Lists!$A$2:$A$5,Lookup_Lists!$B$2:$B$5)-Q48-IF(T48="Yes",R48*0.2,0)</f>
        <v>151.97199999999998</v>
      </c>
      <c r="T48" t="s">
        <v>32</v>
      </c>
      <c r="U48" s="6">
        <v>4.5999999999999996</v>
      </c>
      <c r="V48" s="7">
        <f t="shared" si="1"/>
        <v>3</v>
      </c>
      <c r="W48">
        <f>IF(SalesDataTable[[#This Row],[Returned]]="Yes",1,0)</f>
        <v>0</v>
      </c>
    </row>
    <row r="49" spans="1:23">
      <c r="A49" t="s">
        <v>172</v>
      </c>
      <c r="B49" s="3">
        <v>46010</v>
      </c>
      <c r="C49" s="3">
        <v>46015</v>
      </c>
      <c r="D49" t="s">
        <v>173</v>
      </c>
      <c r="E49" t="s">
        <v>35</v>
      </c>
      <c r="F49" t="s">
        <v>25</v>
      </c>
      <c r="G49" t="s">
        <v>26</v>
      </c>
      <c r="H49" t="s">
        <v>82</v>
      </c>
      <c r="I49" t="s">
        <v>38</v>
      </c>
      <c r="J49" t="s">
        <v>45</v>
      </c>
      <c r="K49" t="s">
        <v>45</v>
      </c>
      <c r="L49" t="s">
        <v>54</v>
      </c>
      <c r="M49" t="s">
        <v>40</v>
      </c>
      <c r="N49">
        <v>6</v>
      </c>
      <c r="O49" s="4">
        <v>290.25</v>
      </c>
      <c r="P49" s="5">
        <v>0.05</v>
      </c>
      <c r="Q49" s="4">
        <v>483</v>
      </c>
      <c r="R49" s="4">
        <f t="shared" si="0"/>
        <v>1654.425</v>
      </c>
      <c r="S49" s="4">
        <f>R49*_xlfn.XLOOKUP(I49,Lookup_Lists!$A$2:$A$5,Lookup_Lists!$B$2:$B$5)-Q49-IF(T49="Yes",R49*0.2,0)</f>
        <v>46.41599999999994</v>
      </c>
      <c r="T49" t="s">
        <v>32</v>
      </c>
      <c r="U49" s="6">
        <v>4.7</v>
      </c>
      <c r="V49" s="7">
        <f t="shared" si="1"/>
        <v>5</v>
      </c>
      <c r="W49">
        <f>IF(SalesDataTable[[#This Row],[Returned]]="Yes",1,0)</f>
        <v>0</v>
      </c>
    </row>
    <row r="50" spans="1:23">
      <c r="A50" t="s">
        <v>174</v>
      </c>
      <c r="B50" s="3">
        <v>45875</v>
      </c>
      <c r="C50" s="3">
        <v>45876</v>
      </c>
      <c r="D50" t="s">
        <v>34</v>
      </c>
      <c r="E50" t="s">
        <v>35</v>
      </c>
      <c r="F50" t="s">
        <v>25</v>
      </c>
      <c r="G50" t="s">
        <v>26</v>
      </c>
      <c r="H50" t="s">
        <v>82</v>
      </c>
      <c r="I50" t="s">
        <v>52</v>
      </c>
      <c r="J50" t="s">
        <v>114</v>
      </c>
      <c r="K50" t="s">
        <v>114</v>
      </c>
      <c r="L50" t="s">
        <v>54</v>
      </c>
      <c r="M50" t="s">
        <v>55</v>
      </c>
      <c r="N50">
        <v>3</v>
      </c>
      <c r="O50" s="4">
        <v>10709.08</v>
      </c>
      <c r="P50" s="5">
        <v>0.2</v>
      </c>
      <c r="Q50" s="4">
        <v>812.23</v>
      </c>
      <c r="R50" s="4">
        <f t="shared" si="0"/>
        <v>25701.792000000001</v>
      </c>
      <c r="S50" s="4">
        <f>R50*_xlfn.XLOOKUP(I50,Lookup_Lists!$A$2:$A$5,Lookup_Lists!$B$2:$B$5)-Q50-IF(T50="Yes",R50*0.2,0)</f>
        <v>5870.235920000001</v>
      </c>
      <c r="T50" t="s">
        <v>32</v>
      </c>
      <c r="U50" s="6">
        <v>4.2</v>
      </c>
      <c r="V50" s="7">
        <f t="shared" si="1"/>
        <v>1</v>
      </c>
      <c r="W50">
        <f>IF(SalesDataTable[[#This Row],[Returned]]="Yes",1,0)</f>
        <v>0</v>
      </c>
    </row>
    <row r="51" spans="1:23">
      <c r="A51" t="s">
        <v>175</v>
      </c>
      <c r="B51" s="3">
        <v>45797</v>
      </c>
      <c r="C51" s="3">
        <v>45802</v>
      </c>
      <c r="D51" t="s">
        <v>176</v>
      </c>
      <c r="E51" t="s">
        <v>70</v>
      </c>
      <c r="F51" t="s">
        <v>25</v>
      </c>
      <c r="G51" t="s">
        <v>50</v>
      </c>
      <c r="H51" t="s">
        <v>78</v>
      </c>
      <c r="I51" t="s">
        <v>52</v>
      </c>
      <c r="J51" t="s">
        <v>105</v>
      </c>
      <c r="K51" t="s">
        <v>105</v>
      </c>
      <c r="L51" t="s">
        <v>30</v>
      </c>
      <c r="M51" t="s">
        <v>89</v>
      </c>
      <c r="N51">
        <v>1</v>
      </c>
      <c r="O51" s="4">
        <v>1519.15</v>
      </c>
      <c r="P51" s="5">
        <v>0.15</v>
      </c>
      <c r="Q51" s="4">
        <v>430.65</v>
      </c>
      <c r="R51" s="4">
        <f t="shared" si="0"/>
        <v>1291.2775000000001</v>
      </c>
      <c r="S51" s="4">
        <f>R51*_xlfn.XLOOKUP(I51,Lookup_Lists!$A$2:$A$5,Lookup_Lists!$B$2:$B$5)-Q51-IF(T51="Yes",R51*0.2,0)</f>
        <v>-94.91784999999993</v>
      </c>
      <c r="T51" t="s">
        <v>32</v>
      </c>
      <c r="U51" s="6">
        <v>4.8</v>
      </c>
      <c r="V51" s="7">
        <f t="shared" si="1"/>
        <v>5</v>
      </c>
      <c r="W51">
        <f>IF(SalesDataTable[[#This Row],[Returned]]="Yes",1,0)</f>
        <v>0</v>
      </c>
    </row>
    <row r="52" spans="1:23">
      <c r="A52" t="s">
        <v>177</v>
      </c>
      <c r="B52" s="3">
        <v>46002</v>
      </c>
      <c r="C52" s="3">
        <v>46009</v>
      </c>
      <c r="D52" t="s">
        <v>178</v>
      </c>
      <c r="E52" t="s">
        <v>70</v>
      </c>
      <c r="F52" t="s">
        <v>25</v>
      </c>
      <c r="G52" t="s">
        <v>26</v>
      </c>
      <c r="H52" t="s">
        <v>67</v>
      </c>
      <c r="I52" t="s">
        <v>58</v>
      </c>
      <c r="J52" t="s">
        <v>88</v>
      </c>
      <c r="K52" t="s">
        <v>88</v>
      </c>
      <c r="L52" t="s">
        <v>60</v>
      </c>
      <c r="M52" t="s">
        <v>40</v>
      </c>
      <c r="N52">
        <v>8</v>
      </c>
      <c r="O52" s="4">
        <v>7277.51</v>
      </c>
      <c r="P52" s="5">
        <v>0.15</v>
      </c>
      <c r="Q52" s="4">
        <v>1505.66</v>
      </c>
      <c r="R52" s="4">
        <f t="shared" si="0"/>
        <v>49487.067999999999</v>
      </c>
      <c r="S52" s="4">
        <f>R52*_xlfn.XLOOKUP(I52,Lookup_Lists!$A$2:$A$5,Lookup_Lists!$B$2:$B$5)-Q52-IF(T52="Yes",R52*0.2,0)</f>
        <v>10371.23632</v>
      </c>
      <c r="T52" t="s">
        <v>32</v>
      </c>
      <c r="U52" s="6">
        <v>3.9</v>
      </c>
      <c r="V52" s="7">
        <f t="shared" si="1"/>
        <v>7</v>
      </c>
      <c r="W52">
        <f>IF(SalesDataTable[[#This Row],[Returned]]="Yes",1,0)</f>
        <v>0</v>
      </c>
    </row>
    <row r="53" spans="1:23">
      <c r="A53" t="s">
        <v>179</v>
      </c>
      <c r="B53" s="3">
        <v>45711</v>
      </c>
      <c r="C53" s="3">
        <v>45718</v>
      </c>
      <c r="D53" t="s">
        <v>180</v>
      </c>
      <c r="E53" t="s">
        <v>35</v>
      </c>
      <c r="F53" t="s">
        <v>25</v>
      </c>
      <c r="G53" t="s">
        <v>36</v>
      </c>
      <c r="H53" t="s">
        <v>37</v>
      </c>
      <c r="I53" t="s">
        <v>38</v>
      </c>
      <c r="J53" t="s">
        <v>45</v>
      </c>
      <c r="K53" t="s">
        <v>45</v>
      </c>
      <c r="L53" t="s">
        <v>64</v>
      </c>
      <c r="M53" t="s">
        <v>31</v>
      </c>
      <c r="N53">
        <v>1</v>
      </c>
      <c r="O53" s="4">
        <v>235.67</v>
      </c>
      <c r="P53" s="5">
        <v>0</v>
      </c>
      <c r="Q53" s="4">
        <v>149.61000000000001</v>
      </c>
      <c r="R53" s="4">
        <f t="shared" si="0"/>
        <v>235.67</v>
      </c>
      <c r="S53" s="4">
        <f>R53*_xlfn.XLOOKUP(I53,Lookup_Lists!$A$2:$A$5,Lookup_Lists!$B$2:$B$5)-Q53-IF(T53="Yes",R53*0.2,0)</f>
        <v>-74.195600000000013</v>
      </c>
      <c r="T53" t="s">
        <v>32</v>
      </c>
      <c r="U53" s="6">
        <v>4.5</v>
      </c>
      <c r="V53" s="7">
        <f t="shared" si="1"/>
        <v>7</v>
      </c>
      <c r="W53">
        <f>IF(SalesDataTable[[#This Row],[Returned]]="Yes",1,0)</f>
        <v>0</v>
      </c>
    </row>
    <row r="54" spans="1:23">
      <c r="A54" t="s">
        <v>181</v>
      </c>
      <c r="B54" s="3">
        <v>45921</v>
      </c>
      <c r="C54" s="3">
        <v>45928</v>
      </c>
      <c r="D54" t="s">
        <v>110</v>
      </c>
      <c r="E54" t="s">
        <v>70</v>
      </c>
      <c r="F54" t="s">
        <v>25</v>
      </c>
      <c r="G54" t="s">
        <v>36</v>
      </c>
      <c r="H54" t="s">
        <v>138</v>
      </c>
      <c r="I54" t="s">
        <v>28</v>
      </c>
      <c r="J54" t="s">
        <v>99</v>
      </c>
      <c r="K54" t="s">
        <v>99</v>
      </c>
      <c r="L54" t="s">
        <v>46</v>
      </c>
      <c r="M54" t="s">
        <v>47</v>
      </c>
      <c r="N54">
        <v>3</v>
      </c>
      <c r="O54" s="4">
        <v>3877.99</v>
      </c>
      <c r="P54" s="5">
        <v>0</v>
      </c>
      <c r="Q54" s="4">
        <v>567.55999999999995</v>
      </c>
      <c r="R54" s="4">
        <f t="shared" si="0"/>
        <v>11633.97</v>
      </c>
      <c r="S54" s="4">
        <f>R54*_xlfn.XLOOKUP(I54,Lookup_Lists!$A$2:$A$5,Lookup_Lists!$B$2:$B$5)-Q54-IF(T54="Yes",R54*0.2,0)</f>
        <v>1526.5545999999999</v>
      </c>
      <c r="T54" t="s">
        <v>32</v>
      </c>
      <c r="U54" s="6">
        <v>3.6</v>
      </c>
      <c r="V54" s="7">
        <f t="shared" si="1"/>
        <v>7</v>
      </c>
      <c r="W54">
        <f>IF(SalesDataTable[[#This Row],[Returned]]="Yes",1,0)</f>
        <v>0</v>
      </c>
    </row>
    <row r="55" spans="1:23">
      <c r="A55" t="s">
        <v>182</v>
      </c>
      <c r="B55" s="3">
        <v>45720</v>
      </c>
      <c r="C55" s="3">
        <v>45721</v>
      </c>
      <c r="D55" t="s">
        <v>183</v>
      </c>
      <c r="E55" t="s">
        <v>70</v>
      </c>
      <c r="F55" t="s">
        <v>25</v>
      </c>
      <c r="G55" t="s">
        <v>26</v>
      </c>
      <c r="H55" t="s">
        <v>27</v>
      </c>
      <c r="I55" t="s">
        <v>28</v>
      </c>
      <c r="J55" t="s">
        <v>29</v>
      </c>
      <c r="K55" t="s">
        <v>29</v>
      </c>
      <c r="L55" t="s">
        <v>46</v>
      </c>
      <c r="M55" t="s">
        <v>89</v>
      </c>
      <c r="N55">
        <v>1</v>
      </c>
      <c r="O55" s="4">
        <v>58885.93</v>
      </c>
      <c r="P55" s="5">
        <v>0</v>
      </c>
      <c r="Q55" s="4">
        <v>1503.11</v>
      </c>
      <c r="R55" s="4">
        <f t="shared" si="0"/>
        <v>58885.93</v>
      </c>
      <c r="S55" s="4">
        <f>R55*_xlfn.XLOOKUP(I55,Lookup_Lists!$A$2:$A$5,Lookup_Lists!$B$2:$B$5)-Q55-IF(T55="Yes",R55*0.2,0)</f>
        <v>9096.357399999999</v>
      </c>
      <c r="T55" t="s">
        <v>32</v>
      </c>
      <c r="U55" s="6">
        <v>4.5999999999999996</v>
      </c>
      <c r="V55" s="7">
        <f t="shared" si="1"/>
        <v>1</v>
      </c>
      <c r="W55">
        <f>IF(SalesDataTable[[#This Row],[Returned]]="Yes",1,0)</f>
        <v>0</v>
      </c>
    </row>
    <row r="56" spans="1:23">
      <c r="A56" t="s">
        <v>184</v>
      </c>
      <c r="B56" s="3">
        <v>45736</v>
      </c>
      <c r="C56" s="3">
        <v>45740</v>
      </c>
      <c r="D56" t="s">
        <v>185</v>
      </c>
      <c r="E56" t="s">
        <v>35</v>
      </c>
      <c r="F56" t="s">
        <v>25</v>
      </c>
      <c r="G56" t="s">
        <v>43</v>
      </c>
      <c r="H56" t="s">
        <v>102</v>
      </c>
      <c r="I56" t="s">
        <v>52</v>
      </c>
      <c r="J56" t="s">
        <v>53</v>
      </c>
      <c r="K56" t="s">
        <v>53</v>
      </c>
      <c r="L56" t="s">
        <v>54</v>
      </c>
      <c r="M56" t="s">
        <v>31</v>
      </c>
      <c r="N56">
        <v>1</v>
      </c>
      <c r="O56" s="4">
        <v>515.45000000000005</v>
      </c>
      <c r="P56" s="5">
        <v>0.05</v>
      </c>
      <c r="Q56" s="4">
        <v>513.12</v>
      </c>
      <c r="R56" s="4">
        <f t="shared" si="0"/>
        <v>489.67750000000001</v>
      </c>
      <c r="S56" s="4">
        <f>R56*_xlfn.XLOOKUP(I56,Lookup_Lists!$A$2:$A$5,Lookup_Lists!$B$2:$B$5)-Q56-IF(T56="Yes",R56*0.2,0)</f>
        <v>-385.80385000000001</v>
      </c>
      <c r="T56" t="s">
        <v>32</v>
      </c>
      <c r="U56" s="6">
        <v>5</v>
      </c>
      <c r="V56" s="7">
        <f t="shared" si="1"/>
        <v>4</v>
      </c>
      <c r="W56">
        <f>IF(SalesDataTable[[#This Row],[Returned]]="Yes",1,0)</f>
        <v>0</v>
      </c>
    </row>
    <row r="57" spans="1:23">
      <c r="A57" t="s">
        <v>186</v>
      </c>
      <c r="B57" s="3">
        <v>45870</v>
      </c>
      <c r="C57" s="3">
        <v>45873</v>
      </c>
      <c r="D57" t="s">
        <v>187</v>
      </c>
      <c r="E57" t="s">
        <v>70</v>
      </c>
      <c r="F57" t="s">
        <v>25</v>
      </c>
      <c r="G57" t="s">
        <v>50</v>
      </c>
      <c r="H57" t="s">
        <v>71</v>
      </c>
      <c r="I57" t="s">
        <v>38</v>
      </c>
      <c r="J57" t="s">
        <v>130</v>
      </c>
      <c r="K57" t="s">
        <v>130</v>
      </c>
      <c r="L57" t="s">
        <v>46</v>
      </c>
      <c r="M57" t="s">
        <v>47</v>
      </c>
      <c r="N57">
        <v>5</v>
      </c>
      <c r="O57" s="4">
        <v>709.77</v>
      </c>
      <c r="P57" s="5">
        <v>0.05</v>
      </c>
      <c r="Q57" s="4">
        <v>322.72000000000003</v>
      </c>
      <c r="R57" s="4">
        <f t="shared" si="0"/>
        <v>3371.4074999999998</v>
      </c>
      <c r="S57" s="4">
        <f>R57*_xlfn.XLOOKUP(I57,Lookup_Lists!$A$2:$A$5,Lookup_Lists!$B$2:$B$5)-Q57-IF(T57="Yes",R57*0.2,0)</f>
        <v>756.13040000000001</v>
      </c>
      <c r="T57" t="s">
        <v>32</v>
      </c>
      <c r="U57" s="6">
        <v>4.7</v>
      </c>
      <c r="V57" s="7">
        <f t="shared" si="1"/>
        <v>3</v>
      </c>
      <c r="W57">
        <f>IF(SalesDataTable[[#This Row],[Returned]]="Yes",1,0)</f>
        <v>0</v>
      </c>
    </row>
    <row r="58" spans="1:23">
      <c r="A58" t="s">
        <v>188</v>
      </c>
      <c r="B58" s="3">
        <v>45851</v>
      </c>
      <c r="C58" s="3">
        <v>45855</v>
      </c>
      <c r="D58" t="s">
        <v>189</v>
      </c>
      <c r="E58" t="s">
        <v>24</v>
      </c>
      <c r="F58" t="s">
        <v>25</v>
      </c>
      <c r="G58" t="s">
        <v>26</v>
      </c>
      <c r="H58" t="s">
        <v>67</v>
      </c>
      <c r="I58" t="s">
        <v>28</v>
      </c>
      <c r="J58" t="s">
        <v>111</v>
      </c>
      <c r="K58" t="s">
        <v>111</v>
      </c>
      <c r="L58" t="s">
        <v>54</v>
      </c>
      <c r="M58" t="s">
        <v>47</v>
      </c>
      <c r="N58">
        <v>3</v>
      </c>
      <c r="O58" s="4">
        <v>1348.11</v>
      </c>
      <c r="P58" s="5">
        <v>0</v>
      </c>
      <c r="Q58" s="4">
        <v>518.97</v>
      </c>
      <c r="R58" s="4">
        <f t="shared" si="0"/>
        <v>4044.33</v>
      </c>
      <c r="S58" s="4">
        <f>R58*_xlfn.XLOOKUP(I58,Lookup_Lists!$A$2:$A$5,Lookup_Lists!$B$2:$B$5)-Q58-IF(T58="Yes",R58*0.2,0)</f>
        <v>209.00939999999991</v>
      </c>
      <c r="T58" t="s">
        <v>32</v>
      </c>
      <c r="U58" s="6">
        <v>4.9000000000000004</v>
      </c>
      <c r="V58" s="7">
        <f t="shared" si="1"/>
        <v>4</v>
      </c>
      <c r="W58">
        <f>IF(SalesDataTable[[#This Row],[Returned]]="Yes",1,0)</f>
        <v>0</v>
      </c>
    </row>
    <row r="59" spans="1:23">
      <c r="A59" t="s">
        <v>190</v>
      </c>
      <c r="B59" s="3">
        <v>45676</v>
      </c>
      <c r="C59" s="3">
        <v>45678</v>
      </c>
      <c r="D59" t="s">
        <v>191</v>
      </c>
      <c r="E59" t="s">
        <v>81</v>
      </c>
      <c r="F59" t="s">
        <v>25</v>
      </c>
      <c r="G59" t="s">
        <v>43</v>
      </c>
      <c r="H59" t="s">
        <v>122</v>
      </c>
      <c r="I59" t="s">
        <v>52</v>
      </c>
      <c r="J59" t="s">
        <v>53</v>
      </c>
      <c r="K59" t="s">
        <v>53</v>
      </c>
      <c r="L59" t="s">
        <v>54</v>
      </c>
      <c r="M59" t="s">
        <v>47</v>
      </c>
      <c r="N59">
        <v>1</v>
      </c>
      <c r="O59" s="4">
        <v>507.79</v>
      </c>
      <c r="P59" s="5">
        <v>0.15</v>
      </c>
      <c r="Q59" s="4">
        <v>640.49</v>
      </c>
      <c r="R59" s="4">
        <f t="shared" si="0"/>
        <v>431.62150000000003</v>
      </c>
      <c r="S59" s="4">
        <f>R59*_xlfn.XLOOKUP(I59,Lookup_Lists!$A$2:$A$5,Lookup_Lists!$B$2:$B$5)-Q59-IF(T59="Yes",R59*0.2,0)</f>
        <v>-528.26841000000002</v>
      </c>
      <c r="T59" t="s">
        <v>32</v>
      </c>
      <c r="U59" s="6">
        <v>4.3</v>
      </c>
      <c r="V59" s="7">
        <f t="shared" si="1"/>
        <v>2</v>
      </c>
      <c r="W59">
        <f>IF(SalesDataTable[[#This Row],[Returned]]="Yes",1,0)</f>
        <v>0</v>
      </c>
    </row>
    <row r="60" spans="1:23">
      <c r="A60" t="s">
        <v>192</v>
      </c>
      <c r="B60" s="3">
        <v>45793</v>
      </c>
      <c r="C60" s="3">
        <v>45796</v>
      </c>
      <c r="D60" t="s">
        <v>193</v>
      </c>
      <c r="E60" t="s">
        <v>70</v>
      </c>
      <c r="F60" t="s">
        <v>25</v>
      </c>
      <c r="G60" t="s">
        <v>50</v>
      </c>
      <c r="H60" t="s">
        <v>71</v>
      </c>
      <c r="I60" t="s">
        <v>52</v>
      </c>
      <c r="J60" t="s">
        <v>53</v>
      </c>
      <c r="K60" t="s">
        <v>53</v>
      </c>
      <c r="L60" t="s">
        <v>60</v>
      </c>
      <c r="M60" t="s">
        <v>47</v>
      </c>
      <c r="N60">
        <v>5</v>
      </c>
      <c r="O60" s="4">
        <v>489.92</v>
      </c>
      <c r="P60" s="5">
        <v>0</v>
      </c>
      <c r="Q60" s="4">
        <v>476.51</v>
      </c>
      <c r="R60" s="4">
        <f t="shared" si="0"/>
        <v>2449.6</v>
      </c>
      <c r="S60" s="4">
        <f>R60*_xlfn.XLOOKUP(I60,Lookup_Lists!$A$2:$A$5,Lookup_Lists!$B$2:$B$5)-Q60-IF(T60="Yes",R60*0.2,0)</f>
        <v>160.38599999999997</v>
      </c>
      <c r="T60" t="s">
        <v>32</v>
      </c>
      <c r="U60" s="6">
        <v>5</v>
      </c>
      <c r="V60" s="7">
        <f t="shared" si="1"/>
        <v>3</v>
      </c>
      <c r="W60">
        <f>IF(SalesDataTable[[#This Row],[Returned]]="Yes",1,0)</f>
        <v>0</v>
      </c>
    </row>
    <row r="61" spans="1:23">
      <c r="A61" t="s">
        <v>194</v>
      </c>
      <c r="B61" s="3">
        <v>45880</v>
      </c>
      <c r="C61" s="3">
        <v>45881</v>
      </c>
      <c r="D61" t="s">
        <v>195</v>
      </c>
      <c r="E61" t="s">
        <v>70</v>
      </c>
      <c r="F61" t="s">
        <v>25</v>
      </c>
      <c r="G61" t="s">
        <v>50</v>
      </c>
      <c r="H61" t="s">
        <v>87</v>
      </c>
      <c r="I61" t="s">
        <v>28</v>
      </c>
      <c r="J61" t="s">
        <v>123</v>
      </c>
      <c r="K61" t="s">
        <v>123</v>
      </c>
      <c r="L61" t="s">
        <v>60</v>
      </c>
      <c r="M61" t="s">
        <v>89</v>
      </c>
      <c r="N61">
        <v>2</v>
      </c>
      <c r="O61" s="4">
        <v>1614.3</v>
      </c>
      <c r="P61" s="5">
        <v>0</v>
      </c>
      <c r="Q61" s="4">
        <v>373.92</v>
      </c>
      <c r="R61" s="4">
        <f t="shared" si="0"/>
        <v>3228.6</v>
      </c>
      <c r="S61" s="4">
        <f>R61*_xlfn.XLOOKUP(I61,Lookup_Lists!$A$2:$A$5,Lookup_Lists!$B$2:$B$5)-Q61-IF(T61="Yes",R61*0.2,0)</f>
        <v>207.22799999999989</v>
      </c>
      <c r="T61" t="s">
        <v>32</v>
      </c>
      <c r="U61" s="6">
        <v>4.3</v>
      </c>
      <c r="V61" s="7">
        <f t="shared" si="1"/>
        <v>1</v>
      </c>
      <c r="W61">
        <f>IF(SalesDataTable[[#This Row],[Returned]]="Yes",1,0)</f>
        <v>0</v>
      </c>
    </row>
    <row r="62" spans="1:23">
      <c r="A62" t="s">
        <v>196</v>
      </c>
      <c r="B62" s="3">
        <v>45868</v>
      </c>
      <c r="C62" s="3">
        <v>45873</v>
      </c>
      <c r="D62" t="s">
        <v>197</v>
      </c>
      <c r="E62" t="s">
        <v>24</v>
      </c>
      <c r="F62" t="s">
        <v>25</v>
      </c>
      <c r="G62" t="s">
        <v>26</v>
      </c>
      <c r="H62" t="s">
        <v>27</v>
      </c>
      <c r="I62" t="s">
        <v>28</v>
      </c>
      <c r="J62" t="s">
        <v>111</v>
      </c>
      <c r="K62" t="s">
        <v>111</v>
      </c>
      <c r="L62" t="s">
        <v>30</v>
      </c>
      <c r="M62" t="s">
        <v>40</v>
      </c>
      <c r="N62">
        <v>2</v>
      </c>
      <c r="O62" s="4">
        <v>1265.94</v>
      </c>
      <c r="P62" s="5">
        <v>0</v>
      </c>
      <c r="Q62" s="4">
        <v>481.58</v>
      </c>
      <c r="R62" s="4">
        <f t="shared" si="0"/>
        <v>2531.88</v>
      </c>
      <c r="S62" s="4">
        <f>R62*_xlfn.XLOOKUP(I62,Lookup_Lists!$A$2:$A$5,Lookup_Lists!$B$2:$B$5)-Q62-IF(T62="Yes",R62*0.2,0)</f>
        <v>-25.841599999999971</v>
      </c>
      <c r="T62" t="s">
        <v>32</v>
      </c>
      <c r="U62" s="6">
        <v>3.9</v>
      </c>
      <c r="V62" s="7">
        <f t="shared" si="1"/>
        <v>5</v>
      </c>
      <c r="W62">
        <f>IF(SalesDataTable[[#This Row],[Returned]]="Yes",1,0)</f>
        <v>0</v>
      </c>
    </row>
    <row r="63" spans="1:23">
      <c r="A63" t="s">
        <v>198</v>
      </c>
      <c r="B63" s="3">
        <v>45896</v>
      </c>
      <c r="C63" s="3">
        <v>45899</v>
      </c>
      <c r="D63" t="s">
        <v>199</v>
      </c>
      <c r="E63" t="s">
        <v>70</v>
      </c>
      <c r="F63" t="s">
        <v>25</v>
      </c>
      <c r="G63" t="s">
        <v>50</v>
      </c>
      <c r="H63" t="s">
        <v>87</v>
      </c>
      <c r="I63" t="s">
        <v>52</v>
      </c>
      <c r="J63" t="s">
        <v>105</v>
      </c>
      <c r="K63" t="s">
        <v>105</v>
      </c>
      <c r="L63" t="s">
        <v>30</v>
      </c>
      <c r="M63" t="s">
        <v>47</v>
      </c>
      <c r="N63">
        <v>3</v>
      </c>
      <c r="O63" s="4">
        <v>1322.17</v>
      </c>
      <c r="P63" s="5">
        <v>0</v>
      </c>
      <c r="Q63" s="4">
        <v>709.14</v>
      </c>
      <c r="R63" s="4">
        <f t="shared" si="0"/>
        <v>3966.51</v>
      </c>
      <c r="S63" s="4">
        <f>R63*_xlfn.XLOOKUP(I63,Lookup_Lists!$A$2:$A$5,Lookup_Lists!$B$2:$B$5)-Q63-IF(T63="Yes",R63*0.2,0)</f>
        <v>322.15260000000001</v>
      </c>
      <c r="T63" t="s">
        <v>32</v>
      </c>
      <c r="U63" s="6">
        <v>3.5</v>
      </c>
      <c r="V63" s="7">
        <f t="shared" si="1"/>
        <v>3</v>
      </c>
      <c r="W63">
        <f>IF(SalesDataTable[[#This Row],[Returned]]="Yes",1,0)</f>
        <v>0</v>
      </c>
    </row>
    <row r="64" spans="1:23">
      <c r="A64" t="s">
        <v>200</v>
      </c>
      <c r="B64" s="3">
        <v>45712</v>
      </c>
      <c r="C64" s="3">
        <v>45714</v>
      </c>
      <c r="D64" t="s">
        <v>159</v>
      </c>
      <c r="E64" t="s">
        <v>70</v>
      </c>
      <c r="F64" t="s">
        <v>25</v>
      </c>
      <c r="G64" t="s">
        <v>43</v>
      </c>
      <c r="H64" t="s">
        <v>44</v>
      </c>
      <c r="I64" t="s">
        <v>28</v>
      </c>
      <c r="J64" t="s">
        <v>111</v>
      </c>
      <c r="K64" t="s">
        <v>111</v>
      </c>
      <c r="L64" t="s">
        <v>54</v>
      </c>
      <c r="M64" t="s">
        <v>31</v>
      </c>
      <c r="N64">
        <v>5</v>
      </c>
      <c r="O64" s="4">
        <v>1336.19</v>
      </c>
      <c r="P64" s="5">
        <v>0.25</v>
      </c>
      <c r="Q64" s="4">
        <v>699.27</v>
      </c>
      <c r="R64" s="4">
        <f t="shared" si="0"/>
        <v>5010.7125000000005</v>
      </c>
      <c r="S64" s="4">
        <f>R64*_xlfn.XLOOKUP(I64,Lookup_Lists!$A$2:$A$5,Lookup_Lists!$B$2:$B$5)-Q64-IF(T64="Yes",R64*0.2,0)</f>
        <v>202.65825000000007</v>
      </c>
      <c r="T64" t="s">
        <v>32</v>
      </c>
      <c r="U64" s="6">
        <v>4.8</v>
      </c>
      <c r="V64" s="7">
        <f t="shared" si="1"/>
        <v>2</v>
      </c>
      <c r="W64">
        <f>IF(SalesDataTable[[#This Row],[Returned]]="Yes",1,0)</f>
        <v>0</v>
      </c>
    </row>
    <row r="65" spans="1:23">
      <c r="A65" t="s">
        <v>201</v>
      </c>
      <c r="B65" s="3">
        <v>45775</v>
      </c>
      <c r="C65" s="3">
        <v>45780</v>
      </c>
      <c r="D65" t="s">
        <v>202</v>
      </c>
      <c r="E65" t="s">
        <v>35</v>
      </c>
      <c r="F65" t="s">
        <v>25</v>
      </c>
      <c r="G65" t="s">
        <v>26</v>
      </c>
      <c r="H65" t="s">
        <v>82</v>
      </c>
      <c r="I65" t="s">
        <v>38</v>
      </c>
      <c r="J65" t="s">
        <v>108</v>
      </c>
      <c r="K65" t="s">
        <v>108</v>
      </c>
      <c r="L65" t="s">
        <v>30</v>
      </c>
      <c r="M65" t="s">
        <v>89</v>
      </c>
      <c r="N65">
        <v>2</v>
      </c>
      <c r="O65" s="4">
        <v>121.47</v>
      </c>
      <c r="P65" s="5">
        <v>0.05</v>
      </c>
      <c r="Q65" s="4">
        <v>501.09</v>
      </c>
      <c r="R65" s="4">
        <f t="shared" si="0"/>
        <v>230.79299999999998</v>
      </c>
      <c r="S65" s="4">
        <f>R65*_xlfn.XLOOKUP(I65,Lookup_Lists!$A$2:$A$5,Lookup_Lists!$B$2:$B$5)-Q65-IF(T65="Yes",R65*0.2,0)</f>
        <v>-427.23623999999995</v>
      </c>
      <c r="T65" t="s">
        <v>32</v>
      </c>
      <c r="U65" s="6">
        <v>3.5</v>
      </c>
      <c r="V65" s="7">
        <f t="shared" si="1"/>
        <v>5</v>
      </c>
      <c r="W65">
        <f>IF(SalesDataTable[[#This Row],[Returned]]="Yes",1,0)</f>
        <v>0</v>
      </c>
    </row>
    <row r="66" spans="1:23">
      <c r="A66" t="s">
        <v>203</v>
      </c>
      <c r="B66" s="3">
        <v>45809</v>
      </c>
      <c r="C66" s="3">
        <v>45812</v>
      </c>
      <c r="D66" t="s">
        <v>204</v>
      </c>
      <c r="E66" t="s">
        <v>35</v>
      </c>
      <c r="F66" t="s">
        <v>25</v>
      </c>
      <c r="G66" t="s">
        <v>26</v>
      </c>
      <c r="H66" t="s">
        <v>27</v>
      </c>
      <c r="I66" t="s">
        <v>38</v>
      </c>
      <c r="J66" t="s">
        <v>72</v>
      </c>
      <c r="K66" t="s">
        <v>72</v>
      </c>
      <c r="L66" t="s">
        <v>46</v>
      </c>
      <c r="M66" t="s">
        <v>55</v>
      </c>
      <c r="N66">
        <v>4</v>
      </c>
      <c r="O66" s="4">
        <v>172.28</v>
      </c>
      <c r="P66" s="5">
        <v>0.15</v>
      </c>
      <c r="Q66" s="4">
        <v>364.99</v>
      </c>
      <c r="R66" s="4">
        <f t="shared" ref="R66:R129" si="2">N66*O66*(1-P66)</f>
        <v>585.75199999999995</v>
      </c>
      <c r="S66" s="4">
        <f>R66*_xlfn.XLOOKUP(I66,Lookup_Lists!$A$2:$A$5,Lookup_Lists!$B$2:$B$5)-Q66-IF(T66="Yes",R66*0.2,0)</f>
        <v>-177.54936000000001</v>
      </c>
      <c r="T66" t="s">
        <v>32</v>
      </c>
      <c r="U66" s="6">
        <v>4.3</v>
      </c>
      <c r="V66" s="7">
        <f t="shared" ref="V66:V129" si="3">C66-B66</f>
        <v>3</v>
      </c>
      <c r="W66">
        <f>IF(SalesDataTable[[#This Row],[Returned]]="Yes",1,0)</f>
        <v>0</v>
      </c>
    </row>
    <row r="67" spans="1:23">
      <c r="A67" t="s">
        <v>205</v>
      </c>
      <c r="B67" s="3">
        <v>45716</v>
      </c>
      <c r="C67" s="3">
        <v>45720</v>
      </c>
      <c r="D67" t="s">
        <v>206</v>
      </c>
      <c r="E67" t="s">
        <v>35</v>
      </c>
      <c r="F67" t="s">
        <v>25</v>
      </c>
      <c r="G67" t="s">
        <v>26</v>
      </c>
      <c r="H67" t="s">
        <v>67</v>
      </c>
      <c r="I67" t="s">
        <v>52</v>
      </c>
      <c r="J67" t="s">
        <v>105</v>
      </c>
      <c r="K67" t="s">
        <v>105</v>
      </c>
      <c r="L67" t="s">
        <v>54</v>
      </c>
      <c r="M67" t="s">
        <v>47</v>
      </c>
      <c r="N67">
        <v>1</v>
      </c>
      <c r="O67" s="4">
        <v>1353.26</v>
      </c>
      <c r="P67" s="5">
        <v>0.05</v>
      </c>
      <c r="Q67" s="4">
        <v>483.81</v>
      </c>
      <c r="R67" s="4">
        <f t="shared" si="2"/>
        <v>1285.597</v>
      </c>
      <c r="S67" s="4">
        <f>R67*_xlfn.XLOOKUP(I67,Lookup_Lists!$A$2:$A$5,Lookup_Lists!$B$2:$B$5)-Q67-IF(T67="Yes",R67*0.2,0)</f>
        <v>-149.55477999999999</v>
      </c>
      <c r="T67" t="s">
        <v>32</v>
      </c>
      <c r="U67" s="6">
        <v>3.9</v>
      </c>
      <c r="V67" s="7">
        <f t="shared" si="3"/>
        <v>4</v>
      </c>
      <c r="W67">
        <f>IF(SalesDataTable[[#This Row],[Returned]]="Yes",1,0)</f>
        <v>0</v>
      </c>
    </row>
    <row r="68" spans="1:23">
      <c r="A68" t="s">
        <v>207</v>
      </c>
      <c r="B68" s="3">
        <v>45957</v>
      </c>
      <c r="C68" s="3">
        <v>45961</v>
      </c>
      <c r="D68" t="s">
        <v>208</v>
      </c>
      <c r="E68" t="s">
        <v>70</v>
      </c>
      <c r="F68" t="s">
        <v>25</v>
      </c>
      <c r="G68" t="s">
        <v>43</v>
      </c>
      <c r="H68" t="s">
        <v>122</v>
      </c>
      <c r="I68" t="s">
        <v>38</v>
      </c>
      <c r="J68" t="s">
        <v>45</v>
      </c>
      <c r="K68" t="s">
        <v>45</v>
      </c>
      <c r="L68" t="s">
        <v>54</v>
      </c>
      <c r="M68" t="s">
        <v>31</v>
      </c>
      <c r="N68">
        <v>2</v>
      </c>
      <c r="O68" s="4">
        <v>276.39</v>
      </c>
      <c r="P68" s="5">
        <v>0.1</v>
      </c>
      <c r="Q68" s="4">
        <v>450.47</v>
      </c>
      <c r="R68" s="4">
        <f t="shared" si="2"/>
        <v>497.50200000000001</v>
      </c>
      <c r="S68" s="4">
        <f>R68*_xlfn.XLOOKUP(I68,Lookup_Lists!$A$2:$A$5,Lookup_Lists!$B$2:$B$5)-Q68-IF(T68="Yes",R68*0.2,0)</f>
        <v>-291.26936000000001</v>
      </c>
      <c r="T68" t="s">
        <v>32</v>
      </c>
      <c r="U68" s="6">
        <v>4.2</v>
      </c>
      <c r="V68" s="7">
        <f t="shared" si="3"/>
        <v>4</v>
      </c>
      <c r="W68">
        <f>IF(SalesDataTable[[#This Row],[Returned]]="Yes",1,0)</f>
        <v>0</v>
      </c>
    </row>
    <row r="69" spans="1:23">
      <c r="A69" t="s">
        <v>209</v>
      </c>
      <c r="B69" s="3">
        <v>45717</v>
      </c>
      <c r="C69" s="3">
        <v>45719</v>
      </c>
      <c r="D69" t="s">
        <v>210</v>
      </c>
      <c r="E69" t="s">
        <v>81</v>
      </c>
      <c r="F69" t="s">
        <v>25</v>
      </c>
      <c r="G69" t="s">
        <v>43</v>
      </c>
      <c r="H69" t="s">
        <v>102</v>
      </c>
      <c r="I69" t="s">
        <v>28</v>
      </c>
      <c r="J69" t="s">
        <v>75</v>
      </c>
      <c r="K69" t="s">
        <v>75</v>
      </c>
      <c r="L69" t="s">
        <v>64</v>
      </c>
      <c r="M69" t="s">
        <v>40</v>
      </c>
      <c r="N69">
        <v>2</v>
      </c>
      <c r="O69" s="4">
        <v>10904.34</v>
      </c>
      <c r="P69" s="5">
        <v>0.2</v>
      </c>
      <c r="Q69" s="4">
        <v>804.13</v>
      </c>
      <c r="R69" s="4">
        <f t="shared" si="2"/>
        <v>17446.944</v>
      </c>
      <c r="S69" s="4">
        <f>R69*_xlfn.XLOOKUP(I69,Lookup_Lists!$A$2:$A$5,Lookup_Lists!$B$2:$B$5)-Q69-IF(T69="Yes",R69*0.2,0)</f>
        <v>2336.3199199999999</v>
      </c>
      <c r="T69" t="s">
        <v>32</v>
      </c>
      <c r="U69" s="6">
        <v>3.7</v>
      </c>
      <c r="V69" s="7">
        <f t="shared" si="3"/>
        <v>2</v>
      </c>
      <c r="W69">
        <f>IF(SalesDataTable[[#This Row],[Returned]]="Yes",1,0)</f>
        <v>0</v>
      </c>
    </row>
    <row r="70" spans="1:23">
      <c r="A70" t="s">
        <v>211</v>
      </c>
      <c r="B70" s="3">
        <v>45958</v>
      </c>
      <c r="C70" s="3">
        <v>45964</v>
      </c>
      <c r="D70" t="s">
        <v>212</v>
      </c>
      <c r="E70" t="s">
        <v>35</v>
      </c>
      <c r="F70" t="s">
        <v>25</v>
      </c>
      <c r="G70" t="s">
        <v>36</v>
      </c>
      <c r="H70" t="s">
        <v>126</v>
      </c>
      <c r="I70" t="s">
        <v>52</v>
      </c>
      <c r="J70" t="s">
        <v>53</v>
      </c>
      <c r="K70" t="s">
        <v>53</v>
      </c>
      <c r="L70" t="s">
        <v>60</v>
      </c>
      <c r="M70" t="s">
        <v>55</v>
      </c>
      <c r="N70">
        <v>1</v>
      </c>
      <c r="O70" s="4">
        <v>545.14</v>
      </c>
      <c r="P70" s="5">
        <v>0</v>
      </c>
      <c r="Q70" s="4">
        <v>629.99</v>
      </c>
      <c r="R70" s="4">
        <f t="shared" si="2"/>
        <v>545.14</v>
      </c>
      <c r="S70" s="4">
        <f>R70*_xlfn.XLOOKUP(I70,Lookup_Lists!$A$2:$A$5,Lookup_Lists!$B$2:$B$5)-Q70-IF(T70="Yes",R70*0.2,0)</f>
        <v>-488.25360000000001</v>
      </c>
      <c r="T70" t="s">
        <v>32</v>
      </c>
      <c r="U70" s="6">
        <v>4.8</v>
      </c>
      <c r="V70" s="7">
        <f t="shared" si="3"/>
        <v>6</v>
      </c>
      <c r="W70">
        <f>IF(SalesDataTable[[#This Row],[Returned]]="Yes",1,0)</f>
        <v>0</v>
      </c>
    </row>
    <row r="71" spans="1:23">
      <c r="A71" t="s">
        <v>213</v>
      </c>
      <c r="B71" s="3">
        <v>45936</v>
      </c>
      <c r="C71" s="3">
        <v>45942</v>
      </c>
      <c r="D71" t="s">
        <v>214</v>
      </c>
      <c r="E71" t="s">
        <v>35</v>
      </c>
      <c r="F71" t="s">
        <v>25</v>
      </c>
      <c r="G71" t="s">
        <v>43</v>
      </c>
      <c r="H71" t="s">
        <v>63</v>
      </c>
      <c r="I71" t="s">
        <v>52</v>
      </c>
      <c r="J71" t="s">
        <v>53</v>
      </c>
      <c r="K71" t="s">
        <v>53</v>
      </c>
      <c r="L71" t="s">
        <v>54</v>
      </c>
      <c r="M71" t="s">
        <v>40</v>
      </c>
      <c r="N71">
        <v>3</v>
      </c>
      <c r="O71" s="4">
        <v>582.53</v>
      </c>
      <c r="P71" s="5">
        <v>0</v>
      </c>
      <c r="Q71" s="4">
        <v>554.69000000000005</v>
      </c>
      <c r="R71" s="4">
        <f t="shared" si="2"/>
        <v>1747.59</v>
      </c>
      <c r="S71" s="4">
        <f>R71*_xlfn.XLOOKUP(I71,Lookup_Lists!$A$2:$A$5,Lookup_Lists!$B$2:$B$5)-Q71-IF(T71="Yes",R71*0.2,0)</f>
        <v>-100.31660000000005</v>
      </c>
      <c r="T71" t="s">
        <v>32</v>
      </c>
      <c r="U71" s="6">
        <v>4.7</v>
      </c>
      <c r="V71" s="7">
        <f t="shared" si="3"/>
        <v>6</v>
      </c>
      <c r="W71">
        <f>IF(SalesDataTable[[#This Row],[Returned]]="Yes",1,0)</f>
        <v>0</v>
      </c>
    </row>
    <row r="72" spans="1:23">
      <c r="A72" t="s">
        <v>215</v>
      </c>
      <c r="B72" s="3">
        <v>45722</v>
      </c>
      <c r="C72" s="3">
        <v>45729</v>
      </c>
      <c r="D72" t="s">
        <v>216</v>
      </c>
      <c r="E72" t="s">
        <v>35</v>
      </c>
      <c r="F72" t="s">
        <v>25</v>
      </c>
      <c r="G72" t="s">
        <v>26</v>
      </c>
      <c r="H72" t="s">
        <v>27</v>
      </c>
      <c r="I72" t="s">
        <v>38</v>
      </c>
      <c r="J72" t="s">
        <v>108</v>
      </c>
      <c r="K72" t="s">
        <v>108</v>
      </c>
      <c r="L72" t="s">
        <v>54</v>
      </c>
      <c r="M72" t="s">
        <v>40</v>
      </c>
      <c r="N72">
        <v>4</v>
      </c>
      <c r="O72" s="4">
        <v>127.06</v>
      </c>
      <c r="P72" s="5">
        <v>0</v>
      </c>
      <c r="Q72" s="4">
        <v>648.52</v>
      </c>
      <c r="R72" s="4">
        <f t="shared" si="2"/>
        <v>508.24</v>
      </c>
      <c r="S72" s="4">
        <f>R72*_xlfn.XLOOKUP(I72,Lookup_Lists!$A$2:$A$5,Lookup_Lists!$B$2:$B$5)-Q72-IF(T72="Yes",R72*0.2,0)</f>
        <v>-485.88319999999999</v>
      </c>
      <c r="T72" t="s">
        <v>32</v>
      </c>
      <c r="U72" s="6">
        <v>3.5</v>
      </c>
      <c r="V72" s="7">
        <f t="shared" si="3"/>
        <v>7</v>
      </c>
      <c r="W72">
        <f>IF(SalesDataTable[[#This Row],[Returned]]="Yes",1,0)</f>
        <v>0</v>
      </c>
    </row>
    <row r="73" spans="1:23">
      <c r="A73" t="s">
        <v>217</v>
      </c>
      <c r="B73" s="3">
        <v>45714</v>
      </c>
      <c r="C73" s="3">
        <v>45720</v>
      </c>
      <c r="D73" t="s">
        <v>23</v>
      </c>
      <c r="E73" t="s">
        <v>35</v>
      </c>
      <c r="F73" t="s">
        <v>25</v>
      </c>
      <c r="G73" t="s">
        <v>43</v>
      </c>
      <c r="H73" t="s">
        <v>63</v>
      </c>
      <c r="I73" t="s">
        <v>38</v>
      </c>
      <c r="J73" t="s">
        <v>39</v>
      </c>
      <c r="K73" t="s">
        <v>39</v>
      </c>
      <c r="L73" t="s">
        <v>54</v>
      </c>
      <c r="M73" t="s">
        <v>89</v>
      </c>
      <c r="N73">
        <v>1</v>
      </c>
      <c r="O73" s="4">
        <v>422.64</v>
      </c>
      <c r="P73" s="5">
        <v>0</v>
      </c>
      <c r="Q73" s="4">
        <v>122.57</v>
      </c>
      <c r="R73" s="4">
        <f t="shared" si="2"/>
        <v>422.64</v>
      </c>
      <c r="S73" s="4">
        <f>R73*_xlfn.XLOOKUP(I73,Lookup_Lists!$A$2:$A$5,Lookup_Lists!$B$2:$B$5)-Q73-IF(T73="Yes",R73*0.2,0)</f>
        <v>12.674800000000005</v>
      </c>
      <c r="T73" t="s">
        <v>32</v>
      </c>
      <c r="U73" s="6">
        <v>4</v>
      </c>
      <c r="V73" s="7">
        <f t="shared" si="3"/>
        <v>6</v>
      </c>
      <c r="W73">
        <f>IF(SalesDataTable[[#This Row],[Returned]]="Yes",1,0)</f>
        <v>0</v>
      </c>
    </row>
    <row r="74" spans="1:23">
      <c r="A74" t="s">
        <v>218</v>
      </c>
      <c r="B74" s="3">
        <v>45843</v>
      </c>
      <c r="C74" s="3">
        <v>45848</v>
      </c>
      <c r="D74" t="s">
        <v>219</v>
      </c>
      <c r="E74" t="s">
        <v>35</v>
      </c>
      <c r="F74" t="s">
        <v>25</v>
      </c>
      <c r="G74" t="s">
        <v>26</v>
      </c>
      <c r="H74" t="s">
        <v>153</v>
      </c>
      <c r="I74" t="s">
        <v>38</v>
      </c>
      <c r="J74" t="s">
        <v>130</v>
      </c>
      <c r="K74" t="s">
        <v>130</v>
      </c>
      <c r="L74" t="s">
        <v>54</v>
      </c>
      <c r="M74" t="s">
        <v>89</v>
      </c>
      <c r="N74">
        <v>1</v>
      </c>
      <c r="O74" s="4">
        <v>716.59</v>
      </c>
      <c r="P74" s="5">
        <v>0</v>
      </c>
      <c r="Q74" s="4">
        <v>481.82</v>
      </c>
      <c r="R74" s="4">
        <f t="shared" si="2"/>
        <v>716.59</v>
      </c>
      <c r="S74" s="4">
        <f>R74*_xlfn.XLOOKUP(I74,Lookup_Lists!$A$2:$A$5,Lookup_Lists!$B$2:$B$5)-Q74-IF(T74="Yes",R74*0.2,0)</f>
        <v>-252.51119999999997</v>
      </c>
      <c r="T74" t="s">
        <v>32</v>
      </c>
      <c r="U74" s="6">
        <v>4.5</v>
      </c>
      <c r="V74" s="7">
        <f t="shared" si="3"/>
        <v>5</v>
      </c>
      <c r="W74">
        <f>IF(SalesDataTable[[#This Row],[Returned]]="Yes",1,0)</f>
        <v>0</v>
      </c>
    </row>
    <row r="75" spans="1:23">
      <c r="A75" t="s">
        <v>220</v>
      </c>
      <c r="B75" s="3">
        <v>45699</v>
      </c>
      <c r="C75" s="3">
        <v>45702</v>
      </c>
      <c r="D75" t="s">
        <v>221</v>
      </c>
      <c r="E75" t="s">
        <v>35</v>
      </c>
      <c r="F75" t="s">
        <v>25</v>
      </c>
      <c r="G75" t="s">
        <v>26</v>
      </c>
      <c r="H75" t="s">
        <v>82</v>
      </c>
      <c r="I75" t="s">
        <v>38</v>
      </c>
      <c r="J75" t="s">
        <v>130</v>
      </c>
      <c r="K75" t="s">
        <v>130</v>
      </c>
      <c r="L75" t="s">
        <v>46</v>
      </c>
      <c r="M75" t="s">
        <v>55</v>
      </c>
      <c r="N75">
        <v>2</v>
      </c>
      <c r="O75" s="4">
        <v>741.45</v>
      </c>
      <c r="P75" s="5">
        <v>0</v>
      </c>
      <c r="Q75" s="4">
        <v>390.41</v>
      </c>
      <c r="R75" s="4">
        <f t="shared" si="2"/>
        <v>1482.9</v>
      </c>
      <c r="S75" s="4">
        <f>R75*_xlfn.XLOOKUP(I75,Lookup_Lists!$A$2:$A$5,Lookup_Lists!$B$2:$B$5)-Q75-IF(T75="Yes",R75*0.2,0)</f>
        <v>84.117999999999995</v>
      </c>
      <c r="T75" t="s">
        <v>32</v>
      </c>
      <c r="U75" s="6">
        <v>4.3</v>
      </c>
      <c r="V75" s="7">
        <f t="shared" si="3"/>
        <v>3</v>
      </c>
      <c r="W75">
        <f>IF(SalesDataTable[[#This Row],[Returned]]="Yes",1,0)</f>
        <v>0</v>
      </c>
    </row>
    <row r="76" spans="1:23">
      <c r="A76" t="s">
        <v>222</v>
      </c>
      <c r="B76" s="3">
        <v>46017</v>
      </c>
      <c r="C76" s="3">
        <v>46018</v>
      </c>
      <c r="D76" t="s">
        <v>135</v>
      </c>
      <c r="E76" t="s">
        <v>70</v>
      </c>
      <c r="F76" t="s">
        <v>25</v>
      </c>
      <c r="G76" t="s">
        <v>26</v>
      </c>
      <c r="H76" t="s">
        <v>67</v>
      </c>
      <c r="I76" t="s">
        <v>58</v>
      </c>
      <c r="J76" t="s">
        <v>127</v>
      </c>
      <c r="K76" t="s">
        <v>127</v>
      </c>
      <c r="L76" t="s">
        <v>46</v>
      </c>
      <c r="M76" t="s">
        <v>47</v>
      </c>
      <c r="N76">
        <v>2</v>
      </c>
      <c r="O76" s="4">
        <v>19779.91</v>
      </c>
      <c r="P76" s="5">
        <v>0</v>
      </c>
      <c r="Q76" s="4">
        <v>851.54</v>
      </c>
      <c r="R76" s="4">
        <f t="shared" si="2"/>
        <v>39559.82</v>
      </c>
      <c r="S76" s="4">
        <f>R76*_xlfn.XLOOKUP(I76,Lookup_Lists!$A$2:$A$5,Lookup_Lists!$B$2:$B$5)-Q76-IF(T76="Yes",R76*0.2,0)</f>
        <v>8642.8168000000005</v>
      </c>
      <c r="T76" t="s">
        <v>32</v>
      </c>
      <c r="U76" s="6">
        <v>5</v>
      </c>
      <c r="V76" s="7">
        <f t="shared" si="3"/>
        <v>1</v>
      </c>
      <c r="W76">
        <f>IF(SalesDataTable[[#This Row],[Returned]]="Yes",1,0)</f>
        <v>0</v>
      </c>
    </row>
    <row r="77" spans="1:23">
      <c r="A77" t="s">
        <v>223</v>
      </c>
      <c r="B77" s="3">
        <v>45900</v>
      </c>
      <c r="C77" s="3">
        <v>45901</v>
      </c>
      <c r="D77" t="s">
        <v>224</v>
      </c>
      <c r="E77" t="s">
        <v>24</v>
      </c>
      <c r="F77" t="s">
        <v>25</v>
      </c>
      <c r="G77" t="s">
        <v>50</v>
      </c>
      <c r="H77" t="s">
        <v>87</v>
      </c>
      <c r="I77" t="s">
        <v>28</v>
      </c>
      <c r="J77" t="s">
        <v>123</v>
      </c>
      <c r="K77" t="s">
        <v>123</v>
      </c>
      <c r="L77" t="s">
        <v>64</v>
      </c>
      <c r="M77" t="s">
        <v>31</v>
      </c>
      <c r="N77">
        <v>1</v>
      </c>
      <c r="O77" s="4">
        <v>2100.58</v>
      </c>
      <c r="P77" s="5">
        <v>0.05</v>
      </c>
      <c r="Q77" s="4">
        <v>493.42</v>
      </c>
      <c r="R77" s="4">
        <f t="shared" si="2"/>
        <v>1995.5509999999999</v>
      </c>
      <c r="S77" s="4">
        <f>R77*_xlfn.XLOOKUP(I77,Lookup_Lists!$A$2:$A$5,Lookup_Lists!$B$2:$B$5)-Q77-IF(T77="Yes",R77*0.2,0)</f>
        <v>-134.22082000000006</v>
      </c>
      <c r="T77" t="s">
        <v>32</v>
      </c>
      <c r="U77" s="6">
        <v>4.2</v>
      </c>
      <c r="V77" s="7">
        <f t="shared" si="3"/>
        <v>1</v>
      </c>
      <c r="W77">
        <f>IF(SalesDataTable[[#This Row],[Returned]]="Yes",1,0)</f>
        <v>0</v>
      </c>
    </row>
    <row r="78" spans="1:23">
      <c r="A78" t="s">
        <v>225</v>
      </c>
      <c r="B78" s="3">
        <v>45998</v>
      </c>
      <c r="C78" s="3">
        <v>46005</v>
      </c>
      <c r="D78" t="s">
        <v>226</v>
      </c>
      <c r="E78" t="s">
        <v>24</v>
      </c>
      <c r="F78" t="s">
        <v>25</v>
      </c>
      <c r="G78" t="s">
        <v>50</v>
      </c>
      <c r="H78" t="s">
        <v>71</v>
      </c>
      <c r="I78" t="s">
        <v>38</v>
      </c>
      <c r="J78" t="s">
        <v>72</v>
      </c>
      <c r="K78" t="s">
        <v>72</v>
      </c>
      <c r="L78" t="s">
        <v>54</v>
      </c>
      <c r="M78" t="s">
        <v>31</v>
      </c>
      <c r="N78">
        <v>1</v>
      </c>
      <c r="O78" s="4">
        <v>193.86</v>
      </c>
      <c r="P78" s="5">
        <v>0</v>
      </c>
      <c r="Q78" s="4">
        <v>144.59</v>
      </c>
      <c r="R78" s="4">
        <f t="shared" si="2"/>
        <v>193.86</v>
      </c>
      <c r="S78" s="4">
        <f>R78*_xlfn.XLOOKUP(I78,Lookup_Lists!$A$2:$A$5,Lookup_Lists!$B$2:$B$5)-Q78-IF(T78="Yes",R78*0.2,0)</f>
        <v>-82.5548</v>
      </c>
      <c r="T78" t="s">
        <v>32</v>
      </c>
      <c r="U78" s="6">
        <v>3.7</v>
      </c>
      <c r="V78" s="7">
        <f t="shared" si="3"/>
        <v>7</v>
      </c>
      <c r="W78">
        <f>IF(SalesDataTable[[#This Row],[Returned]]="Yes",1,0)</f>
        <v>0</v>
      </c>
    </row>
    <row r="79" spans="1:23">
      <c r="A79" t="s">
        <v>227</v>
      </c>
      <c r="B79" s="3">
        <v>45951</v>
      </c>
      <c r="C79" s="3">
        <v>45953</v>
      </c>
      <c r="D79" t="s">
        <v>228</v>
      </c>
      <c r="E79" t="s">
        <v>35</v>
      </c>
      <c r="F79" t="s">
        <v>25</v>
      </c>
      <c r="G79" t="s">
        <v>50</v>
      </c>
      <c r="H79" t="s">
        <v>71</v>
      </c>
      <c r="I79" t="s">
        <v>28</v>
      </c>
      <c r="J79" t="s">
        <v>123</v>
      </c>
      <c r="K79" t="s">
        <v>123</v>
      </c>
      <c r="L79" t="s">
        <v>30</v>
      </c>
      <c r="M79" t="s">
        <v>55</v>
      </c>
      <c r="N79">
        <v>6</v>
      </c>
      <c r="O79" s="4">
        <v>1773.55</v>
      </c>
      <c r="P79" s="5">
        <v>0</v>
      </c>
      <c r="Q79" s="4">
        <v>321.27</v>
      </c>
      <c r="R79" s="4">
        <f t="shared" si="2"/>
        <v>10641.3</v>
      </c>
      <c r="S79" s="4">
        <f>R79*_xlfn.XLOOKUP(I79,Lookup_Lists!$A$2:$A$5,Lookup_Lists!$B$2:$B$5)-Q79-IF(T79="Yes",R79*0.2,0)</f>
        <v>1594.1639999999998</v>
      </c>
      <c r="T79" t="s">
        <v>32</v>
      </c>
      <c r="U79" s="6">
        <v>4.9000000000000004</v>
      </c>
      <c r="V79" s="7">
        <f t="shared" si="3"/>
        <v>2</v>
      </c>
      <c r="W79">
        <f>IF(SalesDataTable[[#This Row],[Returned]]="Yes",1,0)</f>
        <v>0</v>
      </c>
    </row>
    <row r="80" spans="1:23">
      <c r="A80" t="s">
        <v>229</v>
      </c>
      <c r="B80" s="3">
        <v>45693</v>
      </c>
      <c r="C80" s="3">
        <v>45695</v>
      </c>
      <c r="D80" t="s">
        <v>230</v>
      </c>
      <c r="E80" t="s">
        <v>70</v>
      </c>
      <c r="F80" t="s">
        <v>25</v>
      </c>
      <c r="G80" t="s">
        <v>50</v>
      </c>
      <c r="H80" t="s">
        <v>78</v>
      </c>
      <c r="I80" t="s">
        <v>38</v>
      </c>
      <c r="J80" t="s">
        <v>108</v>
      </c>
      <c r="K80" t="s">
        <v>108</v>
      </c>
      <c r="L80" t="s">
        <v>46</v>
      </c>
      <c r="M80" t="s">
        <v>47</v>
      </c>
      <c r="N80">
        <v>2</v>
      </c>
      <c r="O80" s="4">
        <v>118.92</v>
      </c>
      <c r="P80" s="5">
        <v>0.1</v>
      </c>
      <c r="Q80" s="4">
        <v>526.36</v>
      </c>
      <c r="R80" s="4">
        <f t="shared" si="2"/>
        <v>214.05600000000001</v>
      </c>
      <c r="S80" s="4">
        <f>R80*_xlfn.XLOOKUP(I80,Lookup_Lists!$A$2:$A$5,Lookup_Lists!$B$2:$B$5)-Q80-IF(T80="Yes",R80*0.2,0)</f>
        <v>-457.86207999999999</v>
      </c>
      <c r="T80" t="s">
        <v>32</v>
      </c>
      <c r="U80" s="6">
        <v>4.5</v>
      </c>
      <c r="V80" s="7">
        <f t="shared" si="3"/>
        <v>2</v>
      </c>
      <c r="W80">
        <f>IF(SalesDataTable[[#This Row],[Returned]]="Yes",1,0)</f>
        <v>0</v>
      </c>
    </row>
    <row r="81" spans="1:23">
      <c r="A81" t="s">
        <v>231</v>
      </c>
      <c r="B81" s="3">
        <v>45738</v>
      </c>
      <c r="C81" s="3">
        <v>45745</v>
      </c>
      <c r="D81" t="s">
        <v>232</v>
      </c>
      <c r="E81" t="s">
        <v>35</v>
      </c>
      <c r="F81" t="s">
        <v>25</v>
      </c>
      <c r="G81" t="s">
        <v>50</v>
      </c>
      <c r="H81" t="s">
        <v>71</v>
      </c>
      <c r="I81" t="s">
        <v>58</v>
      </c>
      <c r="J81" t="s">
        <v>88</v>
      </c>
      <c r="K81" t="s">
        <v>88</v>
      </c>
      <c r="L81" t="s">
        <v>46</v>
      </c>
      <c r="M81" t="s">
        <v>47</v>
      </c>
      <c r="N81">
        <v>2</v>
      </c>
      <c r="O81" s="4">
        <v>6801.63</v>
      </c>
      <c r="P81" s="5">
        <v>0.05</v>
      </c>
      <c r="Q81" s="4">
        <v>480.8</v>
      </c>
      <c r="R81" s="4">
        <f t="shared" si="2"/>
        <v>12923.097</v>
      </c>
      <c r="S81" s="4">
        <f>R81*_xlfn.XLOOKUP(I81,Lookup_Lists!$A$2:$A$5,Lookup_Lists!$B$2:$B$5)-Q81-IF(T81="Yes",R81*0.2,0)</f>
        <v>2620.7432799999997</v>
      </c>
      <c r="T81" t="s">
        <v>32</v>
      </c>
      <c r="U81" s="6">
        <v>4.3</v>
      </c>
      <c r="V81" s="7">
        <f t="shared" si="3"/>
        <v>7</v>
      </c>
      <c r="W81">
        <f>IF(SalesDataTable[[#This Row],[Returned]]="Yes",1,0)</f>
        <v>0</v>
      </c>
    </row>
    <row r="82" spans="1:23">
      <c r="A82" t="s">
        <v>233</v>
      </c>
      <c r="B82" s="3">
        <v>46005</v>
      </c>
      <c r="C82" s="3">
        <v>46011</v>
      </c>
      <c r="D82" t="s">
        <v>219</v>
      </c>
      <c r="E82" t="s">
        <v>70</v>
      </c>
      <c r="F82" t="s">
        <v>25</v>
      </c>
      <c r="G82" t="s">
        <v>43</v>
      </c>
      <c r="H82" t="s">
        <v>122</v>
      </c>
      <c r="I82" t="s">
        <v>28</v>
      </c>
      <c r="J82" t="s">
        <v>99</v>
      </c>
      <c r="K82" t="s">
        <v>99</v>
      </c>
      <c r="L82" t="s">
        <v>54</v>
      </c>
      <c r="M82" t="s">
        <v>40</v>
      </c>
      <c r="N82">
        <v>2</v>
      </c>
      <c r="O82" s="4">
        <v>3301.8</v>
      </c>
      <c r="P82" s="5">
        <v>0</v>
      </c>
      <c r="Q82" s="4">
        <v>324.7</v>
      </c>
      <c r="R82" s="4">
        <f t="shared" si="2"/>
        <v>6603.6</v>
      </c>
      <c r="S82" s="4">
        <f>R82*_xlfn.XLOOKUP(I82,Lookup_Lists!$A$2:$A$5,Lookup_Lists!$B$2:$B$5)-Q82-IF(T82="Yes",R82*0.2,0)</f>
        <v>863.94799999999987</v>
      </c>
      <c r="T82" t="s">
        <v>32</v>
      </c>
      <c r="U82" s="6">
        <v>5</v>
      </c>
      <c r="V82" s="7">
        <f t="shared" si="3"/>
        <v>6</v>
      </c>
      <c r="W82">
        <f>IF(SalesDataTable[[#This Row],[Returned]]="Yes",1,0)</f>
        <v>0</v>
      </c>
    </row>
    <row r="83" spans="1:23">
      <c r="A83" t="s">
        <v>234</v>
      </c>
      <c r="B83" s="3">
        <v>45747</v>
      </c>
      <c r="C83" s="3">
        <v>45749</v>
      </c>
      <c r="D83" t="s">
        <v>159</v>
      </c>
      <c r="E83" t="s">
        <v>70</v>
      </c>
      <c r="F83" t="s">
        <v>25</v>
      </c>
      <c r="G83" t="s">
        <v>26</v>
      </c>
      <c r="H83" t="s">
        <v>82</v>
      </c>
      <c r="I83" t="s">
        <v>28</v>
      </c>
      <c r="J83" t="s">
        <v>29</v>
      </c>
      <c r="K83" t="s">
        <v>29</v>
      </c>
      <c r="L83" t="s">
        <v>46</v>
      </c>
      <c r="M83" t="s">
        <v>47</v>
      </c>
      <c r="N83">
        <v>6</v>
      </c>
      <c r="O83" s="4">
        <v>59208.92</v>
      </c>
      <c r="P83" s="5">
        <v>0.05</v>
      </c>
      <c r="Q83" s="4">
        <v>5735.64</v>
      </c>
      <c r="R83" s="4">
        <f t="shared" si="2"/>
        <v>337490.84399999998</v>
      </c>
      <c r="S83" s="4">
        <f>R83*_xlfn.XLOOKUP(I83,Lookup_Lists!$A$2:$A$5,Lookup_Lists!$B$2:$B$5)-Q83-IF(T83="Yes",R83*0.2,0)</f>
        <v>55012.711919999994</v>
      </c>
      <c r="T83" t="s">
        <v>32</v>
      </c>
      <c r="U83" s="6">
        <v>4.4000000000000004</v>
      </c>
      <c r="V83" s="7">
        <f t="shared" si="3"/>
        <v>2</v>
      </c>
      <c r="W83">
        <f>IF(SalesDataTable[[#This Row],[Returned]]="Yes",1,0)</f>
        <v>0</v>
      </c>
    </row>
    <row r="84" spans="1:23">
      <c r="A84" t="s">
        <v>235</v>
      </c>
      <c r="B84" s="3">
        <v>45871</v>
      </c>
      <c r="C84" s="3">
        <v>45874</v>
      </c>
      <c r="D84" t="s">
        <v>236</v>
      </c>
      <c r="E84" t="s">
        <v>35</v>
      </c>
      <c r="F84" t="s">
        <v>25</v>
      </c>
      <c r="G84" t="s">
        <v>43</v>
      </c>
      <c r="H84" t="s">
        <v>63</v>
      </c>
      <c r="I84" t="s">
        <v>38</v>
      </c>
      <c r="J84" t="s">
        <v>130</v>
      </c>
      <c r="K84" t="s">
        <v>130</v>
      </c>
      <c r="L84" t="s">
        <v>46</v>
      </c>
      <c r="M84" t="s">
        <v>55</v>
      </c>
      <c r="N84">
        <v>1</v>
      </c>
      <c r="O84" s="4">
        <v>793.34</v>
      </c>
      <c r="P84" s="5">
        <v>0</v>
      </c>
      <c r="Q84" s="4">
        <v>427.56</v>
      </c>
      <c r="R84" s="4">
        <f t="shared" si="2"/>
        <v>793.34</v>
      </c>
      <c r="S84" s="4">
        <f>R84*_xlfn.XLOOKUP(I84,Lookup_Lists!$A$2:$A$5,Lookup_Lists!$B$2:$B$5)-Q84-IF(T84="Yes",R84*0.2,0)</f>
        <v>-173.69119999999998</v>
      </c>
      <c r="T84" t="s">
        <v>32</v>
      </c>
      <c r="U84" s="6">
        <v>4</v>
      </c>
      <c r="V84" s="7">
        <f t="shared" si="3"/>
        <v>3</v>
      </c>
      <c r="W84">
        <f>IF(SalesDataTable[[#This Row],[Returned]]="Yes",1,0)</f>
        <v>0</v>
      </c>
    </row>
    <row r="85" spans="1:23">
      <c r="A85" t="s">
        <v>237</v>
      </c>
      <c r="B85" s="3">
        <v>45831</v>
      </c>
      <c r="C85" s="3">
        <v>45833</v>
      </c>
      <c r="D85" t="s">
        <v>238</v>
      </c>
      <c r="E85" t="s">
        <v>24</v>
      </c>
      <c r="F85" t="s">
        <v>25</v>
      </c>
      <c r="G85" t="s">
        <v>50</v>
      </c>
      <c r="H85" t="s">
        <v>78</v>
      </c>
      <c r="I85" t="s">
        <v>58</v>
      </c>
      <c r="J85" t="s">
        <v>127</v>
      </c>
      <c r="K85" t="s">
        <v>127</v>
      </c>
      <c r="L85" t="s">
        <v>60</v>
      </c>
      <c r="M85" t="s">
        <v>55</v>
      </c>
      <c r="N85">
        <v>2</v>
      </c>
      <c r="O85" s="4">
        <v>21014.41</v>
      </c>
      <c r="P85" s="5">
        <v>0.1</v>
      </c>
      <c r="Q85" s="4">
        <v>794.62</v>
      </c>
      <c r="R85" s="4">
        <f t="shared" si="2"/>
        <v>37825.938000000002</v>
      </c>
      <c r="S85" s="4">
        <f>R85*_xlfn.XLOOKUP(I85,Lookup_Lists!$A$2:$A$5,Lookup_Lists!$B$2:$B$5)-Q85-IF(T85="Yes",R85*0.2,0)</f>
        <v>8283.6051200000002</v>
      </c>
      <c r="T85" t="s">
        <v>32</v>
      </c>
      <c r="U85" s="6">
        <v>4.5999999999999996</v>
      </c>
      <c r="V85" s="7">
        <f t="shared" si="3"/>
        <v>2</v>
      </c>
      <c r="W85">
        <f>IF(SalesDataTable[[#This Row],[Returned]]="Yes",1,0)</f>
        <v>0</v>
      </c>
    </row>
    <row r="86" spans="1:23">
      <c r="A86" t="s">
        <v>239</v>
      </c>
      <c r="B86" s="3">
        <v>45789</v>
      </c>
      <c r="C86" s="3">
        <v>45791</v>
      </c>
      <c r="D86" t="s">
        <v>240</v>
      </c>
      <c r="E86" t="s">
        <v>70</v>
      </c>
      <c r="F86" t="s">
        <v>25</v>
      </c>
      <c r="G86" t="s">
        <v>50</v>
      </c>
      <c r="H86" t="s">
        <v>51</v>
      </c>
      <c r="I86" t="s">
        <v>52</v>
      </c>
      <c r="J86" t="s">
        <v>53</v>
      </c>
      <c r="K86" t="s">
        <v>53</v>
      </c>
      <c r="L86" t="s">
        <v>46</v>
      </c>
      <c r="M86" t="s">
        <v>31</v>
      </c>
      <c r="N86">
        <v>4</v>
      </c>
      <c r="O86" s="4">
        <v>558.07000000000005</v>
      </c>
      <c r="P86" s="5">
        <v>0.2</v>
      </c>
      <c r="Q86" s="4">
        <v>435.24</v>
      </c>
      <c r="R86" s="4">
        <f t="shared" si="2"/>
        <v>1785.8240000000003</v>
      </c>
      <c r="S86" s="4">
        <f>R86*_xlfn.XLOOKUP(I86,Lookup_Lists!$A$2:$A$5,Lookup_Lists!$B$2:$B$5)-Q86-IF(T86="Yes",R86*0.2,0)</f>
        <v>29.074240000000088</v>
      </c>
      <c r="T86" t="s">
        <v>32</v>
      </c>
      <c r="U86" s="6">
        <v>3.7</v>
      </c>
      <c r="V86" s="7">
        <f t="shared" si="3"/>
        <v>2</v>
      </c>
      <c r="W86">
        <f>IF(SalesDataTable[[#This Row],[Returned]]="Yes",1,0)</f>
        <v>0</v>
      </c>
    </row>
    <row r="87" spans="1:23">
      <c r="A87" t="s">
        <v>241</v>
      </c>
      <c r="B87" s="3">
        <v>45979</v>
      </c>
      <c r="C87" s="3">
        <v>45982</v>
      </c>
      <c r="D87" t="s">
        <v>242</v>
      </c>
      <c r="E87" t="s">
        <v>35</v>
      </c>
      <c r="F87" t="s">
        <v>25</v>
      </c>
      <c r="G87" t="s">
        <v>36</v>
      </c>
      <c r="H87" t="s">
        <v>138</v>
      </c>
      <c r="I87" t="s">
        <v>38</v>
      </c>
      <c r="J87" t="s">
        <v>72</v>
      </c>
      <c r="K87" t="s">
        <v>72</v>
      </c>
      <c r="L87" t="s">
        <v>46</v>
      </c>
      <c r="M87" t="s">
        <v>55</v>
      </c>
      <c r="N87">
        <v>2</v>
      </c>
      <c r="O87" s="4">
        <v>175.16</v>
      </c>
      <c r="P87" s="5">
        <v>0.05</v>
      </c>
      <c r="Q87" s="4">
        <v>117.68</v>
      </c>
      <c r="R87" s="4">
        <f t="shared" si="2"/>
        <v>332.80399999999997</v>
      </c>
      <c r="S87" s="4">
        <f>R87*_xlfn.XLOOKUP(I87,Lookup_Lists!$A$2:$A$5,Lookup_Lists!$B$2:$B$5)-Q87-IF(T87="Yes",R87*0.2,0)</f>
        <v>-11.182720000000018</v>
      </c>
      <c r="T87" t="s">
        <v>32</v>
      </c>
      <c r="U87" s="6">
        <v>3.7</v>
      </c>
      <c r="V87" s="7">
        <f t="shared" si="3"/>
        <v>3</v>
      </c>
      <c r="W87">
        <f>IF(SalesDataTable[[#This Row],[Returned]]="Yes",1,0)</f>
        <v>0</v>
      </c>
    </row>
    <row r="88" spans="1:23">
      <c r="A88" t="s">
        <v>243</v>
      </c>
      <c r="B88" s="3">
        <v>45697</v>
      </c>
      <c r="C88" s="3">
        <v>45703</v>
      </c>
      <c r="D88" t="s">
        <v>224</v>
      </c>
      <c r="E88" t="s">
        <v>70</v>
      </c>
      <c r="F88" t="s">
        <v>25</v>
      </c>
      <c r="G88" t="s">
        <v>36</v>
      </c>
      <c r="H88" t="s">
        <v>138</v>
      </c>
      <c r="I88" t="s">
        <v>38</v>
      </c>
      <c r="J88" t="s">
        <v>39</v>
      </c>
      <c r="K88" t="s">
        <v>39</v>
      </c>
      <c r="L88" t="s">
        <v>46</v>
      </c>
      <c r="M88" t="s">
        <v>31</v>
      </c>
      <c r="N88">
        <v>3</v>
      </c>
      <c r="O88" s="4">
        <v>410.11</v>
      </c>
      <c r="P88" s="5">
        <v>0.05</v>
      </c>
      <c r="Q88" s="4">
        <v>184.45</v>
      </c>
      <c r="R88" s="4">
        <f t="shared" si="2"/>
        <v>1168.8135</v>
      </c>
      <c r="S88" s="4">
        <f>R88*_xlfn.XLOOKUP(I88,Lookup_Lists!$A$2:$A$5,Lookup_Lists!$B$2:$B$5)-Q88-IF(T88="Yes",R88*0.2,0)</f>
        <v>189.57032000000004</v>
      </c>
      <c r="T88" t="s">
        <v>32</v>
      </c>
      <c r="U88" s="6">
        <v>5</v>
      </c>
      <c r="V88" s="7">
        <f t="shared" si="3"/>
        <v>6</v>
      </c>
      <c r="W88">
        <f>IF(SalesDataTable[[#This Row],[Returned]]="Yes",1,0)</f>
        <v>0</v>
      </c>
    </row>
    <row r="89" spans="1:23">
      <c r="A89" t="s">
        <v>244</v>
      </c>
      <c r="B89" s="3">
        <v>45833</v>
      </c>
      <c r="C89" s="3">
        <v>45839</v>
      </c>
      <c r="D89" t="s">
        <v>245</v>
      </c>
      <c r="E89" t="s">
        <v>70</v>
      </c>
      <c r="F89" t="s">
        <v>25</v>
      </c>
      <c r="G89" t="s">
        <v>26</v>
      </c>
      <c r="H89" t="s">
        <v>153</v>
      </c>
      <c r="I89" t="s">
        <v>28</v>
      </c>
      <c r="J89" t="s">
        <v>111</v>
      </c>
      <c r="K89" t="s">
        <v>111</v>
      </c>
      <c r="L89" t="s">
        <v>60</v>
      </c>
      <c r="M89" t="s">
        <v>31</v>
      </c>
      <c r="N89">
        <v>2</v>
      </c>
      <c r="O89" s="4">
        <v>1113.1500000000001</v>
      </c>
      <c r="P89" s="5">
        <v>0</v>
      </c>
      <c r="Q89" s="4">
        <v>274.64</v>
      </c>
      <c r="R89" s="4">
        <f t="shared" si="2"/>
        <v>2226.3000000000002</v>
      </c>
      <c r="S89" s="4">
        <f>R89*_xlfn.XLOOKUP(I89,Lookup_Lists!$A$2:$A$5,Lookup_Lists!$B$2:$B$5)-Q89-IF(T89="Yes",R89*0.2,0)</f>
        <v>126.09400000000005</v>
      </c>
      <c r="T89" t="s">
        <v>32</v>
      </c>
      <c r="U89" s="6">
        <v>4.8</v>
      </c>
      <c r="V89" s="7">
        <f t="shared" si="3"/>
        <v>6</v>
      </c>
      <c r="W89">
        <f>IF(SalesDataTable[[#This Row],[Returned]]="Yes",1,0)</f>
        <v>0</v>
      </c>
    </row>
    <row r="90" spans="1:23">
      <c r="A90" t="s">
        <v>246</v>
      </c>
      <c r="B90" s="3">
        <v>45831</v>
      </c>
      <c r="C90" s="3">
        <v>45837</v>
      </c>
      <c r="D90" t="s">
        <v>247</v>
      </c>
      <c r="E90" t="s">
        <v>35</v>
      </c>
      <c r="F90" t="s">
        <v>25</v>
      </c>
      <c r="G90" t="s">
        <v>43</v>
      </c>
      <c r="H90" t="s">
        <v>122</v>
      </c>
      <c r="I90" t="s">
        <v>58</v>
      </c>
      <c r="J90" t="s">
        <v>88</v>
      </c>
      <c r="K90" t="s">
        <v>88</v>
      </c>
      <c r="L90" t="s">
        <v>54</v>
      </c>
      <c r="M90" t="s">
        <v>31</v>
      </c>
      <c r="N90">
        <v>5</v>
      </c>
      <c r="O90" s="4">
        <v>7056.06</v>
      </c>
      <c r="P90" s="5">
        <v>0.05</v>
      </c>
      <c r="Q90" s="4">
        <v>689.82</v>
      </c>
      <c r="R90" s="4">
        <f t="shared" si="2"/>
        <v>33516.285000000003</v>
      </c>
      <c r="S90" s="4">
        <f>R90*_xlfn.XLOOKUP(I90,Lookup_Lists!$A$2:$A$5,Lookup_Lists!$B$2:$B$5)-Q90-IF(T90="Yes",R90*0.2,0)</f>
        <v>7354.0884000000005</v>
      </c>
      <c r="T90" t="s">
        <v>32</v>
      </c>
      <c r="U90" s="6">
        <v>4.9000000000000004</v>
      </c>
      <c r="V90" s="7">
        <f t="shared" si="3"/>
        <v>6</v>
      </c>
      <c r="W90">
        <f>IF(SalesDataTable[[#This Row],[Returned]]="Yes",1,0)</f>
        <v>0</v>
      </c>
    </row>
    <row r="91" spans="1:23">
      <c r="A91" t="s">
        <v>248</v>
      </c>
      <c r="B91" s="3">
        <v>45858</v>
      </c>
      <c r="C91" s="3">
        <v>45860</v>
      </c>
      <c r="D91" t="s">
        <v>98</v>
      </c>
      <c r="E91" t="s">
        <v>24</v>
      </c>
      <c r="F91" t="s">
        <v>25</v>
      </c>
      <c r="G91" t="s">
        <v>50</v>
      </c>
      <c r="H91" t="s">
        <v>71</v>
      </c>
      <c r="I91" t="s">
        <v>38</v>
      </c>
      <c r="J91" t="s">
        <v>72</v>
      </c>
      <c r="K91" t="s">
        <v>72</v>
      </c>
      <c r="L91" t="s">
        <v>64</v>
      </c>
      <c r="M91" t="s">
        <v>31</v>
      </c>
      <c r="N91">
        <v>1</v>
      </c>
      <c r="O91" s="4">
        <v>194.6</v>
      </c>
      <c r="P91" s="5">
        <v>0.05</v>
      </c>
      <c r="Q91" s="4">
        <v>93.31</v>
      </c>
      <c r="R91" s="4">
        <f t="shared" si="2"/>
        <v>184.86999999999998</v>
      </c>
      <c r="S91" s="4">
        <f>R91*_xlfn.XLOOKUP(I91,Lookup_Lists!$A$2:$A$5,Lookup_Lists!$B$2:$B$5)-Q91-IF(T91="Yes",R91*0.2,0)</f>
        <v>-34.151600000000009</v>
      </c>
      <c r="T91" t="s">
        <v>32</v>
      </c>
      <c r="U91" s="6">
        <v>4.2</v>
      </c>
      <c r="V91" s="7">
        <f t="shared" si="3"/>
        <v>2</v>
      </c>
      <c r="W91">
        <f>IF(SalesDataTable[[#This Row],[Returned]]="Yes",1,0)</f>
        <v>0</v>
      </c>
    </row>
    <row r="92" spans="1:23">
      <c r="A92" t="s">
        <v>249</v>
      </c>
      <c r="B92" s="3">
        <v>45767</v>
      </c>
      <c r="C92" s="3">
        <v>45770</v>
      </c>
      <c r="D92" t="s">
        <v>250</v>
      </c>
      <c r="E92" t="s">
        <v>70</v>
      </c>
      <c r="F92" t="s">
        <v>25</v>
      </c>
      <c r="G92" t="s">
        <v>26</v>
      </c>
      <c r="H92" t="s">
        <v>27</v>
      </c>
      <c r="I92" t="s">
        <v>28</v>
      </c>
      <c r="J92" t="s">
        <v>123</v>
      </c>
      <c r="K92" t="s">
        <v>123</v>
      </c>
      <c r="L92" t="s">
        <v>64</v>
      </c>
      <c r="M92" t="s">
        <v>89</v>
      </c>
      <c r="N92">
        <v>2</v>
      </c>
      <c r="O92" s="4">
        <v>1875.48</v>
      </c>
      <c r="P92" s="5">
        <v>0.1</v>
      </c>
      <c r="Q92" s="4">
        <v>436.39</v>
      </c>
      <c r="R92" s="4">
        <f t="shared" si="2"/>
        <v>3375.864</v>
      </c>
      <c r="S92" s="4">
        <f>R92*_xlfn.XLOOKUP(I92,Lookup_Lists!$A$2:$A$5,Lookup_Lists!$B$2:$B$5)-Q92-IF(T92="Yes",R92*0.2,0)</f>
        <v>171.26552000000004</v>
      </c>
      <c r="T92" t="s">
        <v>32</v>
      </c>
      <c r="U92" s="6">
        <v>4.8</v>
      </c>
      <c r="V92" s="7">
        <f t="shared" si="3"/>
        <v>3</v>
      </c>
      <c r="W92">
        <f>IF(SalesDataTable[[#This Row],[Returned]]="Yes",1,0)</f>
        <v>0</v>
      </c>
    </row>
    <row r="93" spans="1:23">
      <c r="A93" t="s">
        <v>251</v>
      </c>
      <c r="B93" s="3">
        <v>45963</v>
      </c>
      <c r="C93" s="3">
        <v>45967</v>
      </c>
      <c r="D93" t="s">
        <v>116</v>
      </c>
      <c r="E93" t="s">
        <v>35</v>
      </c>
      <c r="F93" t="s">
        <v>25</v>
      </c>
      <c r="G93" t="s">
        <v>26</v>
      </c>
      <c r="H93" t="s">
        <v>67</v>
      </c>
      <c r="I93" t="s">
        <v>28</v>
      </c>
      <c r="J93" t="s">
        <v>123</v>
      </c>
      <c r="K93" t="s">
        <v>123</v>
      </c>
      <c r="L93" t="s">
        <v>30</v>
      </c>
      <c r="M93" t="s">
        <v>40</v>
      </c>
      <c r="N93">
        <v>7</v>
      </c>
      <c r="O93" s="4">
        <v>1913.72</v>
      </c>
      <c r="P93" s="5">
        <v>0.1</v>
      </c>
      <c r="Q93" s="4">
        <v>727.71</v>
      </c>
      <c r="R93" s="4">
        <f t="shared" si="2"/>
        <v>12056.436000000002</v>
      </c>
      <c r="S93" s="4">
        <f>R93*_xlfn.XLOOKUP(I93,Lookup_Lists!$A$2:$A$5,Lookup_Lists!$B$2:$B$5)-Q93-IF(T93="Yes",R93*0.2,0)</f>
        <v>1442.44848</v>
      </c>
      <c r="T93" t="s">
        <v>32</v>
      </c>
      <c r="U93" s="6">
        <v>3.9</v>
      </c>
      <c r="V93" s="7">
        <f t="shared" si="3"/>
        <v>4</v>
      </c>
      <c r="W93">
        <f>IF(SalesDataTable[[#This Row],[Returned]]="Yes",1,0)</f>
        <v>0</v>
      </c>
    </row>
    <row r="94" spans="1:23">
      <c r="A94" t="s">
        <v>252</v>
      </c>
      <c r="B94" s="3">
        <v>45780</v>
      </c>
      <c r="C94" s="3">
        <v>45783</v>
      </c>
      <c r="D94" t="s">
        <v>169</v>
      </c>
      <c r="E94" t="s">
        <v>24</v>
      </c>
      <c r="F94" t="s">
        <v>25</v>
      </c>
      <c r="G94" t="s">
        <v>26</v>
      </c>
      <c r="H94" t="s">
        <v>82</v>
      </c>
      <c r="I94" t="s">
        <v>38</v>
      </c>
      <c r="J94" t="s">
        <v>130</v>
      </c>
      <c r="K94" t="s">
        <v>130</v>
      </c>
      <c r="L94" t="s">
        <v>60</v>
      </c>
      <c r="M94" t="s">
        <v>47</v>
      </c>
      <c r="N94">
        <v>4</v>
      </c>
      <c r="O94" s="4">
        <v>779.41</v>
      </c>
      <c r="P94" s="5">
        <v>0.05</v>
      </c>
      <c r="Q94" s="4">
        <v>365.4</v>
      </c>
      <c r="R94" s="4">
        <f t="shared" si="2"/>
        <v>2961.7579999999998</v>
      </c>
      <c r="S94" s="4">
        <f>R94*_xlfn.XLOOKUP(I94,Lookup_Lists!$A$2:$A$5,Lookup_Lists!$B$2:$B$5)-Q94-IF(T94="Yes",R94*0.2,0)</f>
        <v>582.36256000000003</v>
      </c>
      <c r="T94" t="s">
        <v>32</v>
      </c>
      <c r="U94" s="6">
        <v>4.5</v>
      </c>
      <c r="V94" s="7">
        <f t="shared" si="3"/>
        <v>3</v>
      </c>
      <c r="W94">
        <f>IF(SalesDataTable[[#This Row],[Returned]]="Yes",1,0)</f>
        <v>0</v>
      </c>
    </row>
    <row r="95" spans="1:23">
      <c r="A95" t="s">
        <v>253</v>
      </c>
      <c r="B95" s="3">
        <v>45786</v>
      </c>
      <c r="C95" s="3">
        <v>45787</v>
      </c>
      <c r="D95" t="s">
        <v>121</v>
      </c>
      <c r="E95" t="s">
        <v>70</v>
      </c>
      <c r="F95" t="s">
        <v>25</v>
      </c>
      <c r="G95" t="s">
        <v>43</v>
      </c>
      <c r="H95" t="s">
        <v>122</v>
      </c>
      <c r="I95" t="s">
        <v>38</v>
      </c>
      <c r="J95" t="s">
        <v>130</v>
      </c>
      <c r="K95" t="s">
        <v>130</v>
      </c>
      <c r="L95" t="s">
        <v>64</v>
      </c>
      <c r="M95" t="s">
        <v>55</v>
      </c>
      <c r="N95">
        <v>1</v>
      </c>
      <c r="O95" s="4">
        <v>649.66999999999996</v>
      </c>
      <c r="P95" s="5">
        <v>0</v>
      </c>
      <c r="Q95" s="4">
        <v>382.36</v>
      </c>
      <c r="R95" s="4">
        <f t="shared" si="2"/>
        <v>649.66999999999996</v>
      </c>
      <c r="S95" s="4">
        <f>R95*_xlfn.XLOOKUP(I95,Lookup_Lists!$A$2:$A$5,Lookup_Lists!$B$2:$B$5)-Q95-IF(T95="Yes",R95*0.2,0)</f>
        <v>-174.46560000000002</v>
      </c>
      <c r="T95" t="s">
        <v>32</v>
      </c>
      <c r="U95" s="6">
        <v>4.9000000000000004</v>
      </c>
      <c r="V95" s="7">
        <f t="shared" si="3"/>
        <v>1</v>
      </c>
      <c r="W95">
        <f>IF(SalesDataTable[[#This Row],[Returned]]="Yes",1,0)</f>
        <v>0</v>
      </c>
    </row>
    <row r="96" spans="1:23">
      <c r="A96" t="s">
        <v>254</v>
      </c>
      <c r="B96" s="3">
        <v>45704</v>
      </c>
      <c r="C96" s="3">
        <v>45706</v>
      </c>
      <c r="D96" t="s">
        <v>255</v>
      </c>
      <c r="E96" t="s">
        <v>70</v>
      </c>
      <c r="F96" t="s">
        <v>25</v>
      </c>
      <c r="G96" t="s">
        <v>43</v>
      </c>
      <c r="H96" t="s">
        <v>122</v>
      </c>
      <c r="I96" t="s">
        <v>58</v>
      </c>
      <c r="J96" t="s">
        <v>88</v>
      </c>
      <c r="K96" t="s">
        <v>88</v>
      </c>
      <c r="L96" t="s">
        <v>46</v>
      </c>
      <c r="M96" t="s">
        <v>40</v>
      </c>
      <c r="N96">
        <v>2</v>
      </c>
      <c r="O96" s="4">
        <v>6512.27</v>
      </c>
      <c r="P96" s="5">
        <v>0</v>
      </c>
      <c r="Q96" s="4">
        <v>457.02</v>
      </c>
      <c r="R96" s="4">
        <f t="shared" si="2"/>
        <v>13024.54</v>
      </c>
      <c r="S96" s="4">
        <f>R96*_xlfn.XLOOKUP(I96,Lookup_Lists!$A$2:$A$5,Lookup_Lists!$B$2:$B$5)-Q96-IF(T96="Yes",R96*0.2,0)</f>
        <v>2668.8696</v>
      </c>
      <c r="T96" t="s">
        <v>32</v>
      </c>
      <c r="U96" s="6">
        <v>4.3</v>
      </c>
      <c r="V96" s="7">
        <f t="shared" si="3"/>
        <v>2</v>
      </c>
      <c r="W96">
        <f>IF(SalesDataTable[[#This Row],[Returned]]="Yes",1,0)</f>
        <v>0</v>
      </c>
    </row>
    <row r="97" spans="1:23">
      <c r="A97" t="s">
        <v>256</v>
      </c>
      <c r="B97" s="3">
        <v>45732</v>
      </c>
      <c r="C97" s="3">
        <v>45734</v>
      </c>
      <c r="D97" t="s">
        <v>257</v>
      </c>
      <c r="E97" t="s">
        <v>35</v>
      </c>
      <c r="F97" t="s">
        <v>25</v>
      </c>
      <c r="G97" t="s">
        <v>36</v>
      </c>
      <c r="H97" t="s">
        <v>145</v>
      </c>
      <c r="I97" t="s">
        <v>38</v>
      </c>
      <c r="J97" t="s">
        <v>45</v>
      </c>
      <c r="K97" t="s">
        <v>45</v>
      </c>
      <c r="L97" t="s">
        <v>46</v>
      </c>
      <c r="M97" t="s">
        <v>89</v>
      </c>
      <c r="N97">
        <v>5</v>
      </c>
      <c r="O97" s="4">
        <v>230.28</v>
      </c>
      <c r="P97" s="5">
        <v>0</v>
      </c>
      <c r="Q97" s="4">
        <v>182.5</v>
      </c>
      <c r="R97" s="4">
        <f t="shared" si="2"/>
        <v>1151.4000000000001</v>
      </c>
      <c r="S97" s="4">
        <f>R97*_xlfn.XLOOKUP(I97,Lookup_Lists!$A$2:$A$5,Lookup_Lists!$B$2:$B$5)-Q97-IF(T97="Yes",R97*0.2,0)</f>
        <v>185.94800000000004</v>
      </c>
      <c r="T97" t="s">
        <v>32</v>
      </c>
      <c r="U97" s="6">
        <v>4</v>
      </c>
      <c r="V97" s="7">
        <f t="shared" si="3"/>
        <v>2</v>
      </c>
      <c r="W97">
        <f>IF(SalesDataTable[[#This Row],[Returned]]="Yes",1,0)</f>
        <v>0</v>
      </c>
    </row>
    <row r="98" spans="1:23">
      <c r="A98" t="s">
        <v>258</v>
      </c>
      <c r="B98" s="3">
        <v>45969</v>
      </c>
      <c r="C98" s="3">
        <v>45974</v>
      </c>
      <c r="D98" t="s">
        <v>226</v>
      </c>
      <c r="E98" t="s">
        <v>35</v>
      </c>
      <c r="F98" t="s">
        <v>25</v>
      </c>
      <c r="G98" t="s">
        <v>43</v>
      </c>
      <c r="H98" t="s">
        <v>63</v>
      </c>
      <c r="I98" t="s">
        <v>28</v>
      </c>
      <c r="J98" t="s">
        <v>29</v>
      </c>
      <c r="K98" t="s">
        <v>29</v>
      </c>
      <c r="L98" t="s">
        <v>54</v>
      </c>
      <c r="M98" t="s">
        <v>31</v>
      </c>
      <c r="N98">
        <v>2</v>
      </c>
      <c r="O98" s="4">
        <v>47489.38</v>
      </c>
      <c r="P98" s="5">
        <v>0.2</v>
      </c>
      <c r="Q98" s="4">
        <v>1844.82</v>
      </c>
      <c r="R98" s="4">
        <f t="shared" si="2"/>
        <v>75983.008000000002</v>
      </c>
      <c r="S98" s="4">
        <f>R98*_xlfn.XLOOKUP(I98,Lookup_Lists!$A$2:$A$5,Lookup_Lists!$B$2:$B$5)-Q98-IF(T98="Yes",R98*0.2,0)</f>
        <v>-3364.480160000001</v>
      </c>
      <c r="T98" t="s">
        <v>119</v>
      </c>
      <c r="U98" s="6">
        <v>3.2</v>
      </c>
      <c r="V98" s="7">
        <f t="shared" si="3"/>
        <v>5</v>
      </c>
      <c r="W98">
        <f>IF(SalesDataTable[[#This Row],[Returned]]="Yes",1,0)</f>
        <v>1</v>
      </c>
    </row>
    <row r="99" spans="1:23">
      <c r="A99" t="s">
        <v>259</v>
      </c>
      <c r="B99" s="3">
        <v>45731</v>
      </c>
      <c r="C99" s="3">
        <v>45734</v>
      </c>
      <c r="D99" t="s">
        <v>155</v>
      </c>
      <c r="E99" t="s">
        <v>35</v>
      </c>
      <c r="F99" t="s">
        <v>25</v>
      </c>
      <c r="G99" t="s">
        <v>43</v>
      </c>
      <c r="H99" t="s">
        <v>63</v>
      </c>
      <c r="I99" t="s">
        <v>38</v>
      </c>
      <c r="J99" t="s">
        <v>108</v>
      </c>
      <c r="K99" t="s">
        <v>108</v>
      </c>
      <c r="L99" t="s">
        <v>30</v>
      </c>
      <c r="M99" t="s">
        <v>89</v>
      </c>
      <c r="N99">
        <v>2</v>
      </c>
      <c r="O99" s="4">
        <v>118.58</v>
      </c>
      <c r="P99" s="5">
        <v>0.2</v>
      </c>
      <c r="Q99" s="4">
        <v>393.68</v>
      </c>
      <c r="R99" s="4">
        <f t="shared" si="2"/>
        <v>189.72800000000001</v>
      </c>
      <c r="S99" s="4">
        <f>R99*_xlfn.XLOOKUP(I99,Lookup_Lists!$A$2:$A$5,Lookup_Lists!$B$2:$B$5)-Q99-IF(T99="Yes",R99*0.2,0)</f>
        <v>-332.96704</v>
      </c>
      <c r="T99" t="s">
        <v>32</v>
      </c>
      <c r="U99" s="6">
        <v>4.3</v>
      </c>
      <c r="V99" s="7">
        <f t="shared" si="3"/>
        <v>3</v>
      </c>
      <c r="W99">
        <f>IF(SalesDataTable[[#This Row],[Returned]]="Yes",1,0)</f>
        <v>0</v>
      </c>
    </row>
    <row r="100" spans="1:23">
      <c r="A100" t="s">
        <v>260</v>
      </c>
      <c r="B100" s="3">
        <v>45917</v>
      </c>
      <c r="C100" s="3">
        <v>45922</v>
      </c>
      <c r="D100" t="s">
        <v>261</v>
      </c>
      <c r="E100" t="s">
        <v>35</v>
      </c>
      <c r="F100" t="s">
        <v>25</v>
      </c>
      <c r="G100" t="s">
        <v>36</v>
      </c>
      <c r="H100" t="s">
        <v>126</v>
      </c>
      <c r="I100" t="s">
        <v>38</v>
      </c>
      <c r="J100" t="s">
        <v>72</v>
      </c>
      <c r="K100" t="s">
        <v>72</v>
      </c>
      <c r="L100" t="s">
        <v>54</v>
      </c>
      <c r="M100" t="s">
        <v>89</v>
      </c>
      <c r="N100">
        <v>2</v>
      </c>
      <c r="O100" s="4">
        <v>162.05000000000001</v>
      </c>
      <c r="P100" s="5">
        <v>0</v>
      </c>
      <c r="Q100" s="4">
        <v>459.41</v>
      </c>
      <c r="R100" s="4">
        <f t="shared" si="2"/>
        <v>324.10000000000002</v>
      </c>
      <c r="S100" s="4">
        <f>R100*_xlfn.XLOOKUP(I100,Lookup_Lists!$A$2:$A$5,Lookup_Lists!$B$2:$B$5)-Q100-IF(T100="Yes",R100*0.2,0)</f>
        <v>-355.69800000000004</v>
      </c>
      <c r="T100" t="s">
        <v>32</v>
      </c>
      <c r="U100" s="6">
        <v>3.7</v>
      </c>
      <c r="V100" s="7">
        <f t="shared" si="3"/>
        <v>5</v>
      </c>
      <c r="W100">
        <f>IF(SalesDataTable[[#This Row],[Returned]]="Yes",1,0)</f>
        <v>0</v>
      </c>
    </row>
    <row r="101" spans="1:23">
      <c r="A101" t="s">
        <v>262</v>
      </c>
      <c r="B101" s="3">
        <v>45726</v>
      </c>
      <c r="C101" s="3">
        <v>45727</v>
      </c>
      <c r="D101" t="s">
        <v>263</v>
      </c>
      <c r="E101" t="s">
        <v>70</v>
      </c>
      <c r="F101" t="s">
        <v>25</v>
      </c>
      <c r="G101" t="s">
        <v>26</v>
      </c>
      <c r="H101" t="s">
        <v>67</v>
      </c>
      <c r="I101" t="s">
        <v>52</v>
      </c>
      <c r="J101" t="s">
        <v>53</v>
      </c>
      <c r="K101" t="s">
        <v>53</v>
      </c>
      <c r="L101" t="s">
        <v>30</v>
      </c>
      <c r="M101" t="s">
        <v>40</v>
      </c>
      <c r="N101">
        <v>1</v>
      </c>
      <c r="O101" s="4">
        <v>612.07000000000005</v>
      </c>
      <c r="P101" s="5">
        <v>0.05</v>
      </c>
      <c r="Q101" s="4">
        <v>256.44</v>
      </c>
      <c r="R101" s="4">
        <f t="shared" si="2"/>
        <v>581.4665</v>
      </c>
      <c r="S101" s="4">
        <f>R101*_xlfn.XLOOKUP(I101,Lookup_Lists!$A$2:$A$5,Lookup_Lists!$B$2:$B$5)-Q101-IF(T101="Yes",R101*0.2,0)</f>
        <v>-221.55201</v>
      </c>
      <c r="T101" t="s">
        <v>119</v>
      </c>
      <c r="U101" s="6">
        <v>3.2</v>
      </c>
      <c r="V101" s="7">
        <f t="shared" si="3"/>
        <v>1</v>
      </c>
      <c r="W101">
        <f>IF(SalesDataTable[[#This Row],[Returned]]="Yes",1,0)</f>
        <v>1</v>
      </c>
    </row>
    <row r="102" spans="1:23">
      <c r="A102" t="s">
        <v>264</v>
      </c>
      <c r="B102" s="3">
        <v>45760</v>
      </c>
      <c r="C102" s="3">
        <v>45761</v>
      </c>
      <c r="D102" t="s">
        <v>265</v>
      </c>
      <c r="E102" t="s">
        <v>81</v>
      </c>
      <c r="F102" t="s">
        <v>25</v>
      </c>
      <c r="G102" t="s">
        <v>36</v>
      </c>
      <c r="H102" t="s">
        <v>138</v>
      </c>
      <c r="I102" t="s">
        <v>28</v>
      </c>
      <c r="J102" t="s">
        <v>75</v>
      </c>
      <c r="K102" t="s">
        <v>75</v>
      </c>
      <c r="L102" t="s">
        <v>54</v>
      </c>
      <c r="M102" t="s">
        <v>89</v>
      </c>
      <c r="N102">
        <v>5</v>
      </c>
      <c r="O102" s="4">
        <v>10775.35</v>
      </c>
      <c r="P102" s="5">
        <v>0</v>
      </c>
      <c r="Q102" s="4">
        <v>1097.92</v>
      </c>
      <c r="R102" s="4">
        <f t="shared" si="2"/>
        <v>53876.75</v>
      </c>
      <c r="S102" s="4">
        <f>R102*_xlfn.XLOOKUP(I102,Lookup_Lists!$A$2:$A$5,Lookup_Lists!$B$2:$B$5)-Q102-IF(T102="Yes",R102*0.2,0)</f>
        <v>8599.8950000000004</v>
      </c>
      <c r="T102" t="s">
        <v>32</v>
      </c>
      <c r="U102" s="6">
        <v>4.3</v>
      </c>
      <c r="V102" s="7">
        <f t="shared" si="3"/>
        <v>1</v>
      </c>
      <c r="W102">
        <f>IF(SalesDataTable[[#This Row],[Returned]]="Yes",1,0)</f>
        <v>0</v>
      </c>
    </row>
    <row r="103" spans="1:23">
      <c r="A103" t="s">
        <v>266</v>
      </c>
      <c r="B103" s="3">
        <v>45855</v>
      </c>
      <c r="C103" s="3">
        <v>45858</v>
      </c>
      <c r="D103" t="s">
        <v>267</v>
      </c>
      <c r="E103" t="s">
        <v>70</v>
      </c>
      <c r="F103" t="s">
        <v>25</v>
      </c>
      <c r="G103" t="s">
        <v>36</v>
      </c>
      <c r="H103" t="s">
        <v>37</v>
      </c>
      <c r="I103" t="s">
        <v>52</v>
      </c>
      <c r="J103" t="s">
        <v>105</v>
      </c>
      <c r="K103" t="s">
        <v>105</v>
      </c>
      <c r="L103" t="s">
        <v>64</v>
      </c>
      <c r="M103" t="s">
        <v>47</v>
      </c>
      <c r="N103">
        <v>1</v>
      </c>
      <c r="O103" s="4">
        <v>1378.96</v>
      </c>
      <c r="P103" s="5">
        <v>0.15</v>
      </c>
      <c r="Q103" s="4">
        <v>411.6</v>
      </c>
      <c r="R103" s="4">
        <f t="shared" si="2"/>
        <v>1172.116</v>
      </c>
      <c r="S103" s="4">
        <f>R103*_xlfn.XLOOKUP(I103,Lookup_Lists!$A$2:$A$5,Lookup_Lists!$B$2:$B$5)-Q103-IF(T103="Yes",R103*0.2,0)</f>
        <v>-106.84984000000003</v>
      </c>
      <c r="T103" t="s">
        <v>32</v>
      </c>
      <c r="U103" s="6">
        <v>3.4</v>
      </c>
      <c r="V103" s="7">
        <f t="shared" si="3"/>
        <v>3</v>
      </c>
      <c r="W103">
        <f>IF(SalesDataTable[[#This Row],[Returned]]="Yes",1,0)</f>
        <v>0</v>
      </c>
    </row>
    <row r="104" spans="1:23">
      <c r="A104" t="s">
        <v>268</v>
      </c>
      <c r="B104" s="3">
        <v>45698</v>
      </c>
      <c r="C104" s="3">
        <v>45701</v>
      </c>
      <c r="D104" t="s">
        <v>269</v>
      </c>
      <c r="E104" t="s">
        <v>35</v>
      </c>
      <c r="F104" t="s">
        <v>25</v>
      </c>
      <c r="G104" t="s">
        <v>36</v>
      </c>
      <c r="H104" t="s">
        <v>138</v>
      </c>
      <c r="I104" t="s">
        <v>28</v>
      </c>
      <c r="J104" t="s">
        <v>111</v>
      </c>
      <c r="K104" t="s">
        <v>111</v>
      </c>
      <c r="L104" t="s">
        <v>46</v>
      </c>
      <c r="M104" t="s">
        <v>89</v>
      </c>
      <c r="N104">
        <v>4</v>
      </c>
      <c r="O104" s="4">
        <v>1384.18</v>
      </c>
      <c r="P104" s="5">
        <v>0.05</v>
      </c>
      <c r="Q104" s="4">
        <v>410.97</v>
      </c>
      <c r="R104" s="4">
        <f t="shared" si="2"/>
        <v>5259.884</v>
      </c>
      <c r="S104" s="4">
        <f>R104*_xlfn.XLOOKUP(I104,Lookup_Lists!$A$2:$A$5,Lookup_Lists!$B$2:$B$5)-Q104-IF(T104="Yes",R104*0.2,0)</f>
        <v>535.80911999999989</v>
      </c>
      <c r="T104" t="s">
        <v>32</v>
      </c>
      <c r="U104" s="6">
        <v>4.4000000000000004</v>
      </c>
      <c r="V104" s="7">
        <f t="shared" si="3"/>
        <v>3</v>
      </c>
      <c r="W104">
        <f>IF(SalesDataTable[[#This Row],[Returned]]="Yes",1,0)</f>
        <v>0</v>
      </c>
    </row>
    <row r="105" spans="1:23">
      <c r="A105" t="s">
        <v>270</v>
      </c>
      <c r="B105" s="3">
        <v>46001</v>
      </c>
      <c r="C105" s="3">
        <v>46007</v>
      </c>
      <c r="D105" t="s">
        <v>271</v>
      </c>
      <c r="E105" t="s">
        <v>35</v>
      </c>
      <c r="F105" t="s">
        <v>25</v>
      </c>
      <c r="G105" t="s">
        <v>26</v>
      </c>
      <c r="H105" t="s">
        <v>153</v>
      </c>
      <c r="I105" t="s">
        <v>28</v>
      </c>
      <c r="J105" t="s">
        <v>99</v>
      </c>
      <c r="K105" t="s">
        <v>99</v>
      </c>
      <c r="L105" t="s">
        <v>30</v>
      </c>
      <c r="M105" t="s">
        <v>47</v>
      </c>
      <c r="N105">
        <v>1</v>
      </c>
      <c r="O105" s="4">
        <v>3150.6</v>
      </c>
      <c r="P105" s="5">
        <v>0.1</v>
      </c>
      <c r="Q105" s="4">
        <v>336.07</v>
      </c>
      <c r="R105" s="4">
        <f t="shared" si="2"/>
        <v>2835.54</v>
      </c>
      <c r="S105" s="4">
        <f>R105*_xlfn.XLOOKUP(I105,Lookup_Lists!$A$2:$A$5,Lookup_Lists!$B$2:$B$5)-Q105-IF(T105="Yes",R105*0.2,0)</f>
        <v>174.3272</v>
      </c>
      <c r="T105" t="s">
        <v>32</v>
      </c>
      <c r="U105" s="6">
        <v>4.0999999999999996</v>
      </c>
      <c r="V105" s="7">
        <f t="shared" si="3"/>
        <v>6</v>
      </c>
      <c r="W105">
        <f>IF(SalesDataTable[[#This Row],[Returned]]="Yes",1,0)</f>
        <v>0</v>
      </c>
    </row>
    <row r="106" spans="1:23">
      <c r="A106" t="s">
        <v>272</v>
      </c>
      <c r="B106" s="3">
        <v>45948</v>
      </c>
      <c r="C106" s="3">
        <v>45949</v>
      </c>
      <c r="D106" t="s">
        <v>144</v>
      </c>
      <c r="E106" t="s">
        <v>35</v>
      </c>
      <c r="F106" t="s">
        <v>25</v>
      </c>
      <c r="G106" t="s">
        <v>36</v>
      </c>
      <c r="H106" t="s">
        <v>37</v>
      </c>
      <c r="I106" t="s">
        <v>58</v>
      </c>
      <c r="J106" t="s">
        <v>92</v>
      </c>
      <c r="K106" t="s">
        <v>92</v>
      </c>
      <c r="L106" t="s">
        <v>46</v>
      </c>
      <c r="M106" t="s">
        <v>31</v>
      </c>
      <c r="N106">
        <v>2</v>
      </c>
      <c r="O106" s="4">
        <v>8281.68</v>
      </c>
      <c r="P106" s="5">
        <v>0</v>
      </c>
      <c r="Q106" s="4">
        <v>875.95</v>
      </c>
      <c r="R106" s="4">
        <f t="shared" si="2"/>
        <v>16563.36</v>
      </c>
      <c r="S106" s="4">
        <f>R106*_xlfn.XLOOKUP(I106,Lookup_Lists!$A$2:$A$5,Lookup_Lists!$B$2:$B$5)-Q106-IF(T106="Yes",R106*0.2,0)</f>
        <v>-213.41560000000027</v>
      </c>
      <c r="T106" t="s">
        <v>119</v>
      </c>
      <c r="U106" s="6">
        <v>3.8</v>
      </c>
      <c r="V106" s="7">
        <f t="shared" si="3"/>
        <v>1</v>
      </c>
      <c r="W106">
        <f>IF(SalesDataTable[[#This Row],[Returned]]="Yes",1,0)</f>
        <v>1</v>
      </c>
    </row>
    <row r="107" spans="1:23">
      <c r="A107" t="s">
        <v>273</v>
      </c>
      <c r="B107" s="3">
        <v>45945</v>
      </c>
      <c r="C107" s="3">
        <v>45946</v>
      </c>
      <c r="D107" t="s">
        <v>101</v>
      </c>
      <c r="E107" t="s">
        <v>24</v>
      </c>
      <c r="F107" t="s">
        <v>25</v>
      </c>
      <c r="G107" t="s">
        <v>36</v>
      </c>
      <c r="H107" t="s">
        <v>145</v>
      </c>
      <c r="I107" t="s">
        <v>52</v>
      </c>
      <c r="J107" t="s">
        <v>105</v>
      </c>
      <c r="K107" t="s">
        <v>105</v>
      </c>
      <c r="L107" t="s">
        <v>30</v>
      </c>
      <c r="M107" t="s">
        <v>47</v>
      </c>
      <c r="N107">
        <v>1</v>
      </c>
      <c r="O107" s="4">
        <v>1196.93</v>
      </c>
      <c r="P107" s="5">
        <v>0</v>
      </c>
      <c r="Q107" s="4">
        <v>196.37</v>
      </c>
      <c r="R107" s="4">
        <f t="shared" si="2"/>
        <v>1196.93</v>
      </c>
      <c r="S107" s="4">
        <f>R107*_xlfn.XLOOKUP(I107,Lookup_Lists!$A$2:$A$5,Lookup_Lists!$B$2:$B$5)-Q107-IF(T107="Yes",R107*0.2,0)</f>
        <v>114.83180000000004</v>
      </c>
      <c r="T107" t="s">
        <v>32</v>
      </c>
      <c r="U107" s="6">
        <v>4.9000000000000004</v>
      </c>
      <c r="V107" s="7">
        <f t="shared" si="3"/>
        <v>1</v>
      </c>
      <c r="W107">
        <f>IF(SalesDataTable[[#This Row],[Returned]]="Yes",1,0)</f>
        <v>0</v>
      </c>
    </row>
    <row r="108" spans="1:23">
      <c r="A108" t="s">
        <v>274</v>
      </c>
      <c r="B108" s="3">
        <v>45702</v>
      </c>
      <c r="C108" s="3">
        <v>45709</v>
      </c>
      <c r="D108" t="s">
        <v>197</v>
      </c>
      <c r="E108" t="s">
        <v>81</v>
      </c>
      <c r="F108" t="s">
        <v>25</v>
      </c>
      <c r="G108" t="s">
        <v>43</v>
      </c>
      <c r="H108" t="s">
        <v>44</v>
      </c>
      <c r="I108" t="s">
        <v>38</v>
      </c>
      <c r="J108" t="s">
        <v>130</v>
      </c>
      <c r="K108" t="s">
        <v>130</v>
      </c>
      <c r="L108" t="s">
        <v>46</v>
      </c>
      <c r="M108" t="s">
        <v>55</v>
      </c>
      <c r="N108">
        <v>5</v>
      </c>
      <c r="O108" s="4">
        <v>765.48</v>
      </c>
      <c r="P108" s="5">
        <v>0.2</v>
      </c>
      <c r="Q108" s="4">
        <v>500.9</v>
      </c>
      <c r="R108" s="4">
        <f t="shared" si="2"/>
        <v>3061.92</v>
      </c>
      <c r="S108" s="4">
        <f>R108*_xlfn.XLOOKUP(I108,Lookup_Lists!$A$2:$A$5,Lookup_Lists!$B$2:$B$5)-Q108-IF(T108="Yes",R108*0.2,0)</f>
        <v>478.91440000000011</v>
      </c>
      <c r="T108" t="s">
        <v>32</v>
      </c>
      <c r="U108" s="6">
        <v>4</v>
      </c>
      <c r="V108" s="7">
        <f t="shared" si="3"/>
        <v>7</v>
      </c>
      <c r="W108">
        <f>IF(SalesDataTable[[#This Row],[Returned]]="Yes",1,0)</f>
        <v>0</v>
      </c>
    </row>
    <row r="109" spans="1:23">
      <c r="A109" t="s">
        <v>275</v>
      </c>
      <c r="B109" s="3">
        <v>45760</v>
      </c>
      <c r="C109" s="3">
        <v>45767</v>
      </c>
      <c r="D109" t="s">
        <v>276</v>
      </c>
      <c r="E109" t="s">
        <v>35</v>
      </c>
      <c r="F109" t="s">
        <v>25</v>
      </c>
      <c r="G109" t="s">
        <v>36</v>
      </c>
      <c r="H109" t="s">
        <v>126</v>
      </c>
      <c r="I109" t="s">
        <v>58</v>
      </c>
      <c r="J109" t="s">
        <v>59</v>
      </c>
      <c r="K109" t="s">
        <v>59</v>
      </c>
      <c r="L109" t="s">
        <v>46</v>
      </c>
      <c r="M109" t="s">
        <v>31</v>
      </c>
      <c r="N109">
        <v>1</v>
      </c>
      <c r="O109" s="4">
        <v>7444.28</v>
      </c>
      <c r="P109" s="5">
        <v>0</v>
      </c>
      <c r="Q109" s="4">
        <v>418.62</v>
      </c>
      <c r="R109" s="4">
        <f t="shared" si="2"/>
        <v>7444.28</v>
      </c>
      <c r="S109" s="4">
        <f>R109*_xlfn.XLOOKUP(I109,Lookup_Lists!$A$2:$A$5,Lookup_Lists!$B$2:$B$5)-Q109-IF(T109="Yes",R109*0.2,0)</f>
        <v>1368.0072</v>
      </c>
      <c r="T109" t="s">
        <v>32</v>
      </c>
      <c r="U109" s="6">
        <v>4.2</v>
      </c>
      <c r="V109" s="7">
        <f t="shared" si="3"/>
        <v>7</v>
      </c>
      <c r="W109">
        <f>IF(SalesDataTable[[#This Row],[Returned]]="Yes",1,0)</f>
        <v>0</v>
      </c>
    </row>
    <row r="110" spans="1:23">
      <c r="A110" t="s">
        <v>277</v>
      </c>
      <c r="B110" s="3">
        <v>45903</v>
      </c>
      <c r="C110" s="3">
        <v>45908</v>
      </c>
      <c r="D110" t="s">
        <v>278</v>
      </c>
      <c r="E110" t="s">
        <v>24</v>
      </c>
      <c r="F110" t="s">
        <v>25</v>
      </c>
      <c r="G110" t="s">
        <v>50</v>
      </c>
      <c r="H110" t="s">
        <v>51</v>
      </c>
      <c r="I110" t="s">
        <v>52</v>
      </c>
      <c r="J110" t="s">
        <v>114</v>
      </c>
      <c r="K110" t="s">
        <v>114</v>
      </c>
      <c r="L110" t="s">
        <v>46</v>
      </c>
      <c r="M110" t="s">
        <v>31</v>
      </c>
      <c r="N110">
        <v>2</v>
      </c>
      <c r="O110" s="4">
        <v>10862.19</v>
      </c>
      <c r="P110" s="5">
        <v>0.1</v>
      </c>
      <c r="Q110" s="4">
        <v>770.55</v>
      </c>
      <c r="R110" s="4">
        <f t="shared" si="2"/>
        <v>19551.942000000003</v>
      </c>
      <c r="S110" s="4">
        <f>R110*_xlfn.XLOOKUP(I110,Lookup_Lists!$A$2:$A$5,Lookup_Lists!$B$2:$B$5)-Q110-IF(T110="Yes",R110*0.2,0)</f>
        <v>4312.954920000001</v>
      </c>
      <c r="T110" t="s">
        <v>32</v>
      </c>
      <c r="U110" s="6">
        <v>4.8</v>
      </c>
      <c r="V110" s="7">
        <f t="shared" si="3"/>
        <v>5</v>
      </c>
      <c r="W110">
        <f>IF(SalesDataTable[[#This Row],[Returned]]="Yes",1,0)</f>
        <v>0</v>
      </c>
    </row>
    <row r="111" spans="1:23">
      <c r="A111" t="s">
        <v>279</v>
      </c>
      <c r="B111" s="3">
        <v>45686</v>
      </c>
      <c r="C111" s="3">
        <v>45693</v>
      </c>
      <c r="D111" t="s">
        <v>280</v>
      </c>
      <c r="E111" t="s">
        <v>70</v>
      </c>
      <c r="F111" t="s">
        <v>25</v>
      </c>
      <c r="G111" t="s">
        <v>43</v>
      </c>
      <c r="H111" t="s">
        <v>63</v>
      </c>
      <c r="I111" t="s">
        <v>28</v>
      </c>
      <c r="J111" t="s">
        <v>75</v>
      </c>
      <c r="K111" t="s">
        <v>75</v>
      </c>
      <c r="L111" t="s">
        <v>54</v>
      </c>
      <c r="M111" t="s">
        <v>31</v>
      </c>
      <c r="N111">
        <v>5</v>
      </c>
      <c r="O111" s="4">
        <v>12471.58</v>
      </c>
      <c r="P111" s="5">
        <v>0</v>
      </c>
      <c r="Q111" s="4">
        <v>1377.35</v>
      </c>
      <c r="R111" s="4">
        <f t="shared" si="2"/>
        <v>62357.9</v>
      </c>
      <c r="S111" s="4">
        <f>R111*_xlfn.XLOOKUP(I111,Lookup_Lists!$A$2:$A$5,Lookup_Lists!$B$2:$B$5)-Q111-IF(T111="Yes",R111*0.2,0)</f>
        <v>9847.0720000000001</v>
      </c>
      <c r="T111" t="s">
        <v>32</v>
      </c>
      <c r="U111" s="6">
        <v>4.0999999999999996</v>
      </c>
      <c r="V111" s="7">
        <f t="shared" si="3"/>
        <v>7</v>
      </c>
      <c r="W111">
        <f>IF(SalesDataTable[[#This Row],[Returned]]="Yes",1,0)</f>
        <v>0</v>
      </c>
    </row>
    <row r="112" spans="1:23">
      <c r="A112" t="s">
        <v>281</v>
      </c>
      <c r="B112" s="3">
        <v>45722</v>
      </c>
      <c r="C112" s="3">
        <v>45728</v>
      </c>
      <c r="D112" t="s">
        <v>282</v>
      </c>
      <c r="E112" t="s">
        <v>70</v>
      </c>
      <c r="F112" t="s">
        <v>25</v>
      </c>
      <c r="G112" t="s">
        <v>50</v>
      </c>
      <c r="H112" t="s">
        <v>51</v>
      </c>
      <c r="I112" t="s">
        <v>38</v>
      </c>
      <c r="J112" t="s">
        <v>130</v>
      </c>
      <c r="K112" t="s">
        <v>130</v>
      </c>
      <c r="L112" t="s">
        <v>54</v>
      </c>
      <c r="M112" t="s">
        <v>31</v>
      </c>
      <c r="N112">
        <v>4</v>
      </c>
      <c r="O112" s="4">
        <v>743.08</v>
      </c>
      <c r="P112" s="5">
        <v>0.15</v>
      </c>
      <c r="Q112" s="4">
        <v>445.85</v>
      </c>
      <c r="R112" s="4">
        <f t="shared" si="2"/>
        <v>2526.4720000000002</v>
      </c>
      <c r="S112" s="4">
        <f>R112*_xlfn.XLOOKUP(I112,Lookup_Lists!$A$2:$A$5,Lookup_Lists!$B$2:$B$5)-Q112-IF(T112="Yes",R112*0.2,0)</f>
        <v>362.62104000000011</v>
      </c>
      <c r="T112" t="s">
        <v>32</v>
      </c>
      <c r="U112" s="6">
        <v>4.4000000000000004</v>
      </c>
      <c r="V112" s="7">
        <f t="shared" si="3"/>
        <v>6</v>
      </c>
      <c r="W112">
        <f>IF(SalesDataTable[[#This Row],[Returned]]="Yes",1,0)</f>
        <v>0</v>
      </c>
    </row>
    <row r="113" spans="1:23">
      <c r="A113" t="s">
        <v>283</v>
      </c>
      <c r="B113" s="3">
        <v>45986</v>
      </c>
      <c r="C113" s="3">
        <v>45993</v>
      </c>
      <c r="D113" t="s">
        <v>284</v>
      </c>
      <c r="E113" t="s">
        <v>35</v>
      </c>
      <c r="F113" t="s">
        <v>25</v>
      </c>
      <c r="G113" t="s">
        <v>26</v>
      </c>
      <c r="H113" t="s">
        <v>67</v>
      </c>
      <c r="I113" t="s">
        <v>38</v>
      </c>
      <c r="J113" t="s">
        <v>39</v>
      </c>
      <c r="K113" t="s">
        <v>39</v>
      </c>
      <c r="L113" t="s">
        <v>46</v>
      </c>
      <c r="M113" t="s">
        <v>31</v>
      </c>
      <c r="N113">
        <v>1</v>
      </c>
      <c r="O113" s="4">
        <v>490.14</v>
      </c>
      <c r="P113" s="5">
        <v>0.05</v>
      </c>
      <c r="Q113" s="4">
        <v>546.02</v>
      </c>
      <c r="R113" s="4">
        <f t="shared" si="2"/>
        <v>465.63299999999998</v>
      </c>
      <c r="S113" s="4">
        <f>R113*_xlfn.XLOOKUP(I113,Lookup_Lists!$A$2:$A$5,Lookup_Lists!$B$2:$B$5)-Q113-IF(T113="Yes",R113*0.2,0)</f>
        <v>-397.01743999999997</v>
      </c>
      <c r="T113" t="s">
        <v>32</v>
      </c>
      <c r="U113" s="6">
        <v>4.3</v>
      </c>
      <c r="V113" s="7">
        <f t="shared" si="3"/>
        <v>7</v>
      </c>
      <c r="W113">
        <f>IF(SalesDataTable[[#This Row],[Returned]]="Yes",1,0)</f>
        <v>0</v>
      </c>
    </row>
    <row r="114" spans="1:23">
      <c r="A114" t="s">
        <v>285</v>
      </c>
      <c r="B114" s="3">
        <v>45810</v>
      </c>
      <c r="C114" s="3">
        <v>45814</v>
      </c>
      <c r="D114" t="s">
        <v>286</v>
      </c>
      <c r="E114" t="s">
        <v>70</v>
      </c>
      <c r="F114" t="s">
        <v>25</v>
      </c>
      <c r="G114" t="s">
        <v>26</v>
      </c>
      <c r="H114" t="s">
        <v>67</v>
      </c>
      <c r="I114" t="s">
        <v>58</v>
      </c>
      <c r="J114" t="s">
        <v>88</v>
      </c>
      <c r="K114" t="s">
        <v>88</v>
      </c>
      <c r="L114" t="s">
        <v>54</v>
      </c>
      <c r="M114" t="s">
        <v>31</v>
      </c>
      <c r="N114">
        <v>1</v>
      </c>
      <c r="O114" s="4">
        <v>8196.81</v>
      </c>
      <c r="P114" s="5">
        <v>0</v>
      </c>
      <c r="Q114" s="4">
        <v>766.13</v>
      </c>
      <c r="R114" s="4">
        <f t="shared" si="2"/>
        <v>8196.81</v>
      </c>
      <c r="S114" s="4">
        <f>R114*_xlfn.XLOOKUP(I114,Lookup_Lists!$A$2:$A$5,Lookup_Lists!$B$2:$B$5)-Q114-IF(T114="Yes",R114*0.2,0)</f>
        <v>1201.1043999999997</v>
      </c>
      <c r="T114" t="s">
        <v>32</v>
      </c>
      <c r="U114" s="6">
        <v>3.7</v>
      </c>
      <c r="V114" s="7">
        <f t="shared" si="3"/>
        <v>4</v>
      </c>
      <c r="W114">
        <f>IF(SalesDataTable[[#This Row],[Returned]]="Yes",1,0)</f>
        <v>0</v>
      </c>
    </row>
    <row r="115" spans="1:23">
      <c r="A115" t="s">
        <v>287</v>
      </c>
      <c r="B115" s="3">
        <v>45921</v>
      </c>
      <c r="C115" s="3">
        <v>45926</v>
      </c>
      <c r="D115" t="s">
        <v>74</v>
      </c>
      <c r="E115" t="s">
        <v>35</v>
      </c>
      <c r="F115" t="s">
        <v>25</v>
      </c>
      <c r="G115" t="s">
        <v>36</v>
      </c>
      <c r="H115" t="s">
        <v>126</v>
      </c>
      <c r="I115" t="s">
        <v>28</v>
      </c>
      <c r="J115" t="s">
        <v>75</v>
      </c>
      <c r="K115" t="s">
        <v>75</v>
      </c>
      <c r="L115" t="s">
        <v>54</v>
      </c>
      <c r="M115" t="s">
        <v>89</v>
      </c>
      <c r="N115">
        <v>1</v>
      </c>
      <c r="O115" s="4">
        <v>10947.69</v>
      </c>
      <c r="P115" s="5">
        <v>0.05</v>
      </c>
      <c r="Q115" s="4">
        <v>385.73</v>
      </c>
      <c r="R115" s="4">
        <f t="shared" si="2"/>
        <v>10400.3055</v>
      </c>
      <c r="S115" s="4">
        <f>R115*_xlfn.XLOOKUP(I115,Lookup_Lists!$A$2:$A$5,Lookup_Lists!$B$2:$B$5)-Q115-IF(T115="Yes",R115*0.2,0)</f>
        <v>1486.3249900000001</v>
      </c>
      <c r="T115" t="s">
        <v>32</v>
      </c>
      <c r="U115" s="6">
        <v>4.8</v>
      </c>
      <c r="V115" s="7">
        <f t="shared" si="3"/>
        <v>5</v>
      </c>
      <c r="W115">
        <f>IF(SalesDataTable[[#This Row],[Returned]]="Yes",1,0)</f>
        <v>0</v>
      </c>
    </row>
    <row r="116" spans="1:23">
      <c r="A116" t="s">
        <v>288</v>
      </c>
      <c r="B116" s="3">
        <v>45739</v>
      </c>
      <c r="C116" s="3">
        <v>45746</v>
      </c>
      <c r="D116" t="s">
        <v>289</v>
      </c>
      <c r="E116" t="s">
        <v>81</v>
      </c>
      <c r="F116" t="s">
        <v>25</v>
      </c>
      <c r="G116" t="s">
        <v>43</v>
      </c>
      <c r="H116" t="s">
        <v>63</v>
      </c>
      <c r="I116" t="s">
        <v>38</v>
      </c>
      <c r="J116" t="s">
        <v>45</v>
      </c>
      <c r="K116" t="s">
        <v>45</v>
      </c>
      <c r="L116" t="s">
        <v>60</v>
      </c>
      <c r="M116" t="s">
        <v>47</v>
      </c>
      <c r="N116">
        <v>2</v>
      </c>
      <c r="O116" s="4">
        <v>252.87</v>
      </c>
      <c r="P116" s="5">
        <v>0</v>
      </c>
      <c r="Q116" s="4">
        <v>626.37</v>
      </c>
      <c r="R116" s="4">
        <f t="shared" si="2"/>
        <v>505.74</v>
      </c>
      <c r="S116" s="4">
        <f>R116*_xlfn.XLOOKUP(I116,Lookup_Lists!$A$2:$A$5,Lookup_Lists!$B$2:$B$5)-Q116-IF(T116="Yes",R116*0.2,0)</f>
        <v>-464.53319999999997</v>
      </c>
      <c r="T116" t="s">
        <v>32</v>
      </c>
      <c r="U116" s="6">
        <v>4.5999999999999996</v>
      </c>
      <c r="V116" s="7">
        <f t="shared" si="3"/>
        <v>7</v>
      </c>
      <c r="W116">
        <f>IF(SalesDataTable[[#This Row],[Returned]]="Yes",1,0)</f>
        <v>0</v>
      </c>
    </row>
    <row r="117" spans="1:23">
      <c r="A117" t="s">
        <v>290</v>
      </c>
      <c r="B117" s="3">
        <v>45838</v>
      </c>
      <c r="C117" s="3">
        <v>45839</v>
      </c>
      <c r="D117" t="s">
        <v>291</v>
      </c>
      <c r="E117" t="s">
        <v>35</v>
      </c>
      <c r="F117" t="s">
        <v>25</v>
      </c>
      <c r="G117" t="s">
        <v>36</v>
      </c>
      <c r="H117" t="s">
        <v>37</v>
      </c>
      <c r="I117" t="s">
        <v>58</v>
      </c>
      <c r="J117" t="s">
        <v>92</v>
      </c>
      <c r="K117" t="s">
        <v>92</v>
      </c>
      <c r="L117" t="s">
        <v>46</v>
      </c>
      <c r="M117" t="s">
        <v>55</v>
      </c>
      <c r="N117">
        <v>4</v>
      </c>
      <c r="O117" s="4">
        <v>9427.83</v>
      </c>
      <c r="P117" s="5">
        <v>0</v>
      </c>
      <c r="Q117" s="4">
        <v>874</v>
      </c>
      <c r="R117" s="4">
        <f t="shared" si="2"/>
        <v>37711.32</v>
      </c>
      <c r="S117" s="4">
        <f>R117*_xlfn.XLOOKUP(I117,Lookup_Lists!$A$2:$A$5,Lookup_Lists!$B$2:$B$5)-Q117-IF(T117="Yes",R117*0.2,0)</f>
        <v>8176.7168000000001</v>
      </c>
      <c r="T117" t="s">
        <v>32</v>
      </c>
      <c r="U117" s="6">
        <v>4.3</v>
      </c>
      <c r="V117" s="7">
        <f t="shared" si="3"/>
        <v>1</v>
      </c>
      <c r="W117">
        <f>IF(SalesDataTable[[#This Row],[Returned]]="Yes",1,0)</f>
        <v>0</v>
      </c>
    </row>
    <row r="118" spans="1:23">
      <c r="A118" t="s">
        <v>292</v>
      </c>
      <c r="B118" s="3">
        <v>45757</v>
      </c>
      <c r="C118" s="3">
        <v>45760</v>
      </c>
      <c r="D118" t="s">
        <v>107</v>
      </c>
      <c r="E118" t="s">
        <v>35</v>
      </c>
      <c r="F118" t="s">
        <v>25</v>
      </c>
      <c r="G118" t="s">
        <v>36</v>
      </c>
      <c r="H118" t="s">
        <v>138</v>
      </c>
      <c r="I118" t="s">
        <v>38</v>
      </c>
      <c r="J118" t="s">
        <v>72</v>
      </c>
      <c r="K118" t="s">
        <v>72</v>
      </c>
      <c r="L118" t="s">
        <v>64</v>
      </c>
      <c r="M118" t="s">
        <v>31</v>
      </c>
      <c r="N118">
        <v>3</v>
      </c>
      <c r="O118" s="4">
        <v>164.82</v>
      </c>
      <c r="P118" s="5">
        <v>0.25</v>
      </c>
      <c r="Q118" s="4">
        <v>311.94</v>
      </c>
      <c r="R118" s="4">
        <f t="shared" si="2"/>
        <v>370.84499999999997</v>
      </c>
      <c r="S118" s="4">
        <f>R118*_xlfn.XLOOKUP(I118,Lookup_Lists!$A$2:$A$5,Lookup_Lists!$B$2:$B$5)-Q118-IF(T118="Yes",R118*0.2,0)</f>
        <v>-193.26960000000003</v>
      </c>
      <c r="T118" t="s">
        <v>32</v>
      </c>
      <c r="U118" s="6">
        <v>3.8</v>
      </c>
      <c r="V118" s="7">
        <f t="shared" si="3"/>
        <v>3</v>
      </c>
      <c r="W118">
        <f>IF(SalesDataTable[[#This Row],[Returned]]="Yes",1,0)</f>
        <v>0</v>
      </c>
    </row>
    <row r="119" spans="1:23">
      <c r="A119" t="s">
        <v>293</v>
      </c>
      <c r="B119" s="3">
        <v>45731</v>
      </c>
      <c r="C119" s="3">
        <v>45733</v>
      </c>
      <c r="D119" t="s">
        <v>144</v>
      </c>
      <c r="E119" t="s">
        <v>70</v>
      </c>
      <c r="F119" t="s">
        <v>25</v>
      </c>
      <c r="G119" t="s">
        <v>50</v>
      </c>
      <c r="H119" t="s">
        <v>78</v>
      </c>
      <c r="I119" t="s">
        <v>28</v>
      </c>
      <c r="J119" t="s">
        <v>123</v>
      </c>
      <c r="K119" t="s">
        <v>123</v>
      </c>
      <c r="L119" t="s">
        <v>64</v>
      </c>
      <c r="M119" t="s">
        <v>31</v>
      </c>
      <c r="N119">
        <v>2</v>
      </c>
      <c r="O119" s="4">
        <v>1911.38</v>
      </c>
      <c r="P119" s="5">
        <v>0.05</v>
      </c>
      <c r="Q119" s="4">
        <v>324.27999999999997</v>
      </c>
      <c r="R119" s="4">
        <f t="shared" si="2"/>
        <v>3631.6219999999998</v>
      </c>
      <c r="S119" s="4">
        <f>R119*_xlfn.XLOOKUP(I119,Lookup_Lists!$A$2:$A$5,Lookup_Lists!$B$2:$B$5)-Q119-IF(T119="Yes",R119*0.2,0)</f>
        <v>329.41196000000002</v>
      </c>
      <c r="T119" t="s">
        <v>32</v>
      </c>
      <c r="U119" s="6">
        <v>5</v>
      </c>
      <c r="V119" s="7">
        <f t="shared" si="3"/>
        <v>2</v>
      </c>
      <c r="W119">
        <f>IF(SalesDataTable[[#This Row],[Returned]]="Yes",1,0)</f>
        <v>0</v>
      </c>
    </row>
    <row r="120" spans="1:23">
      <c r="A120" t="s">
        <v>294</v>
      </c>
      <c r="B120" s="3">
        <v>45741</v>
      </c>
      <c r="C120" s="3">
        <v>45745</v>
      </c>
      <c r="D120" t="s">
        <v>157</v>
      </c>
      <c r="E120" t="s">
        <v>24</v>
      </c>
      <c r="F120" t="s">
        <v>25</v>
      </c>
      <c r="G120" t="s">
        <v>43</v>
      </c>
      <c r="H120" t="s">
        <v>44</v>
      </c>
      <c r="I120" t="s">
        <v>58</v>
      </c>
      <c r="J120" t="s">
        <v>88</v>
      </c>
      <c r="K120" t="s">
        <v>88</v>
      </c>
      <c r="L120" t="s">
        <v>30</v>
      </c>
      <c r="M120" t="s">
        <v>55</v>
      </c>
      <c r="N120">
        <v>2</v>
      </c>
      <c r="O120" s="4">
        <v>6371.94</v>
      </c>
      <c r="P120" s="5">
        <v>0</v>
      </c>
      <c r="Q120" s="4">
        <v>333.63</v>
      </c>
      <c r="R120" s="4">
        <f t="shared" si="2"/>
        <v>12743.88</v>
      </c>
      <c r="S120" s="4">
        <f>R120*_xlfn.XLOOKUP(I120,Lookup_Lists!$A$2:$A$5,Lookup_Lists!$B$2:$B$5)-Q120-IF(T120="Yes",R120*0.2,0)</f>
        <v>2724.9011999999998</v>
      </c>
      <c r="T120" t="s">
        <v>32</v>
      </c>
      <c r="U120" s="6">
        <v>4</v>
      </c>
      <c r="V120" s="7">
        <f t="shared" si="3"/>
        <v>4</v>
      </c>
      <c r="W120">
        <f>IF(SalesDataTable[[#This Row],[Returned]]="Yes",1,0)</f>
        <v>0</v>
      </c>
    </row>
    <row r="121" spans="1:23">
      <c r="A121" t="s">
        <v>295</v>
      </c>
      <c r="B121" s="3">
        <v>46010</v>
      </c>
      <c r="C121" s="3">
        <v>46016</v>
      </c>
      <c r="D121" t="s">
        <v>23</v>
      </c>
      <c r="E121" t="s">
        <v>70</v>
      </c>
      <c r="F121" t="s">
        <v>25</v>
      </c>
      <c r="G121" t="s">
        <v>43</v>
      </c>
      <c r="H121" t="s">
        <v>63</v>
      </c>
      <c r="I121" t="s">
        <v>38</v>
      </c>
      <c r="J121" t="s">
        <v>130</v>
      </c>
      <c r="K121" t="s">
        <v>130</v>
      </c>
      <c r="L121" t="s">
        <v>46</v>
      </c>
      <c r="M121" t="s">
        <v>31</v>
      </c>
      <c r="N121">
        <v>3</v>
      </c>
      <c r="O121" s="4">
        <v>746.14</v>
      </c>
      <c r="P121" s="5">
        <v>0.15</v>
      </c>
      <c r="Q121" s="4">
        <v>197.81</v>
      </c>
      <c r="R121" s="4">
        <f t="shared" si="2"/>
        <v>1902.6569999999999</v>
      </c>
      <c r="S121" s="4">
        <f>R121*_xlfn.XLOOKUP(I121,Lookup_Lists!$A$2:$A$5,Lookup_Lists!$B$2:$B$5)-Q121-IF(T121="Yes",R121*0.2,0)</f>
        <v>411.04023999999998</v>
      </c>
      <c r="T121" t="s">
        <v>32</v>
      </c>
      <c r="U121" s="6">
        <v>5</v>
      </c>
      <c r="V121" s="7">
        <f t="shared" si="3"/>
        <v>6</v>
      </c>
      <c r="W121">
        <f>IF(SalesDataTable[[#This Row],[Returned]]="Yes",1,0)</f>
        <v>0</v>
      </c>
    </row>
    <row r="122" spans="1:23">
      <c r="A122" t="s">
        <v>296</v>
      </c>
      <c r="B122" s="3">
        <v>45674</v>
      </c>
      <c r="C122" s="3">
        <v>45679</v>
      </c>
      <c r="D122" t="s">
        <v>118</v>
      </c>
      <c r="E122" t="s">
        <v>35</v>
      </c>
      <c r="F122" t="s">
        <v>25</v>
      </c>
      <c r="G122" t="s">
        <v>50</v>
      </c>
      <c r="H122" t="s">
        <v>87</v>
      </c>
      <c r="I122" t="s">
        <v>28</v>
      </c>
      <c r="J122" t="s">
        <v>75</v>
      </c>
      <c r="K122" t="s">
        <v>75</v>
      </c>
      <c r="L122" t="s">
        <v>46</v>
      </c>
      <c r="M122" t="s">
        <v>40</v>
      </c>
      <c r="N122">
        <v>2</v>
      </c>
      <c r="O122" s="4">
        <v>12237.41</v>
      </c>
      <c r="P122" s="5">
        <v>0.2</v>
      </c>
      <c r="Q122" s="4">
        <v>944.63</v>
      </c>
      <c r="R122" s="4">
        <f t="shared" si="2"/>
        <v>19579.856</v>
      </c>
      <c r="S122" s="4">
        <f>R122*_xlfn.XLOOKUP(I122,Lookup_Lists!$A$2:$A$5,Lookup_Lists!$B$2:$B$5)-Q122-IF(T122="Yes",R122*0.2,0)</f>
        <v>2579.7440799999999</v>
      </c>
      <c r="T122" t="s">
        <v>32</v>
      </c>
      <c r="U122" s="6">
        <v>4.5999999999999996</v>
      </c>
      <c r="V122" s="7">
        <f t="shared" si="3"/>
        <v>5</v>
      </c>
      <c r="W122">
        <f>IF(SalesDataTable[[#This Row],[Returned]]="Yes",1,0)</f>
        <v>0</v>
      </c>
    </row>
    <row r="123" spans="1:23">
      <c r="A123" t="s">
        <v>297</v>
      </c>
      <c r="B123" s="3">
        <v>45764</v>
      </c>
      <c r="C123" s="3">
        <v>45769</v>
      </c>
      <c r="D123" t="s">
        <v>289</v>
      </c>
      <c r="E123" t="s">
        <v>81</v>
      </c>
      <c r="F123" t="s">
        <v>25</v>
      </c>
      <c r="G123" t="s">
        <v>36</v>
      </c>
      <c r="H123" t="s">
        <v>138</v>
      </c>
      <c r="I123" t="s">
        <v>28</v>
      </c>
      <c r="J123" t="s">
        <v>75</v>
      </c>
      <c r="K123" t="s">
        <v>75</v>
      </c>
      <c r="L123" t="s">
        <v>46</v>
      </c>
      <c r="M123" t="s">
        <v>31</v>
      </c>
      <c r="N123">
        <v>2</v>
      </c>
      <c r="O123" s="4">
        <v>10849.15</v>
      </c>
      <c r="P123" s="5">
        <v>0.1</v>
      </c>
      <c r="Q123" s="4">
        <v>816.4</v>
      </c>
      <c r="R123" s="4">
        <f t="shared" si="2"/>
        <v>19528.47</v>
      </c>
      <c r="S123" s="4">
        <f>R123*_xlfn.XLOOKUP(I123,Lookup_Lists!$A$2:$A$5,Lookup_Lists!$B$2:$B$5)-Q123-IF(T123="Yes",R123*0.2,0)</f>
        <v>2698.7246</v>
      </c>
      <c r="T123" t="s">
        <v>32</v>
      </c>
      <c r="U123" s="6">
        <v>4.4000000000000004</v>
      </c>
      <c r="V123" s="7">
        <f t="shared" si="3"/>
        <v>5</v>
      </c>
      <c r="W123">
        <f>IF(SalesDataTable[[#This Row],[Returned]]="Yes",1,0)</f>
        <v>0</v>
      </c>
    </row>
    <row r="124" spans="1:23">
      <c r="A124" t="s">
        <v>298</v>
      </c>
      <c r="B124" s="3">
        <v>46012</v>
      </c>
      <c r="C124" s="3">
        <v>46015</v>
      </c>
      <c r="D124" t="s">
        <v>299</v>
      </c>
      <c r="E124" t="s">
        <v>70</v>
      </c>
      <c r="F124" t="s">
        <v>25</v>
      </c>
      <c r="G124" t="s">
        <v>26</v>
      </c>
      <c r="H124" t="s">
        <v>82</v>
      </c>
      <c r="I124" t="s">
        <v>38</v>
      </c>
      <c r="J124" t="s">
        <v>108</v>
      </c>
      <c r="K124" t="s">
        <v>108</v>
      </c>
      <c r="L124" t="s">
        <v>60</v>
      </c>
      <c r="M124" t="s">
        <v>55</v>
      </c>
      <c r="N124">
        <v>4</v>
      </c>
      <c r="O124" s="4">
        <v>130.97999999999999</v>
      </c>
      <c r="P124" s="5">
        <v>0.1</v>
      </c>
      <c r="Q124" s="4">
        <v>366.59</v>
      </c>
      <c r="R124" s="4">
        <f t="shared" si="2"/>
        <v>471.52799999999996</v>
      </c>
      <c r="S124" s="4">
        <f>R124*_xlfn.XLOOKUP(I124,Lookup_Lists!$A$2:$A$5,Lookup_Lists!$B$2:$B$5)-Q124-IF(T124="Yes",R124*0.2,0)</f>
        <v>-215.70103999999998</v>
      </c>
      <c r="T124" t="s">
        <v>32</v>
      </c>
      <c r="U124" s="6">
        <v>3.4</v>
      </c>
      <c r="V124" s="7">
        <f t="shared" si="3"/>
        <v>3</v>
      </c>
      <c r="W124">
        <f>IF(SalesDataTable[[#This Row],[Returned]]="Yes",1,0)</f>
        <v>0</v>
      </c>
    </row>
    <row r="125" spans="1:23">
      <c r="A125" t="s">
        <v>300</v>
      </c>
      <c r="B125" s="3">
        <v>45798</v>
      </c>
      <c r="C125" s="3">
        <v>45801</v>
      </c>
      <c r="D125" t="s">
        <v>280</v>
      </c>
      <c r="E125" t="s">
        <v>70</v>
      </c>
      <c r="F125" t="s">
        <v>25</v>
      </c>
      <c r="G125" t="s">
        <v>36</v>
      </c>
      <c r="H125" t="s">
        <v>138</v>
      </c>
      <c r="I125" t="s">
        <v>38</v>
      </c>
      <c r="J125" t="s">
        <v>108</v>
      </c>
      <c r="K125" t="s">
        <v>108</v>
      </c>
      <c r="L125" t="s">
        <v>54</v>
      </c>
      <c r="M125" t="s">
        <v>55</v>
      </c>
      <c r="N125">
        <v>6</v>
      </c>
      <c r="O125" s="4">
        <v>108.45</v>
      </c>
      <c r="P125" s="5">
        <v>0.2</v>
      </c>
      <c r="Q125" s="4">
        <v>463.66</v>
      </c>
      <c r="R125" s="4">
        <f t="shared" si="2"/>
        <v>520.56000000000006</v>
      </c>
      <c r="S125" s="4">
        <f>R125*_xlfn.XLOOKUP(I125,Lookup_Lists!$A$2:$A$5,Lookup_Lists!$B$2:$B$5)-Q125-IF(T125="Yes",R125*0.2,0)</f>
        <v>-297.08080000000001</v>
      </c>
      <c r="T125" t="s">
        <v>32</v>
      </c>
      <c r="U125" s="6">
        <v>4</v>
      </c>
      <c r="V125" s="7">
        <f t="shared" si="3"/>
        <v>3</v>
      </c>
      <c r="W125">
        <f>IF(SalesDataTable[[#This Row],[Returned]]="Yes",1,0)</f>
        <v>0</v>
      </c>
    </row>
    <row r="126" spans="1:23">
      <c r="A126" t="s">
        <v>301</v>
      </c>
      <c r="B126" s="3">
        <v>45767</v>
      </c>
      <c r="C126" s="3">
        <v>45769</v>
      </c>
      <c r="D126" t="s">
        <v>302</v>
      </c>
      <c r="E126" t="s">
        <v>35</v>
      </c>
      <c r="F126" t="s">
        <v>25</v>
      </c>
      <c r="G126" t="s">
        <v>43</v>
      </c>
      <c r="H126" t="s">
        <v>63</v>
      </c>
      <c r="I126" t="s">
        <v>28</v>
      </c>
      <c r="J126" t="s">
        <v>99</v>
      </c>
      <c r="K126" t="s">
        <v>99</v>
      </c>
      <c r="L126" t="s">
        <v>54</v>
      </c>
      <c r="M126" t="s">
        <v>89</v>
      </c>
      <c r="N126">
        <v>3</v>
      </c>
      <c r="O126" s="4">
        <v>3637.59</v>
      </c>
      <c r="P126" s="5">
        <v>0.1</v>
      </c>
      <c r="Q126" s="4">
        <v>273.61</v>
      </c>
      <c r="R126" s="4">
        <f t="shared" si="2"/>
        <v>9821.4930000000004</v>
      </c>
      <c r="S126" s="4">
        <f>R126*_xlfn.XLOOKUP(I126,Lookup_Lists!$A$2:$A$5,Lookup_Lists!$B$2:$B$5)-Q126-IF(T126="Yes",R126*0.2,0)</f>
        <v>1494.2587400000002</v>
      </c>
      <c r="T126" t="s">
        <v>32</v>
      </c>
      <c r="U126" s="6">
        <v>4.3</v>
      </c>
      <c r="V126" s="7">
        <f t="shared" si="3"/>
        <v>2</v>
      </c>
      <c r="W126">
        <f>IF(SalesDataTable[[#This Row],[Returned]]="Yes",1,0)</f>
        <v>0</v>
      </c>
    </row>
    <row r="127" spans="1:23">
      <c r="A127" t="s">
        <v>303</v>
      </c>
      <c r="B127" s="3">
        <v>45728</v>
      </c>
      <c r="C127" s="3">
        <v>45729</v>
      </c>
      <c r="D127" t="s">
        <v>304</v>
      </c>
      <c r="E127" t="s">
        <v>81</v>
      </c>
      <c r="F127" t="s">
        <v>25</v>
      </c>
      <c r="G127" t="s">
        <v>26</v>
      </c>
      <c r="H127" t="s">
        <v>67</v>
      </c>
      <c r="I127" t="s">
        <v>38</v>
      </c>
      <c r="J127" t="s">
        <v>45</v>
      </c>
      <c r="K127" t="s">
        <v>45</v>
      </c>
      <c r="L127" t="s">
        <v>46</v>
      </c>
      <c r="M127" t="s">
        <v>40</v>
      </c>
      <c r="N127">
        <v>4</v>
      </c>
      <c r="O127" s="4">
        <v>251.21</v>
      </c>
      <c r="P127" s="5">
        <v>0</v>
      </c>
      <c r="Q127" s="4">
        <v>128.80000000000001</v>
      </c>
      <c r="R127" s="4">
        <f t="shared" si="2"/>
        <v>1004.84</v>
      </c>
      <c r="S127" s="4">
        <f>R127*_xlfn.XLOOKUP(I127,Lookup_Lists!$A$2:$A$5,Lookup_Lists!$B$2:$B$5)-Q127-IF(T127="Yes",R127*0.2,0)</f>
        <v>192.74880000000002</v>
      </c>
      <c r="T127" t="s">
        <v>32</v>
      </c>
      <c r="U127" s="6">
        <v>4.0999999999999996</v>
      </c>
      <c r="V127" s="7">
        <f t="shared" si="3"/>
        <v>1</v>
      </c>
      <c r="W127">
        <f>IF(SalesDataTable[[#This Row],[Returned]]="Yes",1,0)</f>
        <v>0</v>
      </c>
    </row>
    <row r="128" spans="1:23">
      <c r="A128" t="s">
        <v>305</v>
      </c>
      <c r="B128" s="3">
        <v>45991</v>
      </c>
      <c r="C128" s="3">
        <v>45996</v>
      </c>
      <c r="D128" t="s">
        <v>306</v>
      </c>
      <c r="E128" t="s">
        <v>70</v>
      </c>
      <c r="F128" t="s">
        <v>25</v>
      </c>
      <c r="G128" t="s">
        <v>50</v>
      </c>
      <c r="H128" t="s">
        <v>51</v>
      </c>
      <c r="I128" t="s">
        <v>58</v>
      </c>
      <c r="J128" t="s">
        <v>127</v>
      </c>
      <c r="K128" t="s">
        <v>127</v>
      </c>
      <c r="L128" t="s">
        <v>60</v>
      </c>
      <c r="M128" t="s">
        <v>89</v>
      </c>
      <c r="N128">
        <v>8</v>
      </c>
      <c r="O128" s="4">
        <v>17983.77</v>
      </c>
      <c r="P128" s="5">
        <v>0.05</v>
      </c>
      <c r="Q128" s="4">
        <v>2771.92</v>
      </c>
      <c r="R128" s="4">
        <f t="shared" si="2"/>
        <v>136676.652</v>
      </c>
      <c r="S128" s="4">
        <f>R128*_xlfn.XLOOKUP(I128,Lookup_Lists!$A$2:$A$5,Lookup_Lists!$B$2:$B$5)-Q128-IF(T128="Yes",R128*0.2,0)</f>
        <v>30030.476479999998</v>
      </c>
      <c r="T128" t="s">
        <v>32</v>
      </c>
      <c r="U128" s="6">
        <v>5</v>
      </c>
      <c r="V128" s="7">
        <f t="shared" si="3"/>
        <v>5</v>
      </c>
      <c r="W128">
        <f>IF(SalesDataTable[[#This Row],[Returned]]="Yes",1,0)</f>
        <v>0</v>
      </c>
    </row>
    <row r="129" spans="1:23">
      <c r="A129" t="s">
        <v>307</v>
      </c>
      <c r="B129" s="3">
        <v>45662</v>
      </c>
      <c r="C129" s="3">
        <v>45665</v>
      </c>
      <c r="D129" t="s">
        <v>62</v>
      </c>
      <c r="E129" t="s">
        <v>70</v>
      </c>
      <c r="F129" t="s">
        <v>25</v>
      </c>
      <c r="G129" t="s">
        <v>43</v>
      </c>
      <c r="H129" t="s">
        <v>44</v>
      </c>
      <c r="I129" t="s">
        <v>58</v>
      </c>
      <c r="J129" t="s">
        <v>88</v>
      </c>
      <c r="K129" t="s">
        <v>88</v>
      </c>
      <c r="L129" t="s">
        <v>64</v>
      </c>
      <c r="M129" t="s">
        <v>40</v>
      </c>
      <c r="N129">
        <v>5</v>
      </c>
      <c r="O129" s="4">
        <v>7346.92</v>
      </c>
      <c r="P129" s="5">
        <v>0</v>
      </c>
      <c r="Q129" s="4">
        <v>695.23</v>
      </c>
      <c r="R129" s="4">
        <f t="shared" si="2"/>
        <v>36734.6</v>
      </c>
      <c r="S129" s="4">
        <f>R129*_xlfn.XLOOKUP(I129,Lookup_Lists!$A$2:$A$5,Lookup_Lists!$B$2:$B$5)-Q129-IF(T129="Yes",R129*0.2,0)</f>
        <v>8121.0740000000005</v>
      </c>
      <c r="T129" t="s">
        <v>32</v>
      </c>
      <c r="U129" s="6">
        <v>3.9</v>
      </c>
      <c r="V129" s="7">
        <f t="shared" si="3"/>
        <v>3</v>
      </c>
      <c r="W129">
        <f>IF(SalesDataTable[[#This Row],[Returned]]="Yes",1,0)</f>
        <v>0</v>
      </c>
    </row>
    <row r="130" spans="1:23">
      <c r="A130" t="s">
        <v>308</v>
      </c>
      <c r="B130" s="3">
        <v>45892</v>
      </c>
      <c r="C130" s="3">
        <v>45898</v>
      </c>
      <c r="D130" t="s">
        <v>125</v>
      </c>
      <c r="E130" t="s">
        <v>24</v>
      </c>
      <c r="F130" t="s">
        <v>25</v>
      </c>
      <c r="G130" t="s">
        <v>50</v>
      </c>
      <c r="H130" t="s">
        <v>71</v>
      </c>
      <c r="I130" t="s">
        <v>38</v>
      </c>
      <c r="J130" t="s">
        <v>130</v>
      </c>
      <c r="K130" t="s">
        <v>130</v>
      </c>
      <c r="L130" t="s">
        <v>30</v>
      </c>
      <c r="M130" t="s">
        <v>40</v>
      </c>
      <c r="N130">
        <v>1</v>
      </c>
      <c r="O130" s="4">
        <v>795.79</v>
      </c>
      <c r="P130" s="5">
        <v>0.2</v>
      </c>
      <c r="Q130" s="4">
        <v>563.32000000000005</v>
      </c>
      <c r="R130" s="4">
        <f t="shared" ref="R130:R193" si="4">N130*O130*(1-P130)</f>
        <v>636.63200000000006</v>
      </c>
      <c r="S130" s="4">
        <f>R130*_xlfn.XLOOKUP(I130,Lookup_Lists!$A$2:$A$5,Lookup_Lists!$B$2:$B$5)-Q130-IF(T130="Yes",R130*0.2,0)</f>
        <v>-359.59775999999999</v>
      </c>
      <c r="T130" t="s">
        <v>32</v>
      </c>
      <c r="U130" s="6">
        <v>4.8</v>
      </c>
      <c r="V130" s="7">
        <f t="shared" ref="V130:V193" si="5">C130-B130</f>
        <v>6</v>
      </c>
      <c r="W130">
        <f>IF(SalesDataTable[[#This Row],[Returned]]="Yes",1,0)</f>
        <v>0</v>
      </c>
    </row>
    <row r="131" spans="1:23">
      <c r="A131" t="s">
        <v>309</v>
      </c>
      <c r="B131" s="3">
        <v>45752</v>
      </c>
      <c r="C131" s="3">
        <v>45754</v>
      </c>
      <c r="D131" t="s">
        <v>310</v>
      </c>
      <c r="E131" t="s">
        <v>35</v>
      </c>
      <c r="F131" t="s">
        <v>25</v>
      </c>
      <c r="G131" t="s">
        <v>26</v>
      </c>
      <c r="H131" t="s">
        <v>153</v>
      </c>
      <c r="I131" t="s">
        <v>28</v>
      </c>
      <c r="J131" t="s">
        <v>75</v>
      </c>
      <c r="K131" t="s">
        <v>75</v>
      </c>
      <c r="L131" t="s">
        <v>46</v>
      </c>
      <c r="M131" t="s">
        <v>55</v>
      </c>
      <c r="N131">
        <v>6</v>
      </c>
      <c r="O131" s="4">
        <v>10676.42</v>
      </c>
      <c r="P131" s="5">
        <v>0.1</v>
      </c>
      <c r="Q131" s="4">
        <v>1047.4000000000001</v>
      </c>
      <c r="R131" s="4">
        <f t="shared" si="4"/>
        <v>57652.668000000005</v>
      </c>
      <c r="S131" s="4">
        <f>R131*_xlfn.XLOOKUP(I131,Lookup_Lists!$A$2:$A$5,Lookup_Lists!$B$2:$B$5)-Q131-IF(T131="Yes",R131*0.2,0)</f>
        <v>9330.0802400000011</v>
      </c>
      <c r="T131" t="s">
        <v>32</v>
      </c>
      <c r="U131" s="6">
        <v>4.7</v>
      </c>
      <c r="V131" s="7">
        <f t="shared" si="5"/>
        <v>2</v>
      </c>
      <c r="W131">
        <f>IF(SalesDataTable[[#This Row],[Returned]]="Yes",1,0)</f>
        <v>0</v>
      </c>
    </row>
    <row r="132" spans="1:23">
      <c r="A132" t="s">
        <v>311</v>
      </c>
      <c r="B132" s="3">
        <v>46012</v>
      </c>
      <c r="C132" s="3">
        <v>46014</v>
      </c>
      <c r="D132" t="s">
        <v>84</v>
      </c>
      <c r="E132" t="s">
        <v>70</v>
      </c>
      <c r="F132" t="s">
        <v>25</v>
      </c>
      <c r="G132" t="s">
        <v>36</v>
      </c>
      <c r="H132" t="s">
        <v>37</v>
      </c>
      <c r="I132" t="s">
        <v>28</v>
      </c>
      <c r="J132" t="s">
        <v>99</v>
      </c>
      <c r="K132" t="s">
        <v>99</v>
      </c>
      <c r="L132" t="s">
        <v>60</v>
      </c>
      <c r="M132" t="s">
        <v>55</v>
      </c>
      <c r="N132">
        <v>3</v>
      </c>
      <c r="O132" s="4">
        <v>3750.65</v>
      </c>
      <c r="P132" s="5">
        <v>0.2</v>
      </c>
      <c r="Q132" s="4">
        <v>458.28</v>
      </c>
      <c r="R132" s="4">
        <f t="shared" si="4"/>
        <v>9001.5600000000013</v>
      </c>
      <c r="S132" s="4">
        <f>R132*_xlfn.XLOOKUP(I132,Lookup_Lists!$A$2:$A$5,Lookup_Lists!$B$2:$B$5)-Q132-IF(T132="Yes",R132*0.2,0)</f>
        <v>1162.0008000000003</v>
      </c>
      <c r="T132" t="s">
        <v>32</v>
      </c>
      <c r="U132" s="6">
        <v>4.8</v>
      </c>
      <c r="V132" s="7">
        <f t="shared" si="5"/>
        <v>2</v>
      </c>
      <c r="W132">
        <f>IF(SalesDataTable[[#This Row],[Returned]]="Yes",1,0)</f>
        <v>0</v>
      </c>
    </row>
    <row r="133" spans="1:23">
      <c r="A133" t="s">
        <v>312</v>
      </c>
      <c r="B133" s="3">
        <v>45890</v>
      </c>
      <c r="C133" s="3">
        <v>45896</v>
      </c>
      <c r="D133" t="s">
        <v>221</v>
      </c>
      <c r="E133" t="s">
        <v>35</v>
      </c>
      <c r="F133" t="s">
        <v>25</v>
      </c>
      <c r="G133" t="s">
        <v>36</v>
      </c>
      <c r="H133" t="s">
        <v>145</v>
      </c>
      <c r="I133" t="s">
        <v>38</v>
      </c>
      <c r="J133" t="s">
        <v>130</v>
      </c>
      <c r="K133" t="s">
        <v>130</v>
      </c>
      <c r="L133" t="s">
        <v>64</v>
      </c>
      <c r="M133" t="s">
        <v>89</v>
      </c>
      <c r="N133">
        <v>2</v>
      </c>
      <c r="O133" s="4">
        <v>726.92</v>
      </c>
      <c r="P133" s="5">
        <v>0</v>
      </c>
      <c r="Q133" s="4">
        <v>624.64</v>
      </c>
      <c r="R133" s="4">
        <f t="shared" si="4"/>
        <v>1453.84</v>
      </c>
      <c r="S133" s="4">
        <f>R133*_xlfn.XLOOKUP(I133,Lookup_Lists!$A$2:$A$5,Lookup_Lists!$B$2:$B$5)-Q133-IF(T133="Yes",R133*0.2,0)</f>
        <v>-159.41120000000001</v>
      </c>
      <c r="T133" t="s">
        <v>32</v>
      </c>
      <c r="U133" s="6">
        <v>4.0999999999999996</v>
      </c>
      <c r="V133" s="7">
        <f t="shared" si="5"/>
        <v>6</v>
      </c>
      <c r="W133">
        <f>IF(SalesDataTable[[#This Row],[Returned]]="Yes",1,0)</f>
        <v>0</v>
      </c>
    </row>
    <row r="134" spans="1:23">
      <c r="A134" t="s">
        <v>313</v>
      </c>
      <c r="B134" s="3">
        <v>45938</v>
      </c>
      <c r="C134" s="3">
        <v>45943</v>
      </c>
      <c r="D134" t="s">
        <v>314</v>
      </c>
      <c r="E134" t="s">
        <v>70</v>
      </c>
      <c r="F134" t="s">
        <v>25</v>
      </c>
      <c r="G134" t="s">
        <v>26</v>
      </c>
      <c r="H134" t="s">
        <v>27</v>
      </c>
      <c r="I134" t="s">
        <v>58</v>
      </c>
      <c r="J134" t="s">
        <v>88</v>
      </c>
      <c r="K134" t="s">
        <v>88</v>
      </c>
      <c r="L134" t="s">
        <v>54</v>
      </c>
      <c r="M134" t="s">
        <v>40</v>
      </c>
      <c r="N134">
        <v>3</v>
      </c>
      <c r="O134" s="4">
        <v>7391.87</v>
      </c>
      <c r="P134" s="5">
        <v>0.2</v>
      </c>
      <c r="Q134" s="4">
        <v>666.56</v>
      </c>
      <c r="R134" s="4">
        <f t="shared" si="4"/>
        <v>17740.488000000001</v>
      </c>
      <c r="S134" s="4">
        <f>R134*_xlfn.XLOOKUP(I134,Lookup_Lists!$A$2:$A$5,Lookup_Lists!$B$2:$B$5)-Q134-IF(T134="Yes",R134*0.2,0)</f>
        <v>43.059519999999793</v>
      </c>
      <c r="T134" t="s">
        <v>119</v>
      </c>
      <c r="U134" s="6">
        <v>3.9</v>
      </c>
      <c r="V134" s="7">
        <f t="shared" si="5"/>
        <v>5</v>
      </c>
      <c r="W134">
        <f>IF(SalesDataTable[[#This Row],[Returned]]="Yes",1,0)</f>
        <v>1</v>
      </c>
    </row>
    <row r="135" spans="1:23">
      <c r="A135" t="s">
        <v>315</v>
      </c>
      <c r="B135" s="3">
        <v>45946</v>
      </c>
      <c r="C135" s="3">
        <v>45947</v>
      </c>
      <c r="D135" t="s">
        <v>316</v>
      </c>
      <c r="E135" t="s">
        <v>70</v>
      </c>
      <c r="F135" t="s">
        <v>25</v>
      </c>
      <c r="G135" t="s">
        <v>43</v>
      </c>
      <c r="H135" t="s">
        <v>122</v>
      </c>
      <c r="I135" t="s">
        <v>58</v>
      </c>
      <c r="J135" t="s">
        <v>92</v>
      </c>
      <c r="K135" t="s">
        <v>92</v>
      </c>
      <c r="L135" t="s">
        <v>30</v>
      </c>
      <c r="M135" t="s">
        <v>31</v>
      </c>
      <c r="N135">
        <v>1</v>
      </c>
      <c r="O135" s="4">
        <v>8560.43</v>
      </c>
      <c r="P135" s="5">
        <v>0.1</v>
      </c>
      <c r="Q135" s="4">
        <v>516.87</v>
      </c>
      <c r="R135" s="4">
        <f t="shared" si="4"/>
        <v>7704.3870000000006</v>
      </c>
      <c r="S135" s="4">
        <f>R135*_xlfn.XLOOKUP(I135,Lookup_Lists!$A$2:$A$5,Lookup_Lists!$B$2:$B$5)-Q135-IF(T135="Yes",R135*0.2,0)</f>
        <v>1332.1828800000003</v>
      </c>
      <c r="T135" t="s">
        <v>32</v>
      </c>
      <c r="U135" s="6">
        <v>4.7</v>
      </c>
      <c r="V135" s="7">
        <f t="shared" si="5"/>
        <v>1</v>
      </c>
      <c r="W135">
        <f>IF(SalesDataTable[[#This Row],[Returned]]="Yes",1,0)</f>
        <v>0</v>
      </c>
    </row>
    <row r="136" spans="1:23">
      <c r="A136" t="s">
        <v>317</v>
      </c>
      <c r="B136" s="3">
        <v>45693</v>
      </c>
      <c r="C136" s="3">
        <v>45697</v>
      </c>
      <c r="D136" t="s">
        <v>318</v>
      </c>
      <c r="E136" t="s">
        <v>35</v>
      </c>
      <c r="F136" t="s">
        <v>25</v>
      </c>
      <c r="G136" t="s">
        <v>26</v>
      </c>
      <c r="H136" t="s">
        <v>27</v>
      </c>
      <c r="I136" t="s">
        <v>38</v>
      </c>
      <c r="J136" t="s">
        <v>45</v>
      </c>
      <c r="K136" t="s">
        <v>45</v>
      </c>
      <c r="L136" t="s">
        <v>46</v>
      </c>
      <c r="M136" t="s">
        <v>47</v>
      </c>
      <c r="N136">
        <v>2</v>
      </c>
      <c r="O136" s="4">
        <v>300.33</v>
      </c>
      <c r="P136" s="5">
        <v>0</v>
      </c>
      <c r="Q136" s="4">
        <v>134.75</v>
      </c>
      <c r="R136" s="4">
        <f t="shared" si="4"/>
        <v>600.66</v>
      </c>
      <c r="S136" s="4">
        <f>R136*_xlfn.XLOOKUP(I136,Lookup_Lists!$A$2:$A$5,Lookup_Lists!$B$2:$B$5)-Q136-IF(T136="Yes",R136*0.2,0)</f>
        <v>57.461199999999991</v>
      </c>
      <c r="T136" t="s">
        <v>32</v>
      </c>
      <c r="U136" s="6">
        <v>4.5</v>
      </c>
      <c r="V136" s="7">
        <f t="shared" si="5"/>
        <v>4</v>
      </c>
      <c r="W136">
        <f>IF(SalesDataTable[[#This Row],[Returned]]="Yes",1,0)</f>
        <v>0</v>
      </c>
    </row>
    <row r="137" spans="1:23">
      <c r="A137" t="s">
        <v>319</v>
      </c>
      <c r="B137" s="3">
        <v>45836</v>
      </c>
      <c r="C137" s="3">
        <v>45837</v>
      </c>
      <c r="D137" t="s">
        <v>320</v>
      </c>
      <c r="E137" t="s">
        <v>81</v>
      </c>
      <c r="F137" t="s">
        <v>25</v>
      </c>
      <c r="G137" t="s">
        <v>36</v>
      </c>
      <c r="H137" t="s">
        <v>145</v>
      </c>
      <c r="I137" t="s">
        <v>38</v>
      </c>
      <c r="J137" t="s">
        <v>108</v>
      </c>
      <c r="K137" t="s">
        <v>108</v>
      </c>
      <c r="L137" t="s">
        <v>64</v>
      </c>
      <c r="M137" t="s">
        <v>89</v>
      </c>
      <c r="N137">
        <v>7</v>
      </c>
      <c r="O137" s="4">
        <v>122.27</v>
      </c>
      <c r="P137" s="5">
        <v>0.1</v>
      </c>
      <c r="Q137" s="4">
        <v>334.59</v>
      </c>
      <c r="R137" s="4">
        <f t="shared" si="4"/>
        <v>770.30100000000004</v>
      </c>
      <c r="S137" s="4">
        <f>R137*_xlfn.XLOOKUP(I137,Lookup_Lists!$A$2:$A$5,Lookup_Lists!$B$2:$B$5)-Q137-IF(T137="Yes",R137*0.2,0)</f>
        <v>-88.093679999999949</v>
      </c>
      <c r="T137" t="s">
        <v>32</v>
      </c>
      <c r="U137" s="6">
        <v>4.2</v>
      </c>
      <c r="V137" s="7">
        <f t="shared" si="5"/>
        <v>1</v>
      </c>
      <c r="W137">
        <f>IF(SalesDataTable[[#This Row],[Returned]]="Yes",1,0)</f>
        <v>0</v>
      </c>
    </row>
    <row r="138" spans="1:23">
      <c r="A138" t="s">
        <v>321</v>
      </c>
      <c r="B138" s="3">
        <v>45775</v>
      </c>
      <c r="C138" s="3">
        <v>45777</v>
      </c>
      <c r="D138" t="s">
        <v>322</v>
      </c>
      <c r="E138" t="s">
        <v>35</v>
      </c>
      <c r="F138" t="s">
        <v>25</v>
      </c>
      <c r="G138" t="s">
        <v>43</v>
      </c>
      <c r="H138" t="s">
        <v>63</v>
      </c>
      <c r="I138" t="s">
        <v>52</v>
      </c>
      <c r="J138" t="s">
        <v>114</v>
      </c>
      <c r="K138" t="s">
        <v>114</v>
      </c>
      <c r="L138" t="s">
        <v>54</v>
      </c>
      <c r="M138" t="s">
        <v>47</v>
      </c>
      <c r="N138">
        <v>3</v>
      </c>
      <c r="O138" s="4">
        <v>11028.28</v>
      </c>
      <c r="P138" s="5">
        <v>0.15</v>
      </c>
      <c r="Q138" s="4">
        <v>713.45</v>
      </c>
      <c r="R138" s="4">
        <f t="shared" si="4"/>
        <v>28122.114000000001</v>
      </c>
      <c r="S138" s="4">
        <f>R138*_xlfn.XLOOKUP(I138,Lookup_Lists!$A$2:$A$5,Lookup_Lists!$B$2:$B$5)-Q138-IF(T138="Yes",R138*0.2,0)</f>
        <v>6598.2996400000011</v>
      </c>
      <c r="T138" t="s">
        <v>32</v>
      </c>
      <c r="U138" s="6">
        <v>3.9</v>
      </c>
      <c r="V138" s="7">
        <f t="shared" si="5"/>
        <v>2</v>
      </c>
      <c r="W138">
        <f>IF(SalesDataTable[[#This Row],[Returned]]="Yes",1,0)</f>
        <v>0</v>
      </c>
    </row>
    <row r="139" spans="1:23">
      <c r="A139" t="s">
        <v>323</v>
      </c>
      <c r="B139" s="3">
        <v>46002</v>
      </c>
      <c r="C139" s="3">
        <v>46008</v>
      </c>
      <c r="D139" t="s">
        <v>291</v>
      </c>
      <c r="E139" t="s">
        <v>35</v>
      </c>
      <c r="F139" t="s">
        <v>25</v>
      </c>
      <c r="G139" t="s">
        <v>50</v>
      </c>
      <c r="H139" t="s">
        <v>87</v>
      </c>
      <c r="I139" t="s">
        <v>58</v>
      </c>
      <c r="J139" t="s">
        <v>127</v>
      </c>
      <c r="K139" t="s">
        <v>127</v>
      </c>
      <c r="L139" t="s">
        <v>30</v>
      </c>
      <c r="M139" t="s">
        <v>89</v>
      </c>
      <c r="N139">
        <v>1</v>
      </c>
      <c r="O139" s="4">
        <v>21204.81</v>
      </c>
      <c r="P139" s="5">
        <v>0</v>
      </c>
      <c r="Q139" s="4">
        <v>920.42</v>
      </c>
      <c r="R139" s="4">
        <f t="shared" si="4"/>
        <v>21204.81</v>
      </c>
      <c r="S139" s="4">
        <f>R139*_xlfn.XLOOKUP(I139,Lookup_Lists!$A$2:$A$5,Lookup_Lists!$B$2:$B$5)-Q139-IF(T139="Yes",R139*0.2,0)</f>
        <v>4168.7344000000003</v>
      </c>
      <c r="T139" t="s">
        <v>32</v>
      </c>
      <c r="U139" s="6">
        <v>4</v>
      </c>
      <c r="V139" s="7">
        <f t="shared" si="5"/>
        <v>6</v>
      </c>
      <c r="W139">
        <f>IF(SalesDataTable[[#This Row],[Returned]]="Yes",1,0)</f>
        <v>0</v>
      </c>
    </row>
    <row r="140" spans="1:23">
      <c r="A140" t="s">
        <v>324</v>
      </c>
      <c r="B140" s="3">
        <v>45953</v>
      </c>
      <c r="C140" s="3">
        <v>45958</v>
      </c>
      <c r="D140" t="s">
        <v>49</v>
      </c>
      <c r="E140" t="s">
        <v>70</v>
      </c>
      <c r="F140" t="s">
        <v>25</v>
      </c>
      <c r="G140" t="s">
        <v>43</v>
      </c>
      <c r="H140" t="s">
        <v>63</v>
      </c>
      <c r="I140" t="s">
        <v>28</v>
      </c>
      <c r="J140" t="s">
        <v>75</v>
      </c>
      <c r="K140" t="s">
        <v>75</v>
      </c>
      <c r="L140" t="s">
        <v>60</v>
      </c>
      <c r="M140" t="s">
        <v>31</v>
      </c>
      <c r="N140">
        <v>1</v>
      </c>
      <c r="O140" s="4">
        <v>10671.65</v>
      </c>
      <c r="P140" s="5">
        <v>0</v>
      </c>
      <c r="Q140" s="4">
        <v>780.73</v>
      </c>
      <c r="R140" s="4">
        <f t="shared" si="4"/>
        <v>10671.65</v>
      </c>
      <c r="S140" s="4">
        <f>R140*_xlfn.XLOOKUP(I140,Lookup_Lists!$A$2:$A$5,Lookup_Lists!$B$2:$B$5)-Q140-IF(T140="Yes",R140*0.2,0)</f>
        <v>1140.1669999999999</v>
      </c>
      <c r="T140" t="s">
        <v>32</v>
      </c>
      <c r="U140" s="6">
        <v>4.9000000000000004</v>
      </c>
      <c r="V140" s="7">
        <f t="shared" si="5"/>
        <v>5</v>
      </c>
      <c r="W140">
        <f>IF(SalesDataTable[[#This Row],[Returned]]="Yes",1,0)</f>
        <v>0</v>
      </c>
    </row>
    <row r="141" spans="1:23">
      <c r="A141" t="s">
        <v>325</v>
      </c>
      <c r="B141" s="3">
        <v>45876</v>
      </c>
      <c r="C141" s="3">
        <v>45881</v>
      </c>
      <c r="D141" t="s">
        <v>326</v>
      </c>
      <c r="E141" t="s">
        <v>35</v>
      </c>
      <c r="F141" t="s">
        <v>25</v>
      </c>
      <c r="G141" t="s">
        <v>43</v>
      </c>
      <c r="H141" t="s">
        <v>102</v>
      </c>
      <c r="I141" t="s">
        <v>38</v>
      </c>
      <c r="J141" t="s">
        <v>72</v>
      </c>
      <c r="K141" t="s">
        <v>72</v>
      </c>
      <c r="L141" t="s">
        <v>30</v>
      </c>
      <c r="M141" t="s">
        <v>47</v>
      </c>
      <c r="N141">
        <v>1</v>
      </c>
      <c r="O141" s="4">
        <v>178.73</v>
      </c>
      <c r="P141" s="5">
        <v>0.1</v>
      </c>
      <c r="Q141" s="4">
        <v>352.59</v>
      </c>
      <c r="R141" s="4">
        <f t="shared" si="4"/>
        <v>160.857</v>
      </c>
      <c r="S141" s="4">
        <f>R141*_xlfn.XLOOKUP(I141,Lookup_Lists!$A$2:$A$5,Lookup_Lists!$B$2:$B$5)-Q141-IF(T141="Yes",R141*0.2,0)</f>
        <v>-301.11575999999997</v>
      </c>
      <c r="T141" t="s">
        <v>32</v>
      </c>
      <c r="U141" s="6">
        <v>4</v>
      </c>
      <c r="V141" s="7">
        <f t="shared" si="5"/>
        <v>5</v>
      </c>
      <c r="W141">
        <f>IF(SalesDataTable[[#This Row],[Returned]]="Yes",1,0)</f>
        <v>0</v>
      </c>
    </row>
    <row r="142" spans="1:23">
      <c r="A142" t="s">
        <v>327</v>
      </c>
      <c r="B142" s="3">
        <v>45811</v>
      </c>
      <c r="C142" s="3">
        <v>45818</v>
      </c>
      <c r="D142" t="s">
        <v>328</v>
      </c>
      <c r="E142" t="s">
        <v>35</v>
      </c>
      <c r="F142" t="s">
        <v>25</v>
      </c>
      <c r="G142" t="s">
        <v>36</v>
      </c>
      <c r="H142" t="s">
        <v>126</v>
      </c>
      <c r="I142" t="s">
        <v>38</v>
      </c>
      <c r="J142" t="s">
        <v>45</v>
      </c>
      <c r="K142" t="s">
        <v>45</v>
      </c>
      <c r="L142" t="s">
        <v>46</v>
      </c>
      <c r="M142" t="s">
        <v>40</v>
      </c>
      <c r="N142">
        <v>2</v>
      </c>
      <c r="O142" s="4">
        <v>248.69</v>
      </c>
      <c r="P142" s="5">
        <v>0</v>
      </c>
      <c r="Q142" s="4">
        <v>132.53</v>
      </c>
      <c r="R142" s="4">
        <f t="shared" si="4"/>
        <v>497.38</v>
      </c>
      <c r="S142" s="4">
        <f>R142*_xlfn.XLOOKUP(I142,Lookup_Lists!$A$2:$A$5,Lookup_Lists!$B$2:$B$5)-Q142-IF(T142="Yes",R142*0.2,0)</f>
        <v>26.631599999999992</v>
      </c>
      <c r="T142" t="s">
        <v>32</v>
      </c>
      <c r="U142" s="6">
        <v>3.9</v>
      </c>
      <c r="V142" s="7">
        <f t="shared" si="5"/>
        <v>7</v>
      </c>
      <c r="W142">
        <f>IF(SalesDataTable[[#This Row],[Returned]]="Yes",1,0)</f>
        <v>0</v>
      </c>
    </row>
    <row r="143" spans="1:23">
      <c r="A143" t="s">
        <v>329</v>
      </c>
      <c r="B143" s="3">
        <v>45755</v>
      </c>
      <c r="C143" s="3">
        <v>45756</v>
      </c>
      <c r="D143" t="s">
        <v>178</v>
      </c>
      <c r="E143" t="s">
        <v>35</v>
      </c>
      <c r="F143" t="s">
        <v>25</v>
      </c>
      <c r="G143" t="s">
        <v>50</v>
      </c>
      <c r="H143" t="s">
        <v>78</v>
      </c>
      <c r="I143" t="s">
        <v>28</v>
      </c>
      <c r="J143" t="s">
        <v>99</v>
      </c>
      <c r="K143" t="s">
        <v>99</v>
      </c>
      <c r="L143" t="s">
        <v>30</v>
      </c>
      <c r="M143" t="s">
        <v>31</v>
      </c>
      <c r="N143">
        <v>1</v>
      </c>
      <c r="O143" s="4">
        <v>3299.33</v>
      </c>
      <c r="P143" s="5">
        <v>0.2</v>
      </c>
      <c r="Q143" s="4">
        <v>302.31</v>
      </c>
      <c r="R143" s="4">
        <f t="shared" si="4"/>
        <v>2639.4639999999999</v>
      </c>
      <c r="S143" s="4">
        <f>R143*_xlfn.XLOOKUP(I143,Lookup_Lists!$A$2:$A$5,Lookup_Lists!$B$2:$B$5)-Q143-IF(T143="Yes",R143*0.2,0)</f>
        <v>172.79351999999994</v>
      </c>
      <c r="T143" t="s">
        <v>32</v>
      </c>
      <c r="U143" s="6">
        <v>4.8</v>
      </c>
      <c r="V143" s="7">
        <f t="shared" si="5"/>
        <v>1</v>
      </c>
      <c r="W143">
        <f>IF(SalesDataTable[[#This Row],[Returned]]="Yes",1,0)</f>
        <v>0</v>
      </c>
    </row>
    <row r="144" spans="1:23">
      <c r="A144" t="s">
        <v>330</v>
      </c>
      <c r="B144" s="3">
        <v>45766</v>
      </c>
      <c r="C144" s="3">
        <v>45768</v>
      </c>
      <c r="D144" t="s">
        <v>230</v>
      </c>
      <c r="E144" t="s">
        <v>35</v>
      </c>
      <c r="F144" t="s">
        <v>25</v>
      </c>
      <c r="G144" t="s">
        <v>36</v>
      </c>
      <c r="H144" t="s">
        <v>145</v>
      </c>
      <c r="I144" t="s">
        <v>38</v>
      </c>
      <c r="J144" t="s">
        <v>108</v>
      </c>
      <c r="K144" t="s">
        <v>108</v>
      </c>
      <c r="L144" t="s">
        <v>46</v>
      </c>
      <c r="M144" t="s">
        <v>40</v>
      </c>
      <c r="N144">
        <v>3</v>
      </c>
      <c r="O144" s="4">
        <v>133.52000000000001</v>
      </c>
      <c r="P144" s="5">
        <v>0</v>
      </c>
      <c r="Q144" s="4">
        <v>390.19</v>
      </c>
      <c r="R144" s="4">
        <f t="shared" si="4"/>
        <v>400.56000000000006</v>
      </c>
      <c r="S144" s="4">
        <f>R144*_xlfn.XLOOKUP(I144,Lookup_Lists!$A$2:$A$5,Lookup_Lists!$B$2:$B$5)-Q144-IF(T144="Yes",R144*0.2,0)</f>
        <v>-262.01080000000002</v>
      </c>
      <c r="T144" t="s">
        <v>32</v>
      </c>
      <c r="U144" s="6">
        <v>4.3</v>
      </c>
      <c r="V144" s="7">
        <f t="shared" si="5"/>
        <v>2</v>
      </c>
      <c r="W144">
        <f>IF(SalesDataTable[[#This Row],[Returned]]="Yes",1,0)</f>
        <v>0</v>
      </c>
    </row>
    <row r="145" spans="1:23">
      <c r="A145" t="s">
        <v>331</v>
      </c>
      <c r="B145" s="3">
        <v>45912</v>
      </c>
      <c r="C145" s="3">
        <v>45916</v>
      </c>
      <c r="D145" t="s">
        <v>332</v>
      </c>
      <c r="E145" t="s">
        <v>24</v>
      </c>
      <c r="F145" t="s">
        <v>25</v>
      </c>
      <c r="G145" t="s">
        <v>36</v>
      </c>
      <c r="H145" t="s">
        <v>37</v>
      </c>
      <c r="I145" t="s">
        <v>52</v>
      </c>
      <c r="J145" t="s">
        <v>105</v>
      </c>
      <c r="K145" t="s">
        <v>105</v>
      </c>
      <c r="L145" t="s">
        <v>54</v>
      </c>
      <c r="M145" t="s">
        <v>89</v>
      </c>
      <c r="N145">
        <v>3</v>
      </c>
      <c r="O145" s="4">
        <v>1230.3</v>
      </c>
      <c r="P145" s="5">
        <v>0</v>
      </c>
      <c r="Q145" s="4">
        <v>284</v>
      </c>
      <c r="R145" s="4">
        <f t="shared" si="4"/>
        <v>3690.8999999999996</v>
      </c>
      <c r="S145" s="4">
        <f>R145*_xlfn.XLOOKUP(I145,Lookup_Lists!$A$2:$A$5,Lookup_Lists!$B$2:$B$5)-Q145-IF(T145="Yes",R145*0.2,0)</f>
        <v>675.6339999999999</v>
      </c>
      <c r="T145" t="s">
        <v>32</v>
      </c>
      <c r="U145" s="6">
        <v>4.9000000000000004</v>
      </c>
      <c r="V145" s="7">
        <f t="shared" si="5"/>
        <v>4</v>
      </c>
      <c r="W145">
        <f>IF(SalesDataTable[[#This Row],[Returned]]="Yes",1,0)</f>
        <v>0</v>
      </c>
    </row>
    <row r="146" spans="1:23">
      <c r="A146" t="s">
        <v>333</v>
      </c>
      <c r="B146" s="3">
        <v>45954</v>
      </c>
      <c r="C146" s="3">
        <v>45960</v>
      </c>
      <c r="D146" t="s">
        <v>142</v>
      </c>
      <c r="E146" t="s">
        <v>35</v>
      </c>
      <c r="F146" t="s">
        <v>25</v>
      </c>
      <c r="G146" t="s">
        <v>26</v>
      </c>
      <c r="H146" t="s">
        <v>82</v>
      </c>
      <c r="I146" t="s">
        <v>28</v>
      </c>
      <c r="J146" t="s">
        <v>99</v>
      </c>
      <c r="K146" t="s">
        <v>99</v>
      </c>
      <c r="L146" t="s">
        <v>64</v>
      </c>
      <c r="M146" t="s">
        <v>47</v>
      </c>
      <c r="N146">
        <v>3</v>
      </c>
      <c r="O146" s="4">
        <v>4070.64</v>
      </c>
      <c r="P146" s="5">
        <v>0</v>
      </c>
      <c r="Q146" s="4">
        <v>698.29</v>
      </c>
      <c r="R146" s="4">
        <f t="shared" si="4"/>
        <v>12211.92</v>
      </c>
      <c r="S146" s="4">
        <f>R146*_xlfn.XLOOKUP(I146,Lookup_Lists!$A$2:$A$5,Lookup_Lists!$B$2:$B$5)-Q146-IF(T146="Yes",R146*0.2,0)</f>
        <v>1499.8555999999999</v>
      </c>
      <c r="T146" t="s">
        <v>32</v>
      </c>
      <c r="U146" s="6">
        <v>4.0999999999999996</v>
      </c>
      <c r="V146" s="7">
        <f t="shared" si="5"/>
        <v>6</v>
      </c>
      <c r="W146">
        <f>IF(SalesDataTable[[#This Row],[Returned]]="Yes",1,0)</f>
        <v>0</v>
      </c>
    </row>
    <row r="147" spans="1:23">
      <c r="A147" t="s">
        <v>334</v>
      </c>
      <c r="B147" s="3">
        <v>45893</v>
      </c>
      <c r="C147" s="3">
        <v>45895</v>
      </c>
      <c r="D147" t="s">
        <v>335</v>
      </c>
      <c r="E147" t="s">
        <v>24</v>
      </c>
      <c r="F147" t="s">
        <v>25</v>
      </c>
      <c r="G147" t="s">
        <v>26</v>
      </c>
      <c r="H147" t="s">
        <v>27</v>
      </c>
      <c r="I147" t="s">
        <v>38</v>
      </c>
      <c r="J147" t="s">
        <v>45</v>
      </c>
      <c r="K147" t="s">
        <v>45</v>
      </c>
      <c r="L147" t="s">
        <v>54</v>
      </c>
      <c r="M147" t="s">
        <v>31</v>
      </c>
      <c r="N147">
        <v>8</v>
      </c>
      <c r="O147" s="4">
        <v>303.45999999999998</v>
      </c>
      <c r="P147" s="5">
        <v>0.05</v>
      </c>
      <c r="Q147" s="4">
        <v>594.67999999999995</v>
      </c>
      <c r="R147" s="4">
        <f t="shared" si="4"/>
        <v>2306.2959999999998</v>
      </c>
      <c r="S147" s="4">
        <f>R147*_xlfn.XLOOKUP(I147,Lookup_Lists!$A$2:$A$5,Lookup_Lists!$B$2:$B$5)-Q147-IF(T147="Yes",R147*0.2,0)</f>
        <v>143.33472000000006</v>
      </c>
      <c r="T147" t="s">
        <v>32</v>
      </c>
      <c r="U147" s="6">
        <v>3.6</v>
      </c>
      <c r="V147" s="7">
        <f t="shared" si="5"/>
        <v>2</v>
      </c>
      <c r="W147">
        <f>IF(SalesDataTable[[#This Row],[Returned]]="Yes",1,0)</f>
        <v>0</v>
      </c>
    </row>
    <row r="148" spans="1:23">
      <c r="A148" t="s">
        <v>336</v>
      </c>
      <c r="B148" s="3">
        <v>46000</v>
      </c>
      <c r="C148" s="3">
        <v>46001</v>
      </c>
      <c r="D148" t="s">
        <v>337</v>
      </c>
      <c r="E148" t="s">
        <v>35</v>
      </c>
      <c r="F148" t="s">
        <v>25</v>
      </c>
      <c r="G148" t="s">
        <v>26</v>
      </c>
      <c r="H148" t="s">
        <v>27</v>
      </c>
      <c r="I148" t="s">
        <v>28</v>
      </c>
      <c r="J148" t="s">
        <v>75</v>
      </c>
      <c r="K148" t="s">
        <v>75</v>
      </c>
      <c r="L148" t="s">
        <v>54</v>
      </c>
      <c r="M148" t="s">
        <v>31</v>
      </c>
      <c r="N148">
        <v>2</v>
      </c>
      <c r="O148" s="4">
        <v>9879.49</v>
      </c>
      <c r="P148" s="5">
        <v>0.1</v>
      </c>
      <c r="Q148" s="4">
        <v>908.71</v>
      </c>
      <c r="R148" s="4">
        <f t="shared" si="4"/>
        <v>17783.081999999999</v>
      </c>
      <c r="S148" s="4">
        <f>R148*_xlfn.XLOOKUP(I148,Lookup_Lists!$A$2:$A$5,Lookup_Lists!$B$2:$B$5)-Q148-IF(T148="Yes",R148*0.2,0)</f>
        <v>2292.2447599999996</v>
      </c>
      <c r="T148" t="s">
        <v>32</v>
      </c>
      <c r="U148" s="6">
        <v>4.3</v>
      </c>
      <c r="V148" s="7">
        <f t="shared" si="5"/>
        <v>1</v>
      </c>
      <c r="W148">
        <f>IF(SalesDataTable[[#This Row],[Returned]]="Yes",1,0)</f>
        <v>0</v>
      </c>
    </row>
    <row r="149" spans="1:23">
      <c r="A149" t="s">
        <v>338</v>
      </c>
      <c r="B149" s="3">
        <v>45930</v>
      </c>
      <c r="C149" s="3">
        <v>45935</v>
      </c>
      <c r="D149" t="s">
        <v>278</v>
      </c>
      <c r="E149" t="s">
        <v>35</v>
      </c>
      <c r="F149" t="s">
        <v>25</v>
      </c>
      <c r="G149" t="s">
        <v>43</v>
      </c>
      <c r="H149" t="s">
        <v>44</v>
      </c>
      <c r="I149" t="s">
        <v>28</v>
      </c>
      <c r="J149" t="s">
        <v>111</v>
      </c>
      <c r="K149" t="s">
        <v>111</v>
      </c>
      <c r="L149" t="s">
        <v>64</v>
      </c>
      <c r="M149" t="s">
        <v>40</v>
      </c>
      <c r="N149">
        <v>1</v>
      </c>
      <c r="O149" s="4">
        <v>1090.67</v>
      </c>
      <c r="P149" s="5">
        <v>0</v>
      </c>
      <c r="Q149" s="4">
        <v>205.76</v>
      </c>
      <c r="R149" s="4">
        <f t="shared" si="4"/>
        <v>1090.67</v>
      </c>
      <c r="S149" s="4">
        <f>R149*_xlfn.XLOOKUP(I149,Lookup_Lists!$A$2:$A$5,Lookup_Lists!$B$2:$B$5)-Q149-IF(T149="Yes",R149*0.2,0)</f>
        <v>-9.4393999999999778</v>
      </c>
      <c r="T149" t="s">
        <v>32</v>
      </c>
      <c r="U149" s="6">
        <v>4.3</v>
      </c>
      <c r="V149" s="7">
        <f t="shared" si="5"/>
        <v>5</v>
      </c>
      <c r="W149">
        <f>IF(SalesDataTable[[#This Row],[Returned]]="Yes",1,0)</f>
        <v>0</v>
      </c>
    </row>
    <row r="150" spans="1:23">
      <c r="A150" t="s">
        <v>339</v>
      </c>
      <c r="B150" s="3">
        <v>45839</v>
      </c>
      <c r="C150" s="3">
        <v>45842</v>
      </c>
      <c r="D150" t="s">
        <v>340</v>
      </c>
      <c r="E150" t="s">
        <v>35</v>
      </c>
      <c r="F150" t="s">
        <v>25</v>
      </c>
      <c r="G150" t="s">
        <v>43</v>
      </c>
      <c r="H150" t="s">
        <v>102</v>
      </c>
      <c r="I150" t="s">
        <v>58</v>
      </c>
      <c r="J150" t="s">
        <v>127</v>
      </c>
      <c r="K150" t="s">
        <v>127</v>
      </c>
      <c r="L150" t="s">
        <v>60</v>
      </c>
      <c r="M150" t="s">
        <v>40</v>
      </c>
      <c r="N150">
        <v>1</v>
      </c>
      <c r="O150" s="4">
        <v>20311.54</v>
      </c>
      <c r="P150" s="5">
        <v>0</v>
      </c>
      <c r="Q150" s="4">
        <v>949.93</v>
      </c>
      <c r="R150" s="4">
        <f t="shared" si="4"/>
        <v>20311.54</v>
      </c>
      <c r="S150" s="4">
        <f>R150*_xlfn.XLOOKUP(I150,Lookup_Lists!$A$2:$A$5,Lookup_Lists!$B$2:$B$5)-Q150-IF(T150="Yes",R150*0.2,0)</f>
        <v>3924.8395999999998</v>
      </c>
      <c r="T150" t="s">
        <v>32</v>
      </c>
      <c r="U150" s="6">
        <v>4.8</v>
      </c>
      <c r="V150" s="7">
        <f t="shared" si="5"/>
        <v>3</v>
      </c>
      <c r="W150">
        <f>IF(SalesDataTable[[#This Row],[Returned]]="Yes",1,0)</f>
        <v>0</v>
      </c>
    </row>
    <row r="151" spans="1:23">
      <c r="A151" t="s">
        <v>341</v>
      </c>
      <c r="B151" s="3">
        <v>45851</v>
      </c>
      <c r="C151" s="3">
        <v>45856</v>
      </c>
      <c r="D151" t="s">
        <v>342</v>
      </c>
      <c r="E151" t="s">
        <v>35</v>
      </c>
      <c r="F151" t="s">
        <v>25</v>
      </c>
      <c r="G151" t="s">
        <v>50</v>
      </c>
      <c r="H151" t="s">
        <v>51</v>
      </c>
      <c r="I151" t="s">
        <v>28</v>
      </c>
      <c r="J151" t="s">
        <v>111</v>
      </c>
      <c r="K151" t="s">
        <v>111</v>
      </c>
      <c r="L151" t="s">
        <v>30</v>
      </c>
      <c r="M151" t="s">
        <v>55</v>
      </c>
      <c r="N151">
        <v>3</v>
      </c>
      <c r="O151" s="4">
        <v>1364.87</v>
      </c>
      <c r="P151" s="5">
        <v>0</v>
      </c>
      <c r="Q151" s="4">
        <v>442.47</v>
      </c>
      <c r="R151" s="4">
        <f t="shared" si="4"/>
        <v>4094.6099999999997</v>
      </c>
      <c r="S151" s="4">
        <f>R151*_xlfn.XLOOKUP(I151,Lookup_Lists!$A$2:$A$5,Lookup_Lists!$B$2:$B$5)-Q151-IF(T151="Yes",R151*0.2,0)</f>
        <v>-524.36220000000014</v>
      </c>
      <c r="T151" t="s">
        <v>119</v>
      </c>
      <c r="U151" s="6">
        <v>3.6</v>
      </c>
      <c r="V151" s="7">
        <f t="shared" si="5"/>
        <v>5</v>
      </c>
      <c r="W151">
        <f>IF(SalesDataTable[[#This Row],[Returned]]="Yes",1,0)</f>
        <v>1</v>
      </c>
    </row>
    <row r="152" spans="1:23">
      <c r="A152" t="s">
        <v>343</v>
      </c>
      <c r="B152" s="3">
        <v>45766</v>
      </c>
      <c r="C152" s="3">
        <v>45773</v>
      </c>
      <c r="D152" t="s">
        <v>344</v>
      </c>
      <c r="E152" t="s">
        <v>81</v>
      </c>
      <c r="F152" t="s">
        <v>25</v>
      </c>
      <c r="G152" t="s">
        <v>36</v>
      </c>
      <c r="H152" t="s">
        <v>37</v>
      </c>
      <c r="I152" t="s">
        <v>28</v>
      </c>
      <c r="J152" t="s">
        <v>29</v>
      </c>
      <c r="K152" t="s">
        <v>29</v>
      </c>
      <c r="L152" t="s">
        <v>30</v>
      </c>
      <c r="M152" t="s">
        <v>55</v>
      </c>
      <c r="N152">
        <v>5</v>
      </c>
      <c r="O152" s="4">
        <v>54550.75</v>
      </c>
      <c r="P152" s="5">
        <v>0</v>
      </c>
      <c r="Q152" s="4">
        <v>4700.7</v>
      </c>
      <c r="R152" s="4">
        <f t="shared" si="4"/>
        <v>272753.75</v>
      </c>
      <c r="S152" s="4">
        <f>R152*_xlfn.XLOOKUP(I152,Lookup_Lists!$A$2:$A$5,Lookup_Lists!$B$2:$B$5)-Q152-IF(T152="Yes",R152*0.2,0)</f>
        <v>44394.974999999999</v>
      </c>
      <c r="T152" t="s">
        <v>32</v>
      </c>
      <c r="U152" s="6">
        <v>4.8</v>
      </c>
      <c r="V152" s="7">
        <f t="shared" si="5"/>
        <v>7</v>
      </c>
      <c r="W152">
        <f>IF(SalesDataTable[[#This Row],[Returned]]="Yes",1,0)</f>
        <v>0</v>
      </c>
    </row>
    <row r="153" spans="1:23">
      <c r="A153" t="s">
        <v>345</v>
      </c>
      <c r="B153" s="3">
        <v>46022</v>
      </c>
      <c r="C153" s="3">
        <v>46029</v>
      </c>
      <c r="D153" t="s">
        <v>346</v>
      </c>
      <c r="E153" t="s">
        <v>81</v>
      </c>
      <c r="F153" t="s">
        <v>25</v>
      </c>
      <c r="G153" t="s">
        <v>43</v>
      </c>
      <c r="H153" t="s">
        <v>63</v>
      </c>
      <c r="I153" t="s">
        <v>38</v>
      </c>
      <c r="J153" t="s">
        <v>130</v>
      </c>
      <c r="K153" t="s">
        <v>130</v>
      </c>
      <c r="L153" t="s">
        <v>64</v>
      </c>
      <c r="M153" t="s">
        <v>47</v>
      </c>
      <c r="N153">
        <v>3</v>
      </c>
      <c r="O153" s="4">
        <v>729.52</v>
      </c>
      <c r="P153" s="5">
        <v>0</v>
      </c>
      <c r="Q153" s="4">
        <v>534.48</v>
      </c>
      <c r="R153" s="4">
        <f t="shared" si="4"/>
        <v>2188.56</v>
      </c>
      <c r="S153" s="4">
        <f>R153*_xlfn.XLOOKUP(I153,Lookup_Lists!$A$2:$A$5,Lookup_Lists!$B$2:$B$5)-Q153-IF(T153="Yes",R153*0.2,0)</f>
        <v>165.85919999999999</v>
      </c>
      <c r="T153" t="s">
        <v>32</v>
      </c>
      <c r="U153" s="6">
        <v>4.0999999999999996</v>
      </c>
      <c r="V153" s="7">
        <f t="shared" si="5"/>
        <v>7</v>
      </c>
      <c r="W153">
        <f>IF(SalesDataTable[[#This Row],[Returned]]="Yes",1,0)</f>
        <v>0</v>
      </c>
    </row>
    <row r="154" spans="1:23">
      <c r="A154" t="s">
        <v>347</v>
      </c>
      <c r="B154" s="3">
        <v>46010</v>
      </c>
      <c r="C154" s="3">
        <v>46016</v>
      </c>
      <c r="D154" t="s">
        <v>148</v>
      </c>
      <c r="E154" t="s">
        <v>70</v>
      </c>
      <c r="F154" t="s">
        <v>25</v>
      </c>
      <c r="G154" t="s">
        <v>43</v>
      </c>
      <c r="H154" t="s">
        <v>122</v>
      </c>
      <c r="I154" t="s">
        <v>28</v>
      </c>
      <c r="J154" t="s">
        <v>75</v>
      </c>
      <c r="K154" t="s">
        <v>75</v>
      </c>
      <c r="L154" t="s">
        <v>64</v>
      </c>
      <c r="M154" t="s">
        <v>55</v>
      </c>
      <c r="N154">
        <v>3</v>
      </c>
      <c r="O154" s="4">
        <v>11705.76</v>
      </c>
      <c r="P154" s="5">
        <v>0.05</v>
      </c>
      <c r="Q154" s="4">
        <v>1159.04</v>
      </c>
      <c r="R154" s="4">
        <f t="shared" si="4"/>
        <v>33361.415999999997</v>
      </c>
      <c r="S154" s="4">
        <f>R154*_xlfn.XLOOKUP(I154,Lookup_Lists!$A$2:$A$5,Lookup_Lists!$B$2:$B$5)-Q154-IF(T154="Yes",R154*0.2,0)</f>
        <v>4846.0148799999997</v>
      </c>
      <c r="T154" t="s">
        <v>32</v>
      </c>
      <c r="U154" s="6">
        <v>3.7</v>
      </c>
      <c r="V154" s="7">
        <f t="shared" si="5"/>
        <v>6</v>
      </c>
      <c r="W154">
        <f>IF(SalesDataTable[[#This Row],[Returned]]="Yes",1,0)</f>
        <v>0</v>
      </c>
    </row>
    <row r="155" spans="1:23">
      <c r="A155" t="s">
        <v>348</v>
      </c>
      <c r="B155" s="3">
        <v>45888</v>
      </c>
      <c r="C155" s="3">
        <v>45892</v>
      </c>
      <c r="D155" t="s">
        <v>349</v>
      </c>
      <c r="E155" t="s">
        <v>35</v>
      </c>
      <c r="F155" t="s">
        <v>25</v>
      </c>
      <c r="G155" t="s">
        <v>36</v>
      </c>
      <c r="H155" t="s">
        <v>138</v>
      </c>
      <c r="I155" t="s">
        <v>28</v>
      </c>
      <c r="J155" t="s">
        <v>99</v>
      </c>
      <c r="K155" t="s">
        <v>99</v>
      </c>
      <c r="L155" t="s">
        <v>30</v>
      </c>
      <c r="M155" t="s">
        <v>89</v>
      </c>
      <c r="N155">
        <v>4</v>
      </c>
      <c r="O155" s="4">
        <v>3390.15</v>
      </c>
      <c r="P155" s="5">
        <v>0</v>
      </c>
      <c r="Q155" s="4">
        <v>325.31</v>
      </c>
      <c r="R155" s="4">
        <f t="shared" si="4"/>
        <v>13560.6</v>
      </c>
      <c r="S155" s="4">
        <f>R155*_xlfn.XLOOKUP(I155,Lookup_Lists!$A$2:$A$5,Lookup_Lists!$B$2:$B$5)-Q155-IF(T155="Yes",R155*0.2,0)</f>
        <v>2115.598</v>
      </c>
      <c r="T155" t="s">
        <v>32</v>
      </c>
      <c r="U155" s="6">
        <v>3.8</v>
      </c>
      <c r="V155" s="7">
        <f t="shared" si="5"/>
        <v>4</v>
      </c>
      <c r="W155">
        <f>IF(SalesDataTable[[#This Row],[Returned]]="Yes",1,0)</f>
        <v>0</v>
      </c>
    </row>
    <row r="156" spans="1:23">
      <c r="A156" t="s">
        <v>350</v>
      </c>
      <c r="B156" s="3">
        <v>45852</v>
      </c>
      <c r="C156" s="3">
        <v>45858</v>
      </c>
      <c r="D156" t="s">
        <v>351</v>
      </c>
      <c r="E156" t="s">
        <v>70</v>
      </c>
      <c r="F156" t="s">
        <v>25</v>
      </c>
      <c r="G156" t="s">
        <v>36</v>
      </c>
      <c r="H156" t="s">
        <v>37</v>
      </c>
      <c r="I156" t="s">
        <v>58</v>
      </c>
      <c r="J156" t="s">
        <v>92</v>
      </c>
      <c r="K156" t="s">
        <v>92</v>
      </c>
      <c r="L156" t="s">
        <v>54</v>
      </c>
      <c r="M156" t="s">
        <v>55</v>
      </c>
      <c r="N156">
        <v>2</v>
      </c>
      <c r="O156" s="4">
        <v>9421.43</v>
      </c>
      <c r="P156" s="5">
        <v>0</v>
      </c>
      <c r="Q156" s="4">
        <v>412.4</v>
      </c>
      <c r="R156" s="4">
        <f t="shared" si="4"/>
        <v>18842.86</v>
      </c>
      <c r="S156" s="4">
        <f>R156*_xlfn.XLOOKUP(I156,Lookup_Lists!$A$2:$A$5,Lookup_Lists!$B$2:$B$5)-Q156-IF(T156="Yes",R156*0.2,0)</f>
        <v>4109.8864000000003</v>
      </c>
      <c r="T156" t="s">
        <v>32</v>
      </c>
      <c r="U156" s="6">
        <v>3.7</v>
      </c>
      <c r="V156" s="7">
        <f t="shared" si="5"/>
        <v>6</v>
      </c>
      <c r="W156">
        <f>IF(SalesDataTable[[#This Row],[Returned]]="Yes",1,0)</f>
        <v>0</v>
      </c>
    </row>
    <row r="157" spans="1:23">
      <c r="A157" t="s">
        <v>352</v>
      </c>
      <c r="B157" s="3">
        <v>45710</v>
      </c>
      <c r="C157" s="3">
        <v>45711</v>
      </c>
      <c r="D157" t="s">
        <v>353</v>
      </c>
      <c r="E157" t="s">
        <v>35</v>
      </c>
      <c r="F157" t="s">
        <v>25</v>
      </c>
      <c r="G157" t="s">
        <v>50</v>
      </c>
      <c r="H157" t="s">
        <v>71</v>
      </c>
      <c r="I157" t="s">
        <v>52</v>
      </c>
      <c r="J157" t="s">
        <v>114</v>
      </c>
      <c r="K157" t="s">
        <v>114</v>
      </c>
      <c r="L157" t="s">
        <v>54</v>
      </c>
      <c r="M157" t="s">
        <v>47</v>
      </c>
      <c r="N157">
        <v>4</v>
      </c>
      <c r="O157" s="4">
        <v>10425.799999999999</v>
      </c>
      <c r="P157" s="5">
        <v>0.05</v>
      </c>
      <c r="Q157" s="4">
        <v>1271.4000000000001</v>
      </c>
      <c r="R157" s="4">
        <f t="shared" si="4"/>
        <v>39618.039999999994</v>
      </c>
      <c r="S157" s="4">
        <f>R157*_xlfn.XLOOKUP(I157,Lookup_Lists!$A$2:$A$5,Lookup_Lists!$B$2:$B$5)-Q157-IF(T157="Yes",R157*0.2,0)</f>
        <v>9029.2903999999999</v>
      </c>
      <c r="T157" t="s">
        <v>32</v>
      </c>
      <c r="U157" s="6">
        <v>4.2</v>
      </c>
      <c r="V157" s="7">
        <f t="shared" si="5"/>
        <v>1</v>
      </c>
      <c r="W157">
        <f>IF(SalesDataTable[[#This Row],[Returned]]="Yes",1,0)</f>
        <v>0</v>
      </c>
    </row>
    <row r="158" spans="1:23">
      <c r="A158" t="s">
        <v>354</v>
      </c>
      <c r="B158" s="3">
        <v>45924</v>
      </c>
      <c r="C158" s="3">
        <v>45926</v>
      </c>
      <c r="D158" t="s">
        <v>355</v>
      </c>
      <c r="E158" t="s">
        <v>35</v>
      </c>
      <c r="F158" t="s">
        <v>25</v>
      </c>
      <c r="G158" t="s">
        <v>26</v>
      </c>
      <c r="H158" t="s">
        <v>82</v>
      </c>
      <c r="I158" t="s">
        <v>28</v>
      </c>
      <c r="J158" t="s">
        <v>111</v>
      </c>
      <c r="K158" t="s">
        <v>111</v>
      </c>
      <c r="L158" t="s">
        <v>54</v>
      </c>
      <c r="M158" t="s">
        <v>40</v>
      </c>
      <c r="N158">
        <v>2</v>
      </c>
      <c r="O158" s="4">
        <v>1207.5999999999999</v>
      </c>
      <c r="P158" s="5">
        <v>0.05</v>
      </c>
      <c r="Q158" s="4">
        <v>160.07</v>
      </c>
      <c r="R158" s="4">
        <f t="shared" si="4"/>
        <v>2294.4399999999996</v>
      </c>
      <c r="S158" s="4">
        <f>R158*_xlfn.XLOOKUP(I158,Lookup_Lists!$A$2:$A$5,Lookup_Lists!$B$2:$B$5)-Q158-IF(T158="Yes",R158*0.2,0)</f>
        <v>252.92919999999992</v>
      </c>
      <c r="T158" t="s">
        <v>32</v>
      </c>
      <c r="U158" s="6">
        <v>4.4000000000000004</v>
      </c>
      <c r="V158" s="7">
        <f t="shared" si="5"/>
        <v>2</v>
      </c>
      <c r="W158">
        <f>IF(SalesDataTable[[#This Row],[Returned]]="Yes",1,0)</f>
        <v>0</v>
      </c>
    </row>
    <row r="159" spans="1:23">
      <c r="A159" t="s">
        <v>356</v>
      </c>
      <c r="B159" s="3">
        <v>45962</v>
      </c>
      <c r="C159" s="3">
        <v>45967</v>
      </c>
      <c r="D159" t="s">
        <v>357</v>
      </c>
      <c r="E159" t="s">
        <v>70</v>
      </c>
      <c r="F159" t="s">
        <v>25</v>
      </c>
      <c r="G159" t="s">
        <v>26</v>
      </c>
      <c r="H159" t="s">
        <v>82</v>
      </c>
      <c r="I159" t="s">
        <v>28</v>
      </c>
      <c r="J159" t="s">
        <v>111</v>
      </c>
      <c r="K159" t="s">
        <v>111</v>
      </c>
      <c r="L159" t="s">
        <v>54</v>
      </c>
      <c r="M159" t="s">
        <v>31</v>
      </c>
      <c r="N159">
        <v>2</v>
      </c>
      <c r="O159" s="4">
        <v>1366.39</v>
      </c>
      <c r="P159" s="5">
        <v>0</v>
      </c>
      <c r="Q159" s="4">
        <v>366.44</v>
      </c>
      <c r="R159" s="4">
        <f t="shared" si="4"/>
        <v>2732.78</v>
      </c>
      <c r="S159" s="4">
        <f>R159*_xlfn.XLOOKUP(I159,Lookup_Lists!$A$2:$A$5,Lookup_Lists!$B$2:$B$5)-Q159-IF(T159="Yes",R159*0.2,0)</f>
        <v>125.46039999999999</v>
      </c>
      <c r="T159" t="s">
        <v>32</v>
      </c>
      <c r="U159" s="6">
        <v>5</v>
      </c>
      <c r="V159" s="7">
        <f t="shared" si="5"/>
        <v>5</v>
      </c>
      <c r="W159">
        <f>IF(SalesDataTable[[#This Row],[Returned]]="Yes",1,0)</f>
        <v>0</v>
      </c>
    </row>
    <row r="160" spans="1:23">
      <c r="A160" t="s">
        <v>358</v>
      </c>
      <c r="B160" s="3">
        <v>45991</v>
      </c>
      <c r="C160" s="3">
        <v>45996</v>
      </c>
      <c r="D160" t="s">
        <v>359</v>
      </c>
      <c r="E160" t="s">
        <v>35</v>
      </c>
      <c r="F160" t="s">
        <v>25</v>
      </c>
      <c r="G160" t="s">
        <v>26</v>
      </c>
      <c r="H160" t="s">
        <v>67</v>
      </c>
      <c r="I160" t="s">
        <v>28</v>
      </c>
      <c r="J160" t="s">
        <v>111</v>
      </c>
      <c r="K160" t="s">
        <v>111</v>
      </c>
      <c r="L160" t="s">
        <v>60</v>
      </c>
      <c r="M160" t="s">
        <v>55</v>
      </c>
      <c r="N160">
        <v>4</v>
      </c>
      <c r="O160" s="4">
        <v>1283.8399999999999</v>
      </c>
      <c r="P160" s="5">
        <v>0.25</v>
      </c>
      <c r="Q160" s="4">
        <v>602.76</v>
      </c>
      <c r="R160" s="4">
        <f t="shared" si="4"/>
        <v>3851.5199999999995</v>
      </c>
      <c r="S160" s="4">
        <f>R160*_xlfn.XLOOKUP(I160,Lookup_Lists!$A$2:$A$5,Lookup_Lists!$B$2:$B$5)-Q160-IF(T160="Yes",R160*0.2,0)</f>
        <v>90.513599999999883</v>
      </c>
      <c r="T160" t="s">
        <v>32</v>
      </c>
      <c r="U160" s="6">
        <v>4.2</v>
      </c>
      <c r="V160" s="7">
        <f t="shared" si="5"/>
        <v>5</v>
      </c>
      <c r="W160">
        <f>IF(SalesDataTable[[#This Row],[Returned]]="Yes",1,0)</f>
        <v>0</v>
      </c>
    </row>
    <row r="161" spans="1:23">
      <c r="A161" t="s">
        <v>360</v>
      </c>
      <c r="B161" s="3">
        <v>45844</v>
      </c>
      <c r="C161" s="3">
        <v>45845</v>
      </c>
      <c r="D161" t="s">
        <v>216</v>
      </c>
      <c r="E161" t="s">
        <v>35</v>
      </c>
      <c r="F161" t="s">
        <v>25</v>
      </c>
      <c r="G161" t="s">
        <v>26</v>
      </c>
      <c r="H161" t="s">
        <v>153</v>
      </c>
      <c r="I161" t="s">
        <v>52</v>
      </c>
      <c r="J161" t="s">
        <v>53</v>
      </c>
      <c r="K161" t="s">
        <v>53</v>
      </c>
      <c r="L161" t="s">
        <v>60</v>
      </c>
      <c r="M161" t="s">
        <v>40</v>
      </c>
      <c r="N161">
        <v>2</v>
      </c>
      <c r="O161" s="4">
        <v>532.07000000000005</v>
      </c>
      <c r="P161" s="5">
        <v>0.1</v>
      </c>
      <c r="Q161" s="4">
        <v>562.77</v>
      </c>
      <c r="R161" s="4">
        <f t="shared" si="4"/>
        <v>957.72600000000011</v>
      </c>
      <c r="S161" s="4">
        <f>R161*_xlfn.XLOOKUP(I161,Lookup_Lists!$A$2:$A$5,Lookup_Lists!$B$2:$B$5)-Q161-IF(T161="Yes",R161*0.2,0)</f>
        <v>-313.76123999999993</v>
      </c>
      <c r="T161" t="s">
        <v>32</v>
      </c>
      <c r="U161" s="6">
        <v>5</v>
      </c>
      <c r="V161" s="7">
        <f t="shared" si="5"/>
        <v>1</v>
      </c>
      <c r="W161">
        <f>IF(SalesDataTable[[#This Row],[Returned]]="Yes",1,0)</f>
        <v>0</v>
      </c>
    </row>
    <row r="162" spans="1:23">
      <c r="A162" t="s">
        <v>361</v>
      </c>
      <c r="B162" s="3">
        <v>45867</v>
      </c>
      <c r="C162" s="3">
        <v>45873</v>
      </c>
      <c r="D162" t="s">
        <v>362</v>
      </c>
      <c r="E162" t="s">
        <v>35</v>
      </c>
      <c r="F162" t="s">
        <v>25</v>
      </c>
      <c r="G162" t="s">
        <v>43</v>
      </c>
      <c r="H162" t="s">
        <v>63</v>
      </c>
      <c r="I162" t="s">
        <v>28</v>
      </c>
      <c r="J162" t="s">
        <v>75</v>
      </c>
      <c r="K162" t="s">
        <v>75</v>
      </c>
      <c r="L162" t="s">
        <v>30</v>
      </c>
      <c r="M162" t="s">
        <v>47</v>
      </c>
      <c r="N162">
        <v>1</v>
      </c>
      <c r="O162" s="4">
        <v>12949.31</v>
      </c>
      <c r="P162" s="5">
        <v>0.05</v>
      </c>
      <c r="Q162" s="4">
        <v>502.7</v>
      </c>
      <c r="R162" s="4">
        <f t="shared" si="4"/>
        <v>12301.844499999999</v>
      </c>
      <c r="S162" s="4">
        <f>R162*_xlfn.XLOOKUP(I162,Lookup_Lists!$A$2:$A$5,Lookup_Lists!$B$2:$B$5)-Q162-IF(T162="Yes",R162*0.2,0)</f>
        <v>1711.6320099999996</v>
      </c>
      <c r="T162" t="s">
        <v>32</v>
      </c>
      <c r="U162" s="6">
        <v>4.9000000000000004</v>
      </c>
      <c r="V162" s="7">
        <f t="shared" si="5"/>
        <v>6</v>
      </c>
      <c r="W162">
        <f>IF(SalesDataTable[[#This Row],[Returned]]="Yes",1,0)</f>
        <v>0</v>
      </c>
    </row>
    <row r="163" spans="1:23">
      <c r="A163" t="s">
        <v>363</v>
      </c>
      <c r="B163" s="3">
        <v>45936</v>
      </c>
      <c r="C163" s="3">
        <v>45937</v>
      </c>
      <c r="D163" t="s">
        <v>364</v>
      </c>
      <c r="E163" t="s">
        <v>81</v>
      </c>
      <c r="F163" t="s">
        <v>25</v>
      </c>
      <c r="G163" t="s">
        <v>50</v>
      </c>
      <c r="H163" t="s">
        <v>78</v>
      </c>
      <c r="I163" t="s">
        <v>38</v>
      </c>
      <c r="J163" t="s">
        <v>72</v>
      </c>
      <c r="K163" t="s">
        <v>72</v>
      </c>
      <c r="L163" t="s">
        <v>54</v>
      </c>
      <c r="M163" t="s">
        <v>31</v>
      </c>
      <c r="N163">
        <v>1</v>
      </c>
      <c r="O163" s="4">
        <v>211.51</v>
      </c>
      <c r="P163" s="5">
        <v>0.1</v>
      </c>
      <c r="Q163" s="4">
        <v>310.95</v>
      </c>
      <c r="R163" s="4">
        <f t="shared" si="4"/>
        <v>190.35900000000001</v>
      </c>
      <c r="S163" s="4">
        <f>R163*_xlfn.XLOOKUP(I163,Lookup_Lists!$A$2:$A$5,Lookup_Lists!$B$2:$B$5)-Q163-IF(T163="Yes",R163*0.2,0)</f>
        <v>-250.03511999999998</v>
      </c>
      <c r="T163" t="s">
        <v>32</v>
      </c>
      <c r="U163" s="6">
        <v>4</v>
      </c>
      <c r="V163" s="7">
        <f t="shared" si="5"/>
        <v>1</v>
      </c>
      <c r="W163">
        <f>IF(SalesDataTable[[#This Row],[Returned]]="Yes",1,0)</f>
        <v>0</v>
      </c>
    </row>
    <row r="164" spans="1:23">
      <c r="A164" t="s">
        <v>365</v>
      </c>
      <c r="B164" s="3">
        <v>45878</v>
      </c>
      <c r="C164" s="3">
        <v>45879</v>
      </c>
      <c r="D164" t="s">
        <v>69</v>
      </c>
      <c r="E164" t="s">
        <v>35</v>
      </c>
      <c r="F164" t="s">
        <v>25</v>
      </c>
      <c r="G164" t="s">
        <v>26</v>
      </c>
      <c r="H164" t="s">
        <v>27</v>
      </c>
      <c r="I164" t="s">
        <v>58</v>
      </c>
      <c r="J164" t="s">
        <v>88</v>
      </c>
      <c r="K164" t="s">
        <v>88</v>
      </c>
      <c r="L164" t="s">
        <v>46</v>
      </c>
      <c r="M164" t="s">
        <v>31</v>
      </c>
      <c r="N164">
        <v>3</v>
      </c>
      <c r="O164" s="4">
        <v>6661.61</v>
      </c>
      <c r="P164" s="5">
        <v>0.25</v>
      </c>
      <c r="Q164" s="4">
        <v>654.95000000000005</v>
      </c>
      <c r="R164" s="4">
        <f t="shared" si="4"/>
        <v>14988.622499999998</v>
      </c>
      <c r="S164" s="4">
        <f>R164*_xlfn.XLOOKUP(I164,Lookup_Lists!$A$2:$A$5,Lookup_Lists!$B$2:$B$5)-Q164-IF(T164="Yes",R164*0.2,0)</f>
        <v>2942.3193999999994</v>
      </c>
      <c r="T164" t="s">
        <v>32</v>
      </c>
      <c r="U164" s="6">
        <v>4.5</v>
      </c>
      <c r="V164" s="7">
        <f t="shared" si="5"/>
        <v>1</v>
      </c>
      <c r="W164">
        <f>IF(SalesDataTable[[#This Row],[Returned]]="Yes",1,0)</f>
        <v>0</v>
      </c>
    </row>
    <row r="165" spans="1:23">
      <c r="A165" t="s">
        <v>366</v>
      </c>
      <c r="B165" s="3">
        <v>45730</v>
      </c>
      <c r="C165" s="3">
        <v>45733</v>
      </c>
      <c r="D165" t="s">
        <v>129</v>
      </c>
      <c r="E165" t="s">
        <v>35</v>
      </c>
      <c r="F165" t="s">
        <v>25</v>
      </c>
      <c r="G165" t="s">
        <v>26</v>
      </c>
      <c r="H165" t="s">
        <v>67</v>
      </c>
      <c r="I165" t="s">
        <v>58</v>
      </c>
      <c r="J165" t="s">
        <v>92</v>
      </c>
      <c r="K165" t="s">
        <v>92</v>
      </c>
      <c r="L165" t="s">
        <v>46</v>
      </c>
      <c r="M165" t="s">
        <v>47</v>
      </c>
      <c r="N165">
        <v>2</v>
      </c>
      <c r="O165" s="4">
        <v>8245.67</v>
      </c>
      <c r="P165" s="5">
        <v>0.15</v>
      </c>
      <c r="Q165" s="4">
        <v>392.97</v>
      </c>
      <c r="R165" s="4">
        <f t="shared" si="4"/>
        <v>14017.638999999999</v>
      </c>
      <c r="S165" s="4">
        <f>R165*_xlfn.XLOOKUP(I165,Lookup_Lists!$A$2:$A$5,Lookup_Lists!$B$2:$B$5)-Q165-IF(T165="Yes",R165*0.2,0)</f>
        <v>2971.2633599999999</v>
      </c>
      <c r="T165" t="s">
        <v>32</v>
      </c>
      <c r="U165" s="6">
        <v>4.3</v>
      </c>
      <c r="V165" s="7">
        <f t="shared" si="5"/>
        <v>3</v>
      </c>
      <c r="W165">
        <f>IF(SalesDataTable[[#This Row],[Returned]]="Yes",1,0)</f>
        <v>0</v>
      </c>
    </row>
    <row r="166" spans="1:23">
      <c r="A166" t="s">
        <v>367</v>
      </c>
      <c r="B166" s="3">
        <v>45989</v>
      </c>
      <c r="C166" s="3">
        <v>45990</v>
      </c>
      <c r="D166" t="s">
        <v>199</v>
      </c>
      <c r="E166" t="s">
        <v>24</v>
      </c>
      <c r="F166" t="s">
        <v>25</v>
      </c>
      <c r="G166" t="s">
        <v>26</v>
      </c>
      <c r="H166" t="s">
        <v>27</v>
      </c>
      <c r="I166" t="s">
        <v>38</v>
      </c>
      <c r="J166" t="s">
        <v>72</v>
      </c>
      <c r="K166" t="s">
        <v>72</v>
      </c>
      <c r="L166" t="s">
        <v>46</v>
      </c>
      <c r="M166" t="s">
        <v>47</v>
      </c>
      <c r="N166">
        <v>1</v>
      </c>
      <c r="O166" s="4">
        <v>180.27</v>
      </c>
      <c r="P166" s="5">
        <v>0</v>
      </c>
      <c r="Q166" s="4">
        <v>447.78</v>
      </c>
      <c r="R166" s="4">
        <f t="shared" si="4"/>
        <v>180.27</v>
      </c>
      <c r="S166" s="4">
        <f>R166*_xlfn.XLOOKUP(I166,Lookup_Lists!$A$2:$A$5,Lookup_Lists!$B$2:$B$5)-Q166-IF(T166="Yes",R166*0.2,0)</f>
        <v>-390.09359999999998</v>
      </c>
      <c r="T166" t="s">
        <v>32</v>
      </c>
      <c r="U166" s="6">
        <v>5</v>
      </c>
      <c r="V166" s="7">
        <f t="shared" si="5"/>
        <v>1</v>
      </c>
      <c r="W166">
        <f>IF(SalesDataTable[[#This Row],[Returned]]="Yes",1,0)</f>
        <v>0</v>
      </c>
    </row>
    <row r="167" spans="1:23">
      <c r="A167" t="s">
        <v>368</v>
      </c>
      <c r="B167" s="3">
        <v>45759</v>
      </c>
      <c r="C167" s="3">
        <v>45763</v>
      </c>
      <c r="D167" t="s">
        <v>219</v>
      </c>
      <c r="E167" t="s">
        <v>35</v>
      </c>
      <c r="F167" t="s">
        <v>25</v>
      </c>
      <c r="G167" t="s">
        <v>50</v>
      </c>
      <c r="H167" t="s">
        <v>51</v>
      </c>
      <c r="I167" t="s">
        <v>28</v>
      </c>
      <c r="J167" t="s">
        <v>29</v>
      </c>
      <c r="K167" t="s">
        <v>29</v>
      </c>
      <c r="L167" t="s">
        <v>46</v>
      </c>
      <c r="M167" t="s">
        <v>31</v>
      </c>
      <c r="N167">
        <v>1</v>
      </c>
      <c r="O167" s="4">
        <v>50845.36</v>
      </c>
      <c r="P167" s="5">
        <v>0.05</v>
      </c>
      <c r="Q167" s="4">
        <v>992.22</v>
      </c>
      <c r="R167" s="4">
        <f t="shared" si="4"/>
        <v>48303.091999999997</v>
      </c>
      <c r="S167" s="4">
        <f>R167*_xlfn.XLOOKUP(I167,Lookup_Lists!$A$2:$A$5,Lookup_Lists!$B$2:$B$5)-Q167-IF(T167="Yes",R167*0.2,0)</f>
        <v>7702.3365599999988</v>
      </c>
      <c r="T167" t="s">
        <v>32</v>
      </c>
      <c r="U167" s="6">
        <v>4.5</v>
      </c>
      <c r="V167" s="7">
        <f t="shared" si="5"/>
        <v>4</v>
      </c>
      <c r="W167">
        <f>IF(SalesDataTable[[#This Row],[Returned]]="Yes",1,0)</f>
        <v>0</v>
      </c>
    </row>
    <row r="168" spans="1:23">
      <c r="A168" t="s">
        <v>369</v>
      </c>
      <c r="B168" s="3">
        <v>45928</v>
      </c>
      <c r="C168" s="3">
        <v>45934</v>
      </c>
      <c r="D168" t="s">
        <v>265</v>
      </c>
      <c r="E168" t="s">
        <v>70</v>
      </c>
      <c r="F168" t="s">
        <v>25</v>
      </c>
      <c r="G168" t="s">
        <v>36</v>
      </c>
      <c r="H168" t="s">
        <v>126</v>
      </c>
      <c r="I168" t="s">
        <v>58</v>
      </c>
      <c r="J168" t="s">
        <v>88</v>
      </c>
      <c r="K168" t="s">
        <v>88</v>
      </c>
      <c r="L168" t="s">
        <v>30</v>
      </c>
      <c r="M168" t="s">
        <v>55</v>
      </c>
      <c r="N168">
        <v>5</v>
      </c>
      <c r="O168" s="4">
        <v>7610.76</v>
      </c>
      <c r="P168" s="5">
        <v>0.1</v>
      </c>
      <c r="Q168" s="4">
        <v>829.32</v>
      </c>
      <c r="R168" s="4">
        <f t="shared" si="4"/>
        <v>34248.420000000006</v>
      </c>
      <c r="S168" s="4">
        <f>R168*_xlfn.XLOOKUP(I168,Lookup_Lists!$A$2:$A$5,Lookup_Lists!$B$2:$B$5)-Q168-IF(T168="Yes",R168*0.2,0)</f>
        <v>7390.3008000000009</v>
      </c>
      <c r="T168" t="s">
        <v>32</v>
      </c>
      <c r="U168" s="6">
        <v>4.5999999999999996</v>
      </c>
      <c r="V168" s="7">
        <f t="shared" si="5"/>
        <v>6</v>
      </c>
      <c r="W168">
        <f>IF(SalesDataTable[[#This Row],[Returned]]="Yes",1,0)</f>
        <v>0</v>
      </c>
    </row>
    <row r="169" spans="1:23">
      <c r="A169" t="s">
        <v>370</v>
      </c>
      <c r="B169" s="3">
        <v>45730</v>
      </c>
      <c r="C169" s="3">
        <v>45735</v>
      </c>
      <c r="D169" t="s">
        <v>371</v>
      </c>
      <c r="E169" t="s">
        <v>35</v>
      </c>
      <c r="F169" t="s">
        <v>25</v>
      </c>
      <c r="G169" t="s">
        <v>26</v>
      </c>
      <c r="H169" t="s">
        <v>67</v>
      </c>
      <c r="I169" t="s">
        <v>58</v>
      </c>
      <c r="J169" t="s">
        <v>88</v>
      </c>
      <c r="K169" t="s">
        <v>88</v>
      </c>
      <c r="L169" t="s">
        <v>30</v>
      </c>
      <c r="M169" t="s">
        <v>40</v>
      </c>
      <c r="N169">
        <v>3</v>
      </c>
      <c r="O169" s="4">
        <v>7393.63</v>
      </c>
      <c r="P169" s="5">
        <v>0</v>
      </c>
      <c r="Q169" s="4">
        <v>592.02</v>
      </c>
      <c r="R169" s="4">
        <f t="shared" si="4"/>
        <v>22180.89</v>
      </c>
      <c r="S169" s="4">
        <f>R169*_xlfn.XLOOKUP(I169,Lookup_Lists!$A$2:$A$5,Lookup_Lists!$B$2:$B$5)-Q169-IF(T169="Yes",R169*0.2,0)</f>
        <v>4731.3935999999994</v>
      </c>
      <c r="T169" t="s">
        <v>32</v>
      </c>
      <c r="U169" s="6">
        <v>4.5999999999999996</v>
      </c>
      <c r="V169" s="7">
        <f t="shared" si="5"/>
        <v>5</v>
      </c>
      <c r="W169">
        <f>IF(SalesDataTable[[#This Row],[Returned]]="Yes",1,0)</f>
        <v>0</v>
      </c>
    </row>
    <row r="170" spans="1:23">
      <c r="A170" t="s">
        <v>372</v>
      </c>
      <c r="B170" s="3">
        <v>45685</v>
      </c>
      <c r="C170" s="3">
        <v>45692</v>
      </c>
      <c r="D170" t="s">
        <v>214</v>
      </c>
      <c r="E170" t="s">
        <v>81</v>
      </c>
      <c r="F170" t="s">
        <v>25</v>
      </c>
      <c r="G170" t="s">
        <v>36</v>
      </c>
      <c r="H170" t="s">
        <v>145</v>
      </c>
      <c r="I170" t="s">
        <v>28</v>
      </c>
      <c r="J170" t="s">
        <v>111</v>
      </c>
      <c r="K170" t="s">
        <v>111</v>
      </c>
      <c r="L170" t="s">
        <v>60</v>
      </c>
      <c r="M170" t="s">
        <v>31</v>
      </c>
      <c r="N170">
        <v>3</v>
      </c>
      <c r="O170" s="4">
        <v>1203.29</v>
      </c>
      <c r="P170" s="5">
        <v>0.05</v>
      </c>
      <c r="Q170" s="4">
        <v>538.92999999999995</v>
      </c>
      <c r="R170" s="4">
        <f t="shared" si="4"/>
        <v>3429.3764999999999</v>
      </c>
      <c r="S170" s="4">
        <f>R170*_xlfn.XLOOKUP(I170,Lookup_Lists!$A$2:$A$5,Lookup_Lists!$B$2:$B$5)-Q170-IF(T170="Yes",R170*0.2,0)</f>
        <v>78.35776999999996</v>
      </c>
      <c r="T170" t="s">
        <v>32</v>
      </c>
      <c r="U170" s="6">
        <v>4.5</v>
      </c>
      <c r="V170" s="7">
        <f t="shared" si="5"/>
        <v>7</v>
      </c>
      <c r="W170">
        <f>IF(SalesDataTable[[#This Row],[Returned]]="Yes",1,0)</f>
        <v>0</v>
      </c>
    </row>
    <row r="171" spans="1:23">
      <c r="A171" t="s">
        <v>373</v>
      </c>
      <c r="B171" s="3">
        <v>45770</v>
      </c>
      <c r="C171" s="3">
        <v>45773</v>
      </c>
      <c r="D171" t="s">
        <v>318</v>
      </c>
      <c r="E171" t="s">
        <v>35</v>
      </c>
      <c r="F171" t="s">
        <v>25</v>
      </c>
      <c r="G171" t="s">
        <v>43</v>
      </c>
      <c r="H171" t="s">
        <v>63</v>
      </c>
      <c r="I171" t="s">
        <v>38</v>
      </c>
      <c r="J171" t="s">
        <v>130</v>
      </c>
      <c r="K171" t="s">
        <v>130</v>
      </c>
      <c r="L171" t="s">
        <v>30</v>
      </c>
      <c r="M171" t="s">
        <v>47</v>
      </c>
      <c r="N171">
        <v>3</v>
      </c>
      <c r="O171" s="4">
        <v>639.77</v>
      </c>
      <c r="P171" s="5">
        <v>0</v>
      </c>
      <c r="Q171" s="4">
        <v>550.6</v>
      </c>
      <c r="R171" s="4">
        <f t="shared" si="4"/>
        <v>1919.31</v>
      </c>
      <c r="S171" s="4">
        <f>R171*_xlfn.XLOOKUP(I171,Lookup_Lists!$A$2:$A$5,Lookup_Lists!$B$2:$B$5)-Q171-IF(T171="Yes",R171*0.2,0)</f>
        <v>63.579200000000014</v>
      </c>
      <c r="T171" t="s">
        <v>32</v>
      </c>
      <c r="U171" s="6">
        <v>4.9000000000000004</v>
      </c>
      <c r="V171" s="7">
        <f t="shared" si="5"/>
        <v>3</v>
      </c>
      <c r="W171">
        <f>IF(SalesDataTable[[#This Row],[Returned]]="Yes",1,0)</f>
        <v>0</v>
      </c>
    </row>
    <row r="172" spans="1:23">
      <c r="A172" t="s">
        <v>374</v>
      </c>
      <c r="B172" s="3">
        <v>45845</v>
      </c>
      <c r="C172" s="3">
        <v>45850</v>
      </c>
      <c r="D172" t="s">
        <v>208</v>
      </c>
      <c r="E172" t="s">
        <v>24</v>
      </c>
      <c r="F172" t="s">
        <v>25</v>
      </c>
      <c r="G172" t="s">
        <v>36</v>
      </c>
      <c r="H172" t="s">
        <v>145</v>
      </c>
      <c r="I172" t="s">
        <v>52</v>
      </c>
      <c r="J172" t="s">
        <v>114</v>
      </c>
      <c r="K172" t="s">
        <v>114</v>
      </c>
      <c r="L172" t="s">
        <v>30</v>
      </c>
      <c r="M172" t="s">
        <v>40</v>
      </c>
      <c r="N172">
        <v>1</v>
      </c>
      <c r="O172" s="4">
        <v>11208.04</v>
      </c>
      <c r="P172" s="5">
        <v>0</v>
      </c>
      <c r="Q172" s="4">
        <v>446.81</v>
      </c>
      <c r="R172" s="4">
        <f t="shared" si="4"/>
        <v>11208.04</v>
      </c>
      <c r="S172" s="4">
        <f>R172*_xlfn.XLOOKUP(I172,Lookup_Lists!$A$2:$A$5,Lookup_Lists!$B$2:$B$5)-Q172-IF(T172="Yes",R172*0.2,0)</f>
        <v>2467.2804000000006</v>
      </c>
      <c r="T172" t="s">
        <v>32</v>
      </c>
      <c r="U172" s="6">
        <v>3</v>
      </c>
      <c r="V172" s="7">
        <f t="shared" si="5"/>
        <v>5</v>
      </c>
      <c r="W172">
        <f>IF(SalesDataTable[[#This Row],[Returned]]="Yes",1,0)</f>
        <v>0</v>
      </c>
    </row>
    <row r="173" spans="1:23">
      <c r="A173" t="s">
        <v>375</v>
      </c>
      <c r="B173" s="3">
        <v>45779</v>
      </c>
      <c r="C173" s="3">
        <v>45781</v>
      </c>
      <c r="D173" t="s">
        <v>169</v>
      </c>
      <c r="E173" t="s">
        <v>24</v>
      </c>
      <c r="F173" t="s">
        <v>25</v>
      </c>
      <c r="G173" t="s">
        <v>43</v>
      </c>
      <c r="H173" t="s">
        <v>102</v>
      </c>
      <c r="I173" t="s">
        <v>28</v>
      </c>
      <c r="J173" t="s">
        <v>75</v>
      </c>
      <c r="K173" t="s">
        <v>75</v>
      </c>
      <c r="L173" t="s">
        <v>64</v>
      </c>
      <c r="M173" t="s">
        <v>40</v>
      </c>
      <c r="N173">
        <v>4</v>
      </c>
      <c r="O173" s="4">
        <v>11561.25</v>
      </c>
      <c r="P173" s="5">
        <v>0.05</v>
      </c>
      <c r="Q173" s="4">
        <v>1113.8800000000001</v>
      </c>
      <c r="R173" s="4">
        <f t="shared" si="4"/>
        <v>43932.75</v>
      </c>
      <c r="S173" s="4">
        <f>R173*_xlfn.XLOOKUP(I173,Lookup_Lists!$A$2:$A$5,Lookup_Lists!$B$2:$B$5)-Q173-IF(T173="Yes",R173*0.2,0)</f>
        <v>6794.0149999999994</v>
      </c>
      <c r="T173" t="s">
        <v>32</v>
      </c>
      <c r="U173" s="6">
        <v>4.9000000000000004</v>
      </c>
      <c r="V173" s="7">
        <f t="shared" si="5"/>
        <v>2</v>
      </c>
      <c r="W173">
        <f>IF(SalesDataTable[[#This Row],[Returned]]="Yes",1,0)</f>
        <v>0</v>
      </c>
    </row>
    <row r="174" spans="1:23">
      <c r="A174" t="s">
        <v>376</v>
      </c>
      <c r="B174" s="3">
        <v>46018</v>
      </c>
      <c r="C174" s="3">
        <v>46021</v>
      </c>
      <c r="D174" t="s">
        <v>377</v>
      </c>
      <c r="E174" t="s">
        <v>70</v>
      </c>
      <c r="F174" t="s">
        <v>25</v>
      </c>
      <c r="G174" t="s">
        <v>50</v>
      </c>
      <c r="H174" t="s">
        <v>51</v>
      </c>
      <c r="I174" t="s">
        <v>52</v>
      </c>
      <c r="J174" t="s">
        <v>53</v>
      </c>
      <c r="K174" t="s">
        <v>53</v>
      </c>
      <c r="L174" t="s">
        <v>60</v>
      </c>
      <c r="M174" t="s">
        <v>55</v>
      </c>
      <c r="N174">
        <v>5</v>
      </c>
      <c r="O174" s="4">
        <v>504.94</v>
      </c>
      <c r="P174" s="5">
        <v>0.15</v>
      </c>
      <c r="Q174" s="4">
        <v>260.19</v>
      </c>
      <c r="R174" s="4">
        <f t="shared" si="4"/>
        <v>2145.9949999999999</v>
      </c>
      <c r="S174" s="4">
        <f>R174*_xlfn.XLOOKUP(I174,Lookup_Lists!$A$2:$A$5,Lookup_Lists!$B$2:$B$5)-Q174-IF(T174="Yes",R174*0.2,0)</f>
        <v>297.76870000000002</v>
      </c>
      <c r="T174" t="s">
        <v>32</v>
      </c>
      <c r="U174" s="6">
        <v>4.7</v>
      </c>
      <c r="V174" s="7">
        <f t="shared" si="5"/>
        <v>3</v>
      </c>
      <c r="W174">
        <f>IF(SalesDataTable[[#This Row],[Returned]]="Yes",1,0)</f>
        <v>0</v>
      </c>
    </row>
    <row r="175" spans="1:23">
      <c r="A175" t="s">
        <v>378</v>
      </c>
      <c r="B175" s="3">
        <v>46004</v>
      </c>
      <c r="C175" s="3">
        <v>46008</v>
      </c>
      <c r="D175" t="s">
        <v>379</v>
      </c>
      <c r="E175" t="s">
        <v>35</v>
      </c>
      <c r="F175" t="s">
        <v>25</v>
      </c>
      <c r="G175" t="s">
        <v>43</v>
      </c>
      <c r="H175" t="s">
        <v>102</v>
      </c>
      <c r="I175" t="s">
        <v>58</v>
      </c>
      <c r="J175" t="s">
        <v>92</v>
      </c>
      <c r="K175" t="s">
        <v>92</v>
      </c>
      <c r="L175" t="s">
        <v>30</v>
      </c>
      <c r="M175" t="s">
        <v>89</v>
      </c>
      <c r="N175">
        <v>2</v>
      </c>
      <c r="O175" s="4">
        <v>9392</v>
      </c>
      <c r="P175" s="5">
        <v>0.1</v>
      </c>
      <c r="Q175" s="4">
        <v>861.83</v>
      </c>
      <c r="R175" s="4">
        <f t="shared" si="4"/>
        <v>16905.600000000002</v>
      </c>
      <c r="S175" s="4">
        <f>R175*_xlfn.XLOOKUP(I175,Lookup_Lists!$A$2:$A$5,Lookup_Lists!$B$2:$B$5)-Q175-IF(T175="Yes",R175*0.2,0)</f>
        <v>3195.5140000000006</v>
      </c>
      <c r="T175" t="s">
        <v>32</v>
      </c>
      <c r="U175" s="6">
        <v>3.7</v>
      </c>
      <c r="V175" s="7">
        <f t="shared" si="5"/>
        <v>4</v>
      </c>
      <c r="W175">
        <f>IF(SalesDataTable[[#This Row],[Returned]]="Yes",1,0)</f>
        <v>0</v>
      </c>
    </row>
    <row r="176" spans="1:23">
      <c r="A176" t="s">
        <v>380</v>
      </c>
      <c r="B176" s="3">
        <v>45907</v>
      </c>
      <c r="C176" s="3">
        <v>45910</v>
      </c>
      <c r="D176" t="s">
        <v>381</v>
      </c>
      <c r="E176" t="s">
        <v>35</v>
      </c>
      <c r="F176" t="s">
        <v>25</v>
      </c>
      <c r="G176" t="s">
        <v>50</v>
      </c>
      <c r="H176" t="s">
        <v>87</v>
      </c>
      <c r="I176" t="s">
        <v>38</v>
      </c>
      <c r="J176" t="s">
        <v>72</v>
      </c>
      <c r="K176" t="s">
        <v>72</v>
      </c>
      <c r="L176" t="s">
        <v>64</v>
      </c>
      <c r="M176" t="s">
        <v>31</v>
      </c>
      <c r="N176">
        <v>2</v>
      </c>
      <c r="O176" s="4">
        <v>210.68</v>
      </c>
      <c r="P176" s="5">
        <v>0.15</v>
      </c>
      <c r="Q176" s="4">
        <v>368.31</v>
      </c>
      <c r="R176" s="4">
        <f t="shared" si="4"/>
        <v>358.15600000000001</v>
      </c>
      <c r="S176" s="4">
        <f>R176*_xlfn.XLOOKUP(I176,Lookup_Lists!$A$2:$A$5,Lookup_Lists!$B$2:$B$5)-Q176-IF(T176="Yes",R176*0.2,0)</f>
        <v>-253.70008000000001</v>
      </c>
      <c r="T176" t="s">
        <v>32</v>
      </c>
      <c r="U176" s="6">
        <v>4.2</v>
      </c>
      <c r="V176" s="7">
        <f t="shared" si="5"/>
        <v>3</v>
      </c>
      <c r="W176">
        <f>IF(SalesDataTable[[#This Row],[Returned]]="Yes",1,0)</f>
        <v>0</v>
      </c>
    </row>
    <row r="177" spans="1:23">
      <c r="A177" t="s">
        <v>382</v>
      </c>
      <c r="B177" s="3">
        <v>45724</v>
      </c>
      <c r="C177" s="3">
        <v>45729</v>
      </c>
      <c r="D177" t="s">
        <v>383</v>
      </c>
      <c r="E177" t="s">
        <v>24</v>
      </c>
      <c r="F177" t="s">
        <v>25</v>
      </c>
      <c r="G177" t="s">
        <v>50</v>
      </c>
      <c r="H177" t="s">
        <v>78</v>
      </c>
      <c r="I177" t="s">
        <v>28</v>
      </c>
      <c r="J177" t="s">
        <v>111</v>
      </c>
      <c r="K177" t="s">
        <v>111</v>
      </c>
      <c r="L177" t="s">
        <v>54</v>
      </c>
      <c r="M177" t="s">
        <v>40</v>
      </c>
      <c r="N177">
        <v>2</v>
      </c>
      <c r="O177" s="4">
        <v>1056.24</v>
      </c>
      <c r="P177" s="5">
        <v>0.2</v>
      </c>
      <c r="Q177" s="4">
        <v>227.01</v>
      </c>
      <c r="R177" s="4">
        <f t="shared" si="4"/>
        <v>1689.9840000000002</v>
      </c>
      <c r="S177" s="4">
        <f>R177*_xlfn.XLOOKUP(I177,Lookup_Lists!$A$2:$A$5,Lookup_Lists!$B$2:$B$5)-Q177-IF(T177="Yes",R177*0.2,0)</f>
        <v>77.18712000000005</v>
      </c>
      <c r="T177" t="s">
        <v>32</v>
      </c>
      <c r="U177" s="6">
        <v>4.9000000000000004</v>
      </c>
      <c r="V177" s="7">
        <f t="shared" si="5"/>
        <v>5</v>
      </c>
      <c r="W177">
        <f>IF(SalesDataTable[[#This Row],[Returned]]="Yes",1,0)</f>
        <v>0</v>
      </c>
    </row>
    <row r="178" spans="1:23">
      <c r="A178" t="s">
        <v>384</v>
      </c>
      <c r="B178" s="3">
        <v>45725</v>
      </c>
      <c r="C178" s="3">
        <v>45731</v>
      </c>
      <c r="D178" t="s">
        <v>282</v>
      </c>
      <c r="E178" t="s">
        <v>35</v>
      </c>
      <c r="F178" t="s">
        <v>25</v>
      </c>
      <c r="G178" t="s">
        <v>43</v>
      </c>
      <c r="H178" t="s">
        <v>122</v>
      </c>
      <c r="I178" t="s">
        <v>38</v>
      </c>
      <c r="J178" t="s">
        <v>72</v>
      </c>
      <c r="K178" t="s">
        <v>72</v>
      </c>
      <c r="L178" t="s">
        <v>54</v>
      </c>
      <c r="M178" t="s">
        <v>40</v>
      </c>
      <c r="N178">
        <v>1</v>
      </c>
      <c r="O178" s="4">
        <v>192.18</v>
      </c>
      <c r="P178" s="5">
        <v>0.1</v>
      </c>
      <c r="Q178" s="4">
        <v>513.37</v>
      </c>
      <c r="R178" s="4">
        <f t="shared" si="4"/>
        <v>172.96200000000002</v>
      </c>
      <c r="S178" s="4">
        <f>R178*_xlfn.XLOOKUP(I178,Lookup_Lists!$A$2:$A$5,Lookup_Lists!$B$2:$B$5)-Q178-IF(T178="Yes",R178*0.2,0)</f>
        <v>-458.02215999999999</v>
      </c>
      <c r="T178" t="s">
        <v>32</v>
      </c>
      <c r="U178" s="6">
        <v>4.4000000000000004</v>
      </c>
      <c r="V178" s="7">
        <f t="shared" si="5"/>
        <v>6</v>
      </c>
      <c r="W178">
        <f>IF(SalesDataTable[[#This Row],[Returned]]="Yes",1,0)</f>
        <v>0</v>
      </c>
    </row>
    <row r="179" spans="1:23">
      <c r="A179" t="s">
        <v>385</v>
      </c>
      <c r="B179" s="3">
        <v>45767</v>
      </c>
      <c r="C179" s="3">
        <v>45771</v>
      </c>
      <c r="D179" t="s">
        <v>206</v>
      </c>
      <c r="E179" t="s">
        <v>35</v>
      </c>
      <c r="F179" t="s">
        <v>25</v>
      </c>
      <c r="G179" t="s">
        <v>26</v>
      </c>
      <c r="H179" t="s">
        <v>67</v>
      </c>
      <c r="I179" t="s">
        <v>28</v>
      </c>
      <c r="J179" t="s">
        <v>123</v>
      </c>
      <c r="K179" t="s">
        <v>123</v>
      </c>
      <c r="L179" t="s">
        <v>64</v>
      </c>
      <c r="M179" t="s">
        <v>47</v>
      </c>
      <c r="N179">
        <v>3</v>
      </c>
      <c r="O179" s="4">
        <v>1841.96</v>
      </c>
      <c r="P179" s="5">
        <v>0</v>
      </c>
      <c r="Q179" s="4">
        <v>213.81</v>
      </c>
      <c r="R179" s="4">
        <f t="shared" si="4"/>
        <v>5525.88</v>
      </c>
      <c r="S179" s="4">
        <f>R179*_xlfn.XLOOKUP(I179,Lookup_Lists!$A$2:$A$5,Lookup_Lists!$B$2:$B$5)-Q179-IF(T179="Yes",R179*0.2,0)</f>
        <v>780.84840000000008</v>
      </c>
      <c r="T179" t="s">
        <v>32</v>
      </c>
      <c r="U179" s="6">
        <v>4.5</v>
      </c>
      <c r="V179" s="7">
        <f t="shared" si="5"/>
        <v>4</v>
      </c>
      <c r="W179">
        <f>IF(SalesDataTable[[#This Row],[Returned]]="Yes",1,0)</f>
        <v>0</v>
      </c>
    </row>
    <row r="180" spans="1:23">
      <c r="A180" t="s">
        <v>386</v>
      </c>
      <c r="B180" s="3">
        <v>45710</v>
      </c>
      <c r="C180" s="3">
        <v>45713</v>
      </c>
      <c r="D180" t="s">
        <v>387</v>
      </c>
      <c r="E180" t="s">
        <v>81</v>
      </c>
      <c r="F180" t="s">
        <v>25</v>
      </c>
      <c r="G180" t="s">
        <v>26</v>
      </c>
      <c r="H180" t="s">
        <v>67</v>
      </c>
      <c r="I180" t="s">
        <v>38</v>
      </c>
      <c r="J180" t="s">
        <v>108</v>
      </c>
      <c r="K180" t="s">
        <v>108</v>
      </c>
      <c r="L180" t="s">
        <v>30</v>
      </c>
      <c r="M180" t="s">
        <v>40</v>
      </c>
      <c r="N180">
        <v>1</v>
      </c>
      <c r="O180" s="4">
        <v>125.88</v>
      </c>
      <c r="P180" s="5">
        <v>0.05</v>
      </c>
      <c r="Q180" s="4">
        <v>175.43</v>
      </c>
      <c r="R180" s="4">
        <f t="shared" si="4"/>
        <v>119.58599999999998</v>
      </c>
      <c r="S180" s="4">
        <f>R180*_xlfn.XLOOKUP(I180,Lookup_Lists!$A$2:$A$5,Lookup_Lists!$B$2:$B$5)-Q180-IF(T180="Yes",R180*0.2,0)</f>
        <v>-137.16248000000002</v>
      </c>
      <c r="T180" t="s">
        <v>32</v>
      </c>
      <c r="U180" s="6">
        <v>4.5</v>
      </c>
      <c r="V180" s="7">
        <f t="shared" si="5"/>
        <v>3</v>
      </c>
      <c r="W180">
        <f>IF(SalesDataTable[[#This Row],[Returned]]="Yes",1,0)</f>
        <v>0</v>
      </c>
    </row>
    <row r="181" spans="1:23">
      <c r="A181" t="s">
        <v>388</v>
      </c>
      <c r="B181" s="3">
        <v>45868</v>
      </c>
      <c r="C181" s="3">
        <v>45873</v>
      </c>
      <c r="D181" t="s">
        <v>355</v>
      </c>
      <c r="E181" t="s">
        <v>35</v>
      </c>
      <c r="F181" t="s">
        <v>25</v>
      </c>
      <c r="G181" t="s">
        <v>26</v>
      </c>
      <c r="H181" t="s">
        <v>153</v>
      </c>
      <c r="I181" t="s">
        <v>52</v>
      </c>
      <c r="J181" t="s">
        <v>94</v>
      </c>
      <c r="K181" t="s">
        <v>94</v>
      </c>
      <c r="L181" t="s">
        <v>30</v>
      </c>
      <c r="M181" t="s">
        <v>31</v>
      </c>
      <c r="N181">
        <v>4</v>
      </c>
      <c r="O181" s="4">
        <v>4730.21</v>
      </c>
      <c r="P181" s="5">
        <v>0</v>
      </c>
      <c r="Q181" s="4">
        <v>814.73</v>
      </c>
      <c r="R181" s="4">
        <f t="shared" si="4"/>
        <v>18920.84</v>
      </c>
      <c r="S181" s="4">
        <f>R181*_xlfn.XLOOKUP(I181,Lookup_Lists!$A$2:$A$5,Lookup_Lists!$B$2:$B$5)-Q181-IF(T181="Yes",R181*0.2,0)</f>
        <v>4104.6884000000009</v>
      </c>
      <c r="T181" t="s">
        <v>32</v>
      </c>
      <c r="U181" s="6">
        <v>5</v>
      </c>
      <c r="V181" s="7">
        <f t="shared" si="5"/>
        <v>5</v>
      </c>
      <c r="W181">
        <f>IF(SalesDataTable[[#This Row],[Returned]]="Yes",1,0)</f>
        <v>0</v>
      </c>
    </row>
    <row r="182" spans="1:23">
      <c r="A182" t="s">
        <v>389</v>
      </c>
      <c r="B182" s="3">
        <v>45988</v>
      </c>
      <c r="C182" s="3">
        <v>45989</v>
      </c>
      <c r="D182" t="s">
        <v>390</v>
      </c>
      <c r="E182" t="s">
        <v>70</v>
      </c>
      <c r="F182" t="s">
        <v>25</v>
      </c>
      <c r="G182" t="s">
        <v>43</v>
      </c>
      <c r="H182" t="s">
        <v>122</v>
      </c>
      <c r="I182" t="s">
        <v>52</v>
      </c>
      <c r="J182" t="s">
        <v>105</v>
      </c>
      <c r="K182" t="s">
        <v>105</v>
      </c>
      <c r="L182" t="s">
        <v>54</v>
      </c>
      <c r="M182" t="s">
        <v>31</v>
      </c>
      <c r="N182">
        <v>2</v>
      </c>
      <c r="O182" s="4">
        <v>1435.66</v>
      </c>
      <c r="P182" s="5">
        <v>0</v>
      </c>
      <c r="Q182" s="4">
        <v>154.16999999999999</v>
      </c>
      <c r="R182" s="4">
        <f t="shared" si="4"/>
        <v>2871.32</v>
      </c>
      <c r="S182" s="4">
        <f>R182*_xlfn.XLOOKUP(I182,Lookup_Lists!$A$2:$A$5,Lookup_Lists!$B$2:$B$5)-Q182-IF(T182="Yes",R182*0.2,0)</f>
        <v>592.37320000000011</v>
      </c>
      <c r="T182" t="s">
        <v>32</v>
      </c>
      <c r="U182" s="6">
        <v>4.9000000000000004</v>
      </c>
      <c r="V182" s="7">
        <f t="shared" si="5"/>
        <v>1</v>
      </c>
      <c r="W182">
        <f>IF(SalesDataTable[[#This Row],[Returned]]="Yes",1,0)</f>
        <v>0</v>
      </c>
    </row>
    <row r="183" spans="1:23">
      <c r="A183" t="s">
        <v>391</v>
      </c>
      <c r="B183" s="3">
        <v>45715</v>
      </c>
      <c r="C183" s="3">
        <v>45717</v>
      </c>
      <c r="D183" t="s">
        <v>362</v>
      </c>
      <c r="E183" t="s">
        <v>70</v>
      </c>
      <c r="F183" t="s">
        <v>25</v>
      </c>
      <c r="G183" t="s">
        <v>50</v>
      </c>
      <c r="H183" t="s">
        <v>78</v>
      </c>
      <c r="I183" t="s">
        <v>52</v>
      </c>
      <c r="J183" t="s">
        <v>105</v>
      </c>
      <c r="K183" t="s">
        <v>105</v>
      </c>
      <c r="L183" t="s">
        <v>54</v>
      </c>
      <c r="M183" t="s">
        <v>31</v>
      </c>
      <c r="N183">
        <v>2</v>
      </c>
      <c r="O183" s="4">
        <v>1357.08</v>
      </c>
      <c r="P183" s="5">
        <v>0</v>
      </c>
      <c r="Q183" s="4">
        <v>389.19</v>
      </c>
      <c r="R183" s="4">
        <f t="shared" si="4"/>
        <v>2714.16</v>
      </c>
      <c r="S183" s="4">
        <f>R183*_xlfn.XLOOKUP(I183,Lookup_Lists!$A$2:$A$5,Lookup_Lists!$B$2:$B$5)-Q183-IF(T183="Yes",R183*0.2,0)</f>
        <v>316.49160000000001</v>
      </c>
      <c r="T183" t="s">
        <v>32</v>
      </c>
      <c r="U183" s="6">
        <v>4.2</v>
      </c>
      <c r="V183" s="7">
        <f t="shared" si="5"/>
        <v>2</v>
      </c>
      <c r="W183">
        <f>IF(SalesDataTable[[#This Row],[Returned]]="Yes",1,0)</f>
        <v>0</v>
      </c>
    </row>
    <row r="184" spans="1:23">
      <c r="A184" t="s">
        <v>392</v>
      </c>
      <c r="B184" s="3">
        <v>45695</v>
      </c>
      <c r="C184" s="3">
        <v>45696</v>
      </c>
      <c r="D184" t="s">
        <v>171</v>
      </c>
      <c r="E184" t="s">
        <v>35</v>
      </c>
      <c r="F184" t="s">
        <v>25</v>
      </c>
      <c r="G184" t="s">
        <v>43</v>
      </c>
      <c r="H184" t="s">
        <v>63</v>
      </c>
      <c r="I184" t="s">
        <v>28</v>
      </c>
      <c r="J184" t="s">
        <v>29</v>
      </c>
      <c r="K184" t="s">
        <v>29</v>
      </c>
      <c r="L184" t="s">
        <v>60</v>
      </c>
      <c r="M184" t="s">
        <v>47</v>
      </c>
      <c r="N184">
        <v>2</v>
      </c>
      <c r="O184" s="4">
        <v>55565.7</v>
      </c>
      <c r="P184" s="5">
        <v>0.05</v>
      </c>
      <c r="Q184" s="4">
        <v>1983.77</v>
      </c>
      <c r="R184" s="4">
        <f t="shared" si="4"/>
        <v>105574.82999999999</v>
      </c>
      <c r="S184" s="4">
        <f>R184*_xlfn.XLOOKUP(I184,Lookup_Lists!$A$2:$A$5,Lookup_Lists!$B$2:$B$5)-Q184-IF(T184="Yes",R184*0.2,0)</f>
        <v>17019.699399999998</v>
      </c>
      <c r="T184" t="s">
        <v>32</v>
      </c>
      <c r="U184" s="6">
        <v>4.8</v>
      </c>
      <c r="V184" s="7">
        <f t="shared" si="5"/>
        <v>1</v>
      </c>
      <c r="W184">
        <f>IF(SalesDataTable[[#This Row],[Returned]]="Yes",1,0)</f>
        <v>0</v>
      </c>
    </row>
    <row r="185" spans="1:23">
      <c r="A185" t="s">
        <v>393</v>
      </c>
      <c r="B185" s="3">
        <v>45973</v>
      </c>
      <c r="C185" s="3">
        <v>45975</v>
      </c>
      <c r="D185" t="s">
        <v>394</v>
      </c>
      <c r="E185" t="s">
        <v>35</v>
      </c>
      <c r="F185" t="s">
        <v>25</v>
      </c>
      <c r="G185" t="s">
        <v>50</v>
      </c>
      <c r="H185" t="s">
        <v>51</v>
      </c>
      <c r="I185" t="s">
        <v>52</v>
      </c>
      <c r="J185" t="s">
        <v>94</v>
      </c>
      <c r="K185" t="s">
        <v>94</v>
      </c>
      <c r="L185" t="s">
        <v>46</v>
      </c>
      <c r="M185" t="s">
        <v>47</v>
      </c>
      <c r="N185">
        <v>3</v>
      </c>
      <c r="O185" s="4">
        <v>5323.04</v>
      </c>
      <c r="P185" s="5">
        <v>0.1</v>
      </c>
      <c r="Q185" s="4">
        <v>686.13</v>
      </c>
      <c r="R185" s="4">
        <f t="shared" si="4"/>
        <v>14372.207999999999</v>
      </c>
      <c r="S185" s="4">
        <f>R185*_xlfn.XLOOKUP(I185,Lookup_Lists!$A$2:$A$5,Lookup_Lists!$B$2:$B$5)-Q185-IF(T185="Yes",R185*0.2,0)</f>
        <v>3050.6440799999996</v>
      </c>
      <c r="T185" t="s">
        <v>32</v>
      </c>
      <c r="U185" s="6">
        <v>4.5999999999999996</v>
      </c>
      <c r="V185" s="7">
        <f t="shared" si="5"/>
        <v>2</v>
      </c>
      <c r="W185">
        <f>IF(SalesDataTable[[#This Row],[Returned]]="Yes",1,0)</f>
        <v>0</v>
      </c>
    </row>
    <row r="186" spans="1:23">
      <c r="A186" t="s">
        <v>395</v>
      </c>
      <c r="B186" s="3">
        <v>45881</v>
      </c>
      <c r="C186" s="3">
        <v>45887</v>
      </c>
      <c r="D186" t="s">
        <v>77</v>
      </c>
      <c r="E186" t="s">
        <v>35</v>
      </c>
      <c r="F186" t="s">
        <v>25</v>
      </c>
      <c r="G186" t="s">
        <v>50</v>
      </c>
      <c r="H186" t="s">
        <v>87</v>
      </c>
      <c r="I186" t="s">
        <v>28</v>
      </c>
      <c r="J186" t="s">
        <v>99</v>
      </c>
      <c r="K186" t="s">
        <v>99</v>
      </c>
      <c r="L186" t="s">
        <v>30</v>
      </c>
      <c r="M186" t="s">
        <v>55</v>
      </c>
      <c r="N186">
        <v>3</v>
      </c>
      <c r="O186" s="4">
        <v>3770.95</v>
      </c>
      <c r="P186" s="5">
        <v>0</v>
      </c>
      <c r="Q186" s="4">
        <v>256.91000000000003</v>
      </c>
      <c r="R186" s="4">
        <f t="shared" si="4"/>
        <v>11312.849999999999</v>
      </c>
      <c r="S186" s="4">
        <f>R186*_xlfn.XLOOKUP(I186,Lookup_Lists!$A$2:$A$5,Lookup_Lists!$B$2:$B$5)-Q186-IF(T186="Yes",R186*0.2,0)</f>
        <v>1779.4029999999996</v>
      </c>
      <c r="T186" t="s">
        <v>32</v>
      </c>
      <c r="U186" s="6">
        <v>4.8</v>
      </c>
      <c r="V186" s="7">
        <f t="shared" si="5"/>
        <v>6</v>
      </c>
      <c r="W186">
        <f>IF(SalesDataTable[[#This Row],[Returned]]="Yes",1,0)</f>
        <v>0</v>
      </c>
    </row>
    <row r="187" spans="1:23">
      <c r="A187" t="s">
        <v>396</v>
      </c>
      <c r="B187" s="3">
        <v>45835</v>
      </c>
      <c r="C187" s="3">
        <v>45840</v>
      </c>
      <c r="D187" t="s">
        <v>397</v>
      </c>
      <c r="E187" t="s">
        <v>24</v>
      </c>
      <c r="F187" t="s">
        <v>25</v>
      </c>
      <c r="G187" t="s">
        <v>43</v>
      </c>
      <c r="H187" t="s">
        <v>63</v>
      </c>
      <c r="I187" t="s">
        <v>58</v>
      </c>
      <c r="J187" t="s">
        <v>59</v>
      </c>
      <c r="K187" t="s">
        <v>59</v>
      </c>
      <c r="L187" t="s">
        <v>30</v>
      </c>
      <c r="M187" t="s">
        <v>89</v>
      </c>
      <c r="N187">
        <v>4</v>
      </c>
      <c r="O187" s="4">
        <v>5777.24</v>
      </c>
      <c r="P187" s="5">
        <v>0.15</v>
      </c>
      <c r="Q187" s="4">
        <v>581.66</v>
      </c>
      <c r="R187" s="4">
        <f t="shared" si="4"/>
        <v>19642.615999999998</v>
      </c>
      <c r="S187" s="4">
        <f>R187*_xlfn.XLOOKUP(I187,Lookup_Lists!$A$2:$A$5,Lookup_Lists!$B$2:$B$5)-Q187-IF(T187="Yes",R187*0.2,0)</f>
        <v>4132.5678399999997</v>
      </c>
      <c r="T187" t="s">
        <v>32</v>
      </c>
      <c r="U187" s="6">
        <v>4.4000000000000004</v>
      </c>
      <c r="V187" s="7">
        <f t="shared" si="5"/>
        <v>5</v>
      </c>
      <c r="W187">
        <f>IF(SalesDataTable[[#This Row],[Returned]]="Yes",1,0)</f>
        <v>0</v>
      </c>
    </row>
    <row r="188" spans="1:23">
      <c r="A188" t="s">
        <v>398</v>
      </c>
      <c r="B188" s="3">
        <v>46022</v>
      </c>
      <c r="C188" s="3">
        <v>46027</v>
      </c>
      <c r="D188" t="s">
        <v>399</v>
      </c>
      <c r="E188" t="s">
        <v>35</v>
      </c>
      <c r="F188" t="s">
        <v>25</v>
      </c>
      <c r="G188" t="s">
        <v>36</v>
      </c>
      <c r="H188" t="s">
        <v>37</v>
      </c>
      <c r="I188" t="s">
        <v>28</v>
      </c>
      <c r="J188" t="s">
        <v>99</v>
      </c>
      <c r="K188" t="s">
        <v>99</v>
      </c>
      <c r="L188" t="s">
        <v>54</v>
      </c>
      <c r="M188" t="s">
        <v>40</v>
      </c>
      <c r="N188">
        <v>1</v>
      </c>
      <c r="O188" s="4">
        <v>3188.05</v>
      </c>
      <c r="P188" s="5">
        <v>0.05</v>
      </c>
      <c r="Q188" s="4">
        <v>539.79999999999995</v>
      </c>
      <c r="R188" s="4">
        <f t="shared" si="4"/>
        <v>3028.6475</v>
      </c>
      <c r="S188" s="4">
        <f>R188*_xlfn.XLOOKUP(I188,Lookup_Lists!$A$2:$A$5,Lookup_Lists!$B$2:$B$5)-Q188-IF(T188="Yes",R188*0.2,0)</f>
        <v>5.3565500000000839</v>
      </c>
      <c r="T188" t="s">
        <v>32</v>
      </c>
      <c r="U188" s="6">
        <v>4.2</v>
      </c>
      <c r="V188" s="7">
        <f t="shared" si="5"/>
        <v>5</v>
      </c>
      <c r="W188">
        <f>IF(SalesDataTable[[#This Row],[Returned]]="Yes",1,0)</f>
        <v>0</v>
      </c>
    </row>
    <row r="189" spans="1:23">
      <c r="A189" t="s">
        <v>400</v>
      </c>
      <c r="B189" s="3">
        <v>45664</v>
      </c>
      <c r="C189" s="3">
        <v>45666</v>
      </c>
      <c r="D189" t="s">
        <v>210</v>
      </c>
      <c r="E189" t="s">
        <v>70</v>
      </c>
      <c r="F189" t="s">
        <v>25</v>
      </c>
      <c r="G189" t="s">
        <v>36</v>
      </c>
      <c r="H189" t="s">
        <v>145</v>
      </c>
      <c r="I189" t="s">
        <v>28</v>
      </c>
      <c r="J189" t="s">
        <v>29</v>
      </c>
      <c r="K189" t="s">
        <v>29</v>
      </c>
      <c r="L189" t="s">
        <v>46</v>
      </c>
      <c r="M189" t="s">
        <v>47</v>
      </c>
      <c r="N189">
        <v>1</v>
      </c>
      <c r="O189" s="4">
        <v>49632.91</v>
      </c>
      <c r="P189" s="5">
        <v>0.2</v>
      </c>
      <c r="Q189" s="4">
        <v>1006.86</v>
      </c>
      <c r="R189" s="4">
        <f t="shared" si="4"/>
        <v>39706.328000000009</v>
      </c>
      <c r="S189" s="4">
        <f>R189*_xlfn.XLOOKUP(I189,Lookup_Lists!$A$2:$A$5,Lookup_Lists!$B$2:$B$5)-Q189-IF(T189="Yes",R189*0.2,0)</f>
        <v>6140.2790400000013</v>
      </c>
      <c r="T189" t="s">
        <v>32</v>
      </c>
      <c r="U189" s="6">
        <v>4.3</v>
      </c>
      <c r="V189" s="7">
        <f t="shared" si="5"/>
        <v>2</v>
      </c>
      <c r="W189">
        <f>IF(SalesDataTable[[#This Row],[Returned]]="Yes",1,0)</f>
        <v>0</v>
      </c>
    </row>
    <row r="190" spans="1:23">
      <c r="A190" t="s">
        <v>401</v>
      </c>
      <c r="B190" s="3">
        <v>45950</v>
      </c>
      <c r="C190" s="3">
        <v>45953</v>
      </c>
      <c r="D190" t="s">
        <v>402</v>
      </c>
      <c r="E190" t="s">
        <v>70</v>
      </c>
      <c r="F190" t="s">
        <v>25</v>
      </c>
      <c r="G190" t="s">
        <v>50</v>
      </c>
      <c r="H190" t="s">
        <v>51</v>
      </c>
      <c r="I190" t="s">
        <v>28</v>
      </c>
      <c r="J190" t="s">
        <v>99</v>
      </c>
      <c r="K190" t="s">
        <v>99</v>
      </c>
      <c r="L190" t="s">
        <v>60</v>
      </c>
      <c r="M190" t="s">
        <v>47</v>
      </c>
      <c r="N190">
        <v>1</v>
      </c>
      <c r="O190" s="4">
        <v>3568.35</v>
      </c>
      <c r="P190" s="5">
        <v>0</v>
      </c>
      <c r="Q190" s="4">
        <v>615.09</v>
      </c>
      <c r="R190" s="4">
        <f t="shared" si="4"/>
        <v>3568.35</v>
      </c>
      <c r="S190" s="4">
        <f>R190*_xlfn.XLOOKUP(I190,Lookup_Lists!$A$2:$A$5,Lookup_Lists!$B$2:$B$5)-Q190-IF(T190="Yes",R190*0.2,0)</f>
        <v>27.212999999999965</v>
      </c>
      <c r="T190" t="s">
        <v>32</v>
      </c>
      <c r="U190" s="6">
        <v>4.3</v>
      </c>
      <c r="V190" s="7">
        <f t="shared" si="5"/>
        <v>3</v>
      </c>
      <c r="W190">
        <f>IF(SalesDataTable[[#This Row],[Returned]]="Yes",1,0)</f>
        <v>0</v>
      </c>
    </row>
    <row r="191" spans="1:23">
      <c r="A191" t="s">
        <v>403</v>
      </c>
      <c r="B191" s="3">
        <v>45760</v>
      </c>
      <c r="C191" s="3">
        <v>45763</v>
      </c>
      <c r="D191" t="s">
        <v>216</v>
      </c>
      <c r="E191" t="s">
        <v>24</v>
      </c>
      <c r="F191" t="s">
        <v>25</v>
      </c>
      <c r="G191" t="s">
        <v>26</v>
      </c>
      <c r="H191" t="s">
        <v>67</v>
      </c>
      <c r="I191" t="s">
        <v>58</v>
      </c>
      <c r="J191" t="s">
        <v>88</v>
      </c>
      <c r="K191" t="s">
        <v>88</v>
      </c>
      <c r="L191" t="s">
        <v>60</v>
      </c>
      <c r="M191" t="s">
        <v>40</v>
      </c>
      <c r="N191">
        <v>4</v>
      </c>
      <c r="O191" s="4">
        <v>7516.57</v>
      </c>
      <c r="P191" s="5">
        <v>0.15</v>
      </c>
      <c r="Q191" s="4">
        <v>616.82000000000005</v>
      </c>
      <c r="R191" s="4">
        <f t="shared" si="4"/>
        <v>25556.338</v>
      </c>
      <c r="S191" s="4">
        <f>R191*_xlfn.XLOOKUP(I191,Lookup_Lists!$A$2:$A$5,Lookup_Lists!$B$2:$B$5)-Q191-IF(T191="Yes",R191*0.2,0)</f>
        <v>5516.7011199999997</v>
      </c>
      <c r="T191" t="s">
        <v>32</v>
      </c>
      <c r="U191" s="6">
        <v>4.3</v>
      </c>
      <c r="V191" s="7">
        <f t="shared" si="5"/>
        <v>3</v>
      </c>
      <c r="W191">
        <f>IF(SalesDataTable[[#This Row],[Returned]]="Yes",1,0)</f>
        <v>0</v>
      </c>
    </row>
    <row r="192" spans="1:23">
      <c r="A192" t="s">
        <v>404</v>
      </c>
      <c r="B192" s="3">
        <v>45670</v>
      </c>
      <c r="C192" s="3">
        <v>45672</v>
      </c>
      <c r="D192" t="s">
        <v>176</v>
      </c>
      <c r="E192" t="s">
        <v>35</v>
      </c>
      <c r="F192" t="s">
        <v>25</v>
      </c>
      <c r="G192" t="s">
        <v>50</v>
      </c>
      <c r="H192" t="s">
        <v>71</v>
      </c>
      <c r="I192" t="s">
        <v>28</v>
      </c>
      <c r="J192" t="s">
        <v>111</v>
      </c>
      <c r="K192" t="s">
        <v>111</v>
      </c>
      <c r="L192" t="s">
        <v>64</v>
      </c>
      <c r="M192" t="s">
        <v>55</v>
      </c>
      <c r="N192">
        <v>1</v>
      </c>
      <c r="O192" s="4">
        <v>1246.73</v>
      </c>
      <c r="P192" s="5">
        <v>0</v>
      </c>
      <c r="Q192" s="4">
        <v>379.16</v>
      </c>
      <c r="R192" s="4">
        <f t="shared" si="4"/>
        <v>1246.73</v>
      </c>
      <c r="S192" s="4">
        <f>R192*_xlfn.XLOOKUP(I192,Lookup_Lists!$A$2:$A$5,Lookup_Lists!$B$2:$B$5)-Q192-IF(T192="Yes",R192*0.2,0)</f>
        <v>-404.09460000000001</v>
      </c>
      <c r="T192" t="s">
        <v>119</v>
      </c>
      <c r="U192" s="6">
        <v>4.3</v>
      </c>
      <c r="V192" s="7">
        <f t="shared" si="5"/>
        <v>2</v>
      </c>
      <c r="W192">
        <f>IF(SalesDataTable[[#This Row],[Returned]]="Yes",1,0)</f>
        <v>1</v>
      </c>
    </row>
    <row r="193" spans="1:23">
      <c r="A193" t="s">
        <v>405</v>
      </c>
      <c r="B193" s="3">
        <v>45705</v>
      </c>
      <c r="C193" s="3">
        <v>45706</v>
      </c>
      <c r="D193" t="s">
        <v>306</v>
      </c>
      <c r="E193" t="s">
        <v>81</v>
      </c>
      <c r="F193" t="s">
        <v>25</v>
      </c>
      <c r="G193" t="s">
        <v>36</v>
      </c>
      <c r="H193" t="s">
        <v>37</v>
      </c>
      <c r="I193" t="s">
        <v>58</v>
      </c>
      <c r="J193" t="s">
        <v>92</v>
      </c>
      <c r="K193" t="s">
        <v>92</v>
      </c>
      <c r="L193" t="s">
        <v>46</v>
      </c>
      <c r="M193" t="s">
        <v>31</v>
      </c>
      <c r="N193">
        <v>1</v>
      </c>
      <c r="O193" s="4">
        <v>9570.91</v>
      </c>
      <c r="P193" s="5">
        <v>0</v>
      </c>
      <c r="Q193" s="4">
        <v>547.22</v>
      </c>
      <c r="R193" s="4">
        <f t="shared" si="4"/>
        <v>9570.91</v>
      </c>
      <c r="S193" s="4">
        <f>R193*_xlfn.XLOOKUP(I193,Lookup_Lists!$A$2:$A$5,Lookup_Lists!$B$2:$B$5)-Q193-IF(T193="Yes",R193*0.2,0)</f>
        <v>1749.7983999999999</v>
      </c>
      <c r="T193" t="s">
        <v>32</v>
      </c>
      <c r="U193" s="6">
        <v>4.3</v>
      </c>
      <c r="V193" s="7">
        <f t="shared" si="5"/>
        <v>1</v>
      </c>
      <c r="W193">
        <f>IF(SalesDataTable[[#This Row],[Returned]]="Yes",1,0)</f>
        <v>0</v>
      </c>
    </row>
    <row r="194" spans="1:23">
      <c r="A194" t="s">
        <v>406</v>
      </c>
      <c r="B194" s="3">
        <v>45724</v>
      </c>
      <c r="C194" s="3">
        <v>45726</v>
      </c>
      <c r="D194" t="s">
        <v>377</v>
      </c>
      <c r="E194" t="s">
        <v>35</v>
      </c>
      <c r="F194" t="s">
        <v>25</v>
      </c>
      <c r="G194" t="s">
        <v>43</v>
      </c>
      <c r="H194" t="s">
        <v>102</v>
      </c>
      <c r="I194" t="s">
        <v>38</v>
      </c>
      <c r="J194" t="s">
        <v>72</v>
      </c>
      <c r="K194" t="s">
        <v>72</v>
      </c>
      <c r="L194" t="s">
        <v>54</v>
      </c>
      <c r="M194" t="s">
        <v>55</v>
      </c>
      <c r="N194">
        <v>1</v>
      </c>
      <c r="O194" s="4">
        <v>209.35</v>
      </c>
      <c r="P194" s="5">
        <v>0</v>
      </c>
      <c r="Q194" s="4">
        <v>522.12</v>
      </c>
      <c r="R194" s="4">
        <f t="shared" ref="R194:R257" si="6">N194*O194*(1-P194)</f>
        <v>209.35</v>
      </c>
      <c r="S194" s="4">
        <f>R194*_xlfn.XLOOKUP(I194,Lookup_Lists!$A$2:$A$5,Lookup_Lists!$B$2:$B$5)-Q194-IF(T194="Yes",R194*0.2,0)</f>
        <v>-455.12799999999999</v>
      </c>
      <c r="T194" t="s">
        <v>32</v>
      </c>
      <c r="U194" s="6">
        <v>4.7</v>
      </c>
      <c r="V194" s="7">
        <f t="shared" ref="V194:V257" si="7">C194-B194</f>
        <v>2</v>
      </c>
      <c r="W194">
        <f>IF(SalesDataTable[[#This Row],[Returned]]="Yes",1,0)</f>
        <v>0</v>
      </c>
    </row>
    <row r="195" spans="1:23">
      <c r="A195" t="s">
        <v>407</v>
      </c>
      <c r="B195" s="3">
        <v>45818</v>
      </c>
      <c r="C195" s="3">
        <v>45822</v>
      </c>
      <c r="D195" t="s">
        <v>402</v>
      </c>
      <c r="E195" t="s">
        <v>70</v>
      </c>
      <c r="F195" t="s">
        <v>25</v>
      </c>
      <c r="G195" t="s">
        <v>26</v>
      </c>
      <c r="H195" t="s">
        <v>67</v>
      </c>
      <c r="I195" t="s">
        <v>28</v>
      </c>
      <c r="J195" t="s">
        <v>123</v>
      </c>
      <c r="K195" t="s">
        <v>123</v>
      </c>
      <c r="L195" t="s">
        <v>64</v>
      </c>
      <c r="M195" t="s">
        <v>89</v>
      </c>
      <c r="N195">
        <v>1</v>
      </c>
      <c r="O195" s="4">
        <v>1954.47</v>
      </c>
      <c r="P195" s="5">
        <v>0.15</v>
      </c>
      <c r="Q195" s="4">
        <v>506.54</v>
      </c>
      <c r="R195" s="4">
        <f t="shared" si="6"/>
        <v>1661.2995000000001</v>
      </c>
      <c r="S195" s="4">
        <f>R195*_xlfn.XLOOKUP(I195,Lookup_Lists!$A$2:$A$5,Lookup_Lists!$B$2:$B$5)-Q195-IF(T195="Yes",R195*0.2,0)</f>
        <v>-539.7659900000001</v>
      </c>
      <c r="T195" t="s">
        <v>119</v>
      </c>
      <c r="U195" s="6">
        <v>3.9</v>
      </c>
      <c r="V195" s="7">
        <f t="shared" si="7"/>
        <v>4</v>
      </c>
      <c r="W195">
        <f>IF(SalesDataTable[[#This Row],[Returned]]="Yes",1,0)</f>
        <v>1</v>
      </c>
    </row>
    <row r="196" spans="1:23">
      <c r="A196" t="s">
        <v>408</v>
      </c>
      <c r="B196" s="3">
        <v>45825</v>
      </c>
      <c r="C196" s="3">
        <v>45827</v>
      </c>
      <c r="D196" t="s">
        <v>224</v>
      </c>
      <c r="E196" t="s">
        <v>24</v>
      </c>
      <c r="F196" t="s">
        <v>25</v>
      </c>
      <c r="G196" t="s">
        <v>43</v>
      </c>
      <c r="H196" t="s">
        <v>102</v>
      </c>
      <c r="I196" t="s">
        <v>58</v>
      </c>
      <c r="J196" t="s">
        <v>59</v>
      </c>
      <c r="K196" t="s">
        <v>59</v>
      </c>
      <c r="L196" t="s">
        <v>54</v>
      </c>
      <c r="M196" t="s">
        <v>40</v>
      </c>
      <c r="N196">
        <v>1</v>
      </c>
      <c r="O196" s="4">
        <v>6508.56</v>
      </c>
      <c r="P196" s="5">
        <v>0.05</v>
      </c>
      <c r="Q196" s="4">
        <v>604.03</v>
      </c>
      <c r="R196" s="4">
        <f t="shared" si="6"/>
        <v>6183.1320000000005</v>
      </c>
      <c r="S196" s="4">
        <f>R196*_xlfn.XLOOKUP(I196,Lookup_Lists!$A$2:$A$5,Lookup_Lists!$B$2:$B$5)-Q196-IF(T196="Yes",R196*0.2,0)</f>
        <v>879.92168000000015</v>
      </c>
      <c r="T196" t="s">
        <v>32</v>
      </c>
      <c r="U196" s="6">
        <v>3.6</v>
      </c>
      <c r="V196" s="7">
        <f t="shared" si="7"/>
        <v>2</v>
      </c>
      <c r="W196">
        <f>IF(SalesDataTable[[#This Row],[Returned]]="Yes",1,0)</f>
        <v>0</v>
      </c>
    </row>
    <row r="197" spans="1:23">
      <c r="A197" t="s">
        <v>409</v>
      </c>
      <c r="B197" s="3">
        <v>45729</v>
      </c>
      <c r="C197" s="3">
        <v>45730</v>
      </c>
      <c r="D197" t="s">
        <v>410</v>
      </c>
      <c r="E197" t="s">
        <v>35</v>
      </c>
      <c r="F197" t="s">
        <v>25</v>
      </c>
      <c r="G197" t="s">
        <v>26</v>
      </c>
      <c r="H197" t="s">
        <v>27</v>
      </c>
      <c r="I197" t="s">
        <v>28</v>
      </c>
      <c r="J197" t="s">
        <v>111</v>
      </c>
      <c r="K197" t="s">
        <v>111</v>
      </c>
      <c r="L197" t="s">
        <v>46</v>
      </c>
      <c r="M197" t="s">
        <v>89</v>
      </c>
      <c r="N197">
        <v>3</v>
      </c>
      <c r="O197" s="4">
        <v>1149.18</v>
      </c>
      <c r="P197" s="5">
        <v>0.15</v>
      </c>
      <c r="Q197" s="4">
        <v>144.13999999999999</v>
      </c>
      <c r="R197" s="4">
        <f t="shared" si="6"/>
        <v>2930.4090000000001</v>
      </c>
      <c r="S197" s="4">
        <f>R197*_xlfn.XLOOKUP(I197,Lookup_Lists!$A$2:$A$5,Lookup_Lists!$B$2:$B$5)-Q197-IF(T197="Yes",R197*0.2,0)</f>
        <v>-202.74818000000005</v>
      </c>
      <c r="T197" t="s">
        <v>119</v>
      </c>
      <c r="U197" s="6">
        <v>3.7</v>
      </c>
      <c r="V197" s="7">
        <f t="shared" si="7"/>
        <v>1</v>
      </c>
      <c r="W197">
        <f>IF(SalesDataTable[[#This Row],[Returned]]="Yes",1,0)</f>
        <v>1</v>
      </c>
    </row>
    <row r="198" spans="1:23">
      <c r="A198" t="s">
        <v>411</v>
      </c>
      <c r="B198" s="3">
        <v>45988</v>
      </c>
      <c r="C198" s="3">
        <v>45992</v>
      </c>
      <c r="D198" t="s">
        <v>169</v>
      </c>
      <c r="E198" t="s">
        <v>35</v>
      </c>
      <c r="F198" t="s">
        <v>25</v>
      </c>
      <c r="G198" t="s">
        <v>43</v>
      </c>
      <c r="H198" t="s">
        <v>122</v>
      </c>
      <c r="I198" t="s">
        <v>28</v>
      </c>
      <c r="J198" t="s">
        <v>111</v>
      </c>
      <c r="K198" t="s">
        <v>111</v>
      </c>
      <c r="L198" t="s">
        <v>54</v>
      </c>
      <c r="M198" t="s">
        <v>31</v>
      </c>
      <c r="N198">
        <v>2</v>
      </c>
      <c r="O198" s="4">
        <v>1316.8</v>
      </c>
      <c r="P198" s="5">
        <v>0.05</v>
      </c>
      <c r="Q198" s="4">
        <v>337.66</v>
      </c>
      <c r="R198" s="4">
        <f t="shared" si="6"/>
        <v>2501.9199999999996</v>
      </c>
      <c r="S198" s="4">
        <f>R198*_xlfn.XLOOKUP(I198,Lookup_Lists!$A$2:$A$5,Lookup_Lists!$B$2:$B$5)-Q198-IF(T198="Yes",R198*0.2,0)</f>
        <v>112.68559999999991</v>
      </c>
      <c r="T198" t="s">
        <v>32</v>
      </c>
      <c r="U198" s="6">
        <v>3.8</v>
      </c>
      <c r="V198" s="7">
        <f t="shared" si="7"/>
        <v>4</v>
      </c>
      <c r="W198">
        <f>IF(SalesDataTable[[#This Row],[Returned]]="Yes",1,0)</f>
        <v>0</v>
      </c>
    </row>
    <row r="199" spans="1:23">
      <c r="A199" t="s">
        <v>412</v>
      </c>
      <c r="B199" s="3">
        <v>45798</v>
      </c>
      <c r="C199" s="3">
        <v>45801</v>
      </c>
      <c r="D199" t="s">
        <v>91</v>
      </c>
      <c r="E199" t="s">
        <v>81</v>
      </c>
      <c r="F199" t="s">
        <v>25</v>
      </c>
      <c r="G199" t="s">
        <v>50</v>
      </c>
      <c r="H199" t="s">
        <v>51</v>
      </c>
      <c r="I199" t="s">
        <v>38</v>
      </c>
      <c r="J199" t="s">
        <v>45</v>
      </c>
      <c r="K199" t="s">
        <v>45</v>
      </c>
      <c r="L199" t="s">
        <v>46</v>
      </c>
      <c r="M199" t="s">
        <v>31</v>
      </c>
      <c r="N199">
        <v>2</v>
      </c>
      <c r="O199" s="4">
        <v>235.64</v>
      </c>
      <c r="P199" s="5">
        <v>0</v>
      </c>
      <c r="Q199" s="4">
        <v>326.02999999999997</v>
      </c>
      <c r="R199" s="4">
        <f t="shared" si="6"/>
        <v>471.28</v>
      </c>
      <c r="S199" s="4">
        <f>R199*_xlfn.XLOOKUP(I199,Lookup_Lists!$A$2:$A$5,Lookup_Lists!$B$2:$B$5)-Q199-IF(T199="Yes",R199*0.2,0)</f>
        <v>-175.22039999999998</v>
      </c>
      <c r="T199" t="s">
        <v>32</v>
      </c>
      <c r="U199" s="6">
        <v>5</v>
      </c>
      <c r="V199" s="7">
        <f t="shared" si="7"/>
        <v>3</v>
      </c>
      <c r="W199">
        <f>IF(SalesDataTable[[#This Row],[Returned]]="Yes",1,0)</f>
        <v>0</v>
      </c>
    </row>
    <row r="200" spans="1:23">
      <c r="A200" t="s">
        <v>413</v>
      </c>
      <c r="B200" s="3">
        <v>45927</v>
      </c>
      <c r="C200" s="3">
        <v>45929</v>
      </c>
      <c r="D200" t="s">
        <v>183</v>
      </c>
      <c r="E200" t="s">
        <v>81</v>
      </c>
      <c r="F200" t="s">
        <v>25</v>
      </c>
      <c r="G200" t="s">
        <v>50</v>
      </c>
      <c r="H200" t="s">
        <v>87</v>
      </c>
      <c r="I200" t="s">
        <v>38</v>
      </c>
      <c r="J200" t="s">
        <v>72</v>
      </c>
      <c r="K200" t="s">
        <v>72</v>
      </c>
      <c r="L200" t="s">
        <v>46</v>
      </c>
      <c r="M200" t="s">
        <v>47</v>
      </c>
      <c r="N200">
        <v>2</v>
      </c>
      <c r="O200" s="4">
        <v>188.95</v>
      </c>
      <c r="P200" s="5">
        <v>0</v>
      </c>
      <c r="Q200" s="4">
        <v>239.82</v>
      </c>
      <c r="R200" s="4">
        <f t="shared" si="6"/>
        <v>377.9</v>
      </c>
      <c r="S200" s="4">
        <f>R200*_xlfn.XLOOKUP(I200,Lookup_Lists!$A$2:$A$5,Lookup_Lists!$B$2:$B$5)-Q200-IF(T200="Yes",R200*0.2,0)</f>
        <v>-194.47199999999998</v>
      </c>
      <c r="T200" t="s">
        <v>119</v>
      </c>
      <c r="U200" s="6">
        <v>3.5</v>
      </c>
      <c r="V200" s="7">
        <f t="shared" si="7"/>
        <v>2</v>
      </c>
      <c r="W200">
        <f>IF(SalesDataTable[[#This Row],[Returned]]="Yes",1,0)</f>
        <v>1</v>
      </c>
    </row>
    <row r="201" spans="1:23">
      <c r="A201" t="s">
        <v>414</v>
      </c>
      <c r="B201" s="3">
        <v>45801</v>
      </c>
      <c r="C201" s="3">
        <v>45802</v>
      </c>
      <c r="D201" t="s">
        <v>169</v>
      </c>
      <c r="E201" t="s">
        <v>81</v>
      </c>
      <c r="F201" t="s">
        <v>25</v>
      </c>
      <c r="G201" t="s">
        <v>43</v>
      </c>
      <c r="H201" t="s">
        <v>63</v>
      </c>
      <c r="I201" t="s">
        <v>52</v>
      </c>
      <c r="J201" t="s">
        <v>114</v>
      </c>
      <c r="K201" t="s">
        <v>114</v>
      </c>
      <c r="L201" t="s">
        <v>54</v>
      </c>
      <c r="M201" t="s">
        <v>40</v>
      </c>
      <c r="N201">
        <v>1</v>
      </c>
      <c r="O201" s="4">
        <v>10686.41</v>
      </c>
      <c r="P201" s="5">
        <v>0.2</v>
      </c>
      <c r="Q201" s="4">
        <v>272.16000000000003</v>
      </c>
      <c r="R201" s="4">
        <f t="shared" si="6"/>
        <v>8549.1280000000006</v>
      </c>
      <c r="S201" s="4">
        <f>R201*_xlfn.XLOOKUP(I201,Lookup_Lists!$A$2:$A$5,Lookup_Lists!$B$2:$B$5)-Q201-IF(T201="Yes",R201*0.2,0)</f>
        <v>1950.6132800000003</v>
      </c>
      <c r="T201" t="s">
        <v>32</v>
      </c>
      <c r="U201" s="6">
        <v>4.3</v>
      </c>
      <c r="V201" s="7">
        <f t="shared" si="7"/>
        <v>1</v>
      </c>
      <c r="W201">
        <f>IF(SalesDataTable[[#This Row],[Returned]]="Yes",1,0)</f>
        <v>0</v>
      </c>
    </row>
    <row r="202" spans="1:23">
      <c r="A202" t="s">
        <v>415</v>
      </c>
      <c r="B202" s="3">
        <v>45770</v>
      </c>
      <c r="C202" s="3">
        <v>45775</v>
      </c>
      <c r="D202" t="s">
        <v>416</v>
      </c>
      <c r="E202" t="s">
        <v>35</v>
      </c>
      <c r="F202" t="s">
        <v>25</v>
      </c>
      <c r="G202" t="s">
        <v>26</v>
      </c>
      <c r="H202" t="s">
        <v>27</v>
      </c>
      <c r="I202" t="s">
        <v>28</v>
      </c>
      <c r="J202" t="s">
        <v>123</v>
      </c>
      <c r="K202" t="s">
        <v>123</v>
      </c>
      <c r="L202" t="s">
        <v>64</v>
      </c>
      <c r="M202" t="s">
        <v>55</v>
      </c>
      <c r="N202">
        <v>5</v>
      </c>
      <c r="O202" s="4">
        <v>1599.23</v>
      </c>
      <c r="P202" s="5">
        <v>0.1</v>
      </c>
      <c r="Q202" s="4">
        <v>740.05</v>
      </c>
      <c r="R202" s="4">
        <f t="shared" si="6"/>
        <v>7196.5349999999999</v>
      </c>
      <c r="S202" s="4">
        <f>R202*_xlfn.XLOOKUP(I202,Lookup_Lists!$A$2:$A$5,Lookup_Lists!$B$2:$B$5)-Q202-IF(T202="Yes",R202*0.2,0)</f>
        <v>555.32629999999995</v>
      </c>
      <c r="T202" t="s">
        <v>32</v>
      </c>
      <c r="U202" s="6">
        <v>4.0999999999999996</v>
      </c>
      <c r="V202" s="7">
        <f t="shared" si="7"/>
        <v>5</v>
      </c>
      <c r="W202">
        <f>IF(SalesDataTable[[#This Row],[Returned]]="Yes",1,0)</f>
        <v>0</v>
      </c>
    </row>
    <row r="203" spans="1:23">
      <c r="A203" t="s">
        <v>417</v>
      </c>
      <c r="B203" s="3">
        <v>45910</v>
      </c>
      <c r="C203" s="3">
        <v>45915</v>
      </c>
      <c r="D203" t="s">
        <v>129</v>
      </c>
      <c r="E203" t="s">
        <v>35</v>
      </c>
      <c r="F203" t="s">
        <v>25</v>
      </c>
      <c r="G203" t="s">
        <v>50</v>
      </c>
      <c r="H203" t="s">
        <v>78</v>
      </c>
      <c r="I203" t="s">
        <v>28</v>
      </c>
      <c r="J203" t="s">
        <v>99</v>
      </c>
      <c r="K203" t="s">
        <v>99</v>
      </c>
      <c r="L203" t="s">
        <v>54</v>
      </c>
      <c r="M203" t="s">
        <v>31</v>
      </c>
      <c r="N203">
        <v>2</v>
      </c>
      <c r="O203" s="4">
        <v>3428.32</v>
      </c>
      <c r="P203" s="5">
        <v>0.05</v>
      </c>
      <c r="Q203" s="4">
        <v>642.52</v>
      </c>
      <c r="R203" s="4">
        <f t="shared" si="6"/>
        <v>6513.808</v>
      </c>
      <c r="S203" s="4">
        <f>R203*_xlfn.XLOOKUP(I203,Lookup_Lists!$A$2:$A$5,Lookup_Lists!$B$2:$B$5)-Q203-IF(T203="Yes",R203*0.2,0)</f>
        <v>529.96543999999994</v>
      </c>
      <c r="T203" t="s">
        <v>32</v>
      </c>
      <c r="U203" s="6">
        <v>4.2</v>
      </c>
      <c r="V203" s="7">
        <f t="shared" si="7"/>
        <v>5</v>
      </c>
      <c r="W203">
        <f>IF(SalesDataTable[[#This Row],[Returned]]="Yes",1,0)</f>
        <v>0</v>
      </c>
    </row>
    <row r="204" spans="1:23">
      <c r="A204" t="s">
        <v>418</v>
      </c>
      <c r="B204" s="3">
        <v>45748</v>
      </c>
      <c r="C204" s="3">
        <v>45755</v>
      </c>
      <c r="D204" t="s">
        <v>189</v>
      </c>
      <c r="E204" t="s">
        <v>35</v>
      </c>
      <c r="F204" t="s">
        <v>25</v>
      </c>
      <c r="G204" t="s">
        <v>26</v>
      </c>
      <c r="H204" t="s">
        <v>27</v>
      </c>
      <c r="I204" t="s">
        <v>38</v>
      </c>
      <c r="J204" t="s">
        <v>130</v>
      </c>
      <c r="K204" t="s">
        <v>130</v>
      </c>
      <c r="L204" t="s">
        <v>64</v>
      </c>
      <c r="M204" t="s">
        <v>89</v>
      </c>
      <c r="N204">
        <v>2</v>
      </c>
      <c r="O204" s="4">
        <v>813.8</v>
      </c>
      <c r="P204" s="5">
        <v>0</v>
      </c>
      <c r="Q204" s="4">
        <v>162</v>
      </c>
      <c r="R204" s="4">
        <f t="shared" si="6"/>
        <v>1627.6</v>
      </c>
      <c r="S204" s="4">
        <f>R204*_xlfn.XLOOKUP(I204,Lookup_Lists!$A$2:$A$5,Lookup_Lists!$B$2:$B$5)-Q204-IF(T204="Yes",R204*0.2,0)</f>
        <v>358.83199999999999</v>
      </c>
      <c r="T204" t="s">
        <v>32</v>
      </c>
      <c r="U204" s="6">
        <v>4.4000000000000004</v>
      </c>
      <c r="V204" s="7">
        <f t="shared" si="7"/>
        <v>7</v>
      </c>
      <c r="W204">
        <f>IF(SalesDataTable[[#This Row],[Returned]]="Yes",1,0)</f>
        <v>0</v>
      </c>
    </row>
    <row r="205" spans="1:23">
      <c r="A205" t="s">
        <v>419</v>
      </c>
      <c r="B205" s="3">
        <v>45881</v>
      </c>
      <c r="C205" s="3">
        <v>45888</v>
      </c>
      <c r="D205" t="s">
        <v>420</v>
      </c>
      <c r="E205" t="s">
        <v>81</v>
      </c>
      <c r="F205" t="s">
        <v>25</v>
      </c>
      <c r="G205" t="s">
        <v>43</v>
      </c>
      <c r="H205" t="s">
        <v>63</v>
      </c>
      <c r="I205" t="s">
        <v>38</v>
      </c>
      <c r="J205" t="s">
        <v>130</v>
      </c>
      <c r="K205" t="s">
        <v>130</v>
      </c>
      <c r="L205" t="s">
        <v>30</v>
      </c>
      <c r="M205" t="s">
        <v>31</v>
      </c>
      <c r="N205">
        <v>4</v>
      </c>
      <c r="O205" s="4">
        <v>662.88</v>
      </c>
      <c r="P205" s="5">
        <v>0.05</v>
      </c>
      <c r="Q205" s="4">
        <v>219.72</v>
      </c>
      <c r="R205" s="4">
        <f t="shared" si="6"/>
        <v>2518.944</v>
      </c>
      <c r="S205" s="4">
        <f>R205*_xlfn.XLOOKUP(I205,Lookup_Lists!$A$2:$A$5,Lookup_Lists!$B$2:$B$5)-Q205-IF(T205="Yes",R205*0.2,0)</f>
        <v>586.34208000000001</v>
      </c>
      <c r="T205" t="s">
        <v>32</v>
      </c>
      <c r="U205" s="6">
        <v>4.4000000000000004</v>
      </c>
      <c r="V205" s="7">
        <f t="shared" si="7"/>
        <v>7</v>
      </c>
      <c r="W205">
        <f>IF(SalesDataTable[[#This Row],[Returned]]="Yes",1,0)</f>
        <v>0</v>
      </c>
    </row>
    <row r="206" spans="1:23">
      <c r="A206" t="s">
        <v>421</v>
      </c>
      <c r="B206" s="3">
        <v>46010</v>
      </c>
      <c r="C206" s="3">
        <v>46013</v>
      </c>
      <c r="D206" t="s">
        <v>422</v>
      </c>
      <c r="E206" t="s">
        <v>35</v>
      </c>
      <c r="F206" t="s">
        <v>25</v>
      </c>
      <c r="G206" t="s">
        <v>50</v>
      </c>
      <c r="H206" t="s">
        <v>87</v>
      </c>
      <c r="I206" t="s">
        <v>52</v>
      </c>
      <c r="J206" t="s">
        <v>114</v>
      </c>
      <c r="K206" t="s">
        <v>114</v>
      </c>
      <c r="L206" t="s">
        <v>54</v>
      </c>
      <c r="M206" t="s">
        <v>55</v>
      </c>
      <c r="N206">
        <v>6</v>
      </c>
      <c r="O206" s="4">
        <v>11117.47</v>
      </c>
      <c r="P206" s="5">
        <v>0</v>
      </c>
      <c r="Q206" s="4">
        <v>1402.94</v>
      </c>
      <c r="R206" s="4">
        <f t="shared" si="6"/>
        <v>66704.819999999992</v>
      </c>
      <c r="S206" s="4">
        <f>R206*_xlfn.XLOOKUP(I206,Lookup_Lists!$A$2:$A$5,Lookup_Lists!$B$2:$B$5)-Q206-IF(T206="Yes",R206*0.2,0)</f>
        <v>15940.313199999999</v>
      </c>
      <c r="T206" t="s">
        <v>32</v>
      </c>
      <c r="U206" s="6">
        <v>4.8</v>
      </c>
      <c r="V206" s="7">
        <f t="shared" si="7"/>
        <v>3</v>
      </c>
      <c r="W206">
        <f>IF(SalesDataTable[[#This Row],[Returned]]="Yes",1,0)</f>
        <v>0</v>
      </c>
    </row>
    <row r="207" spans="1:23">
      <c r="A207" t="s">
        <v>423</v>
      </c>
      <c r="B207" s="3">
        <v>45779</v>
      </c>
      <c r="C207" s="3">
        <v>45782</v>
      </c>
      <c r="D207" t="s">
        <v>137</v>
      </c>
      <c r="E207" t="s">
        <v>35</v>
      </c>
      <c r="F207" t="s">
        <v>25</v>
      </c>
      <c r="G207" t="s">
        <v>50</v>
      </c>
      <c r="H207" t="s">
        <v>71</v>
      </c>
      <c r="I207" t="s">
        <v>58</v>
      </c>
      <c r="J207" t="s">
        <v>59</v>
      </c>
      <c r="K207" t="s">
        <v>59</v>
      </c>
      <c r="L207" t="s">
        <v>54</v>
      </c>
      <c r="M207" t="s">
        <v>89</v>
      </c>
      <c r="N207">
        <v>2</v>
      </c>
      <c r="O207" s="4">
        <v>7254.69</v>
      </c>
      <c r="P207" s="5">
        <v>0.1</v>
      </c>
      <c r="Q207" s="4">
        <v>325.08</v>
      </c>
      <c r="R207" s="4">
        <f t="shared" si="6"/>
        <v>13058.441999999999</v>
      </c>
      <c r="S207" s="4">
        <f>R207*_xlfn.XLOOKUP(I207,Lookup_Lists!$A$2:$A$5,Lookup_Lists!$B$2:$B$5)-Q207-IF(T207="Yes",R207*0.2,0)</f>
        <v>2808.9460799999997</v>
      </c>
      <c r="T207" t="s">
        <v>32</v>
      </c>
      <c r="U207" s="6">
        <v>4.9000000000000004</v>
      </c>
      <c r="V207" s="7">
        <f t="shared" si="7"/>
        <v>3</v>
      </c>
      <c r="W207">
        <f>IF(SalesDataTable[[#This Row],[Returned]]="Yes",1,0)</f>
        <v>0</v>
      </c>
    </row>
    <row r="208" spans="1:23">
      <c r="A208" t="s">
        <v>424</v>
      </c>
      <c r="B208" s="3">
        <v>45872</v>
      </c>
      <c r="C208" s="3">
        <v>45874</v>
      </c>
      <c r="D208" t="s">
        <v>278</v>
      </c>
      <c r="E208" t="s">
        <v>70</v>
      </c>
      <c r="F208" t="s">
        <v>25</v>
      </c>
      <c r="G208" t="s">
        <v>36</v>
      </c>
      <c r="H208" t="s">
        <v>37</v>
      </c>
      <c r="I208" t="s">
        <v>38</v>
      </c>
      <c r="J208" t="s">
        <v>39</v>
      </c>
      <c r="K208" t="s">
        <v>39</v>
      </c>
      <c r="L208" t="s">
        <v>64</v>
      </c>
      <c r="M208" t="s">
        <v>31</v>
      </c>
      <c r="N208">
        <v>3</v>
      </c>
      <c r="O208" s="4">
        <v>456.18</v>
      </c>
      <c r="P208" s="5">
        <v>0</v>
      </c>
      <c r="Q208" s="4">
        <v>142.54</v>
      </c>
      <c r="R208" s="4">
        <f t="shared" si="6"/>
        <v>1368.54</v>
      </c>
      <c r="S208" s="4">
        <f>R208*_xlfn.XLOOKUP(I208,Lookup_Lists!$A$2:$A$5,Lookup_Lists!$B$2:$B$5)-Q208-IF(T208="Yes",R208*0.2,0)</f>
        <v>295.39279999999997</v>
      </c>
      <c r="T208" t="s">
        <v>32</v>
      </c>
      <c r="U208" s="6">
        <v>4.2</v>
      </c>
      <c r="V208" s="7">
        <f t="shared" si="7"/>
        <v>2</v>
      </c>
      <c r="W208">
        <f>IF(SalesDataTable[[#This Row],[Returned]]="Yes",1,0)</f>
        <v>0</v>
      </c>
    </row>
    <row r="209" spans="1:23">
      <c r="A209" t="s">
        <v>425</v>
      </c>
      <c r="B209" s="3">
        <v>45711</v>
      </c>
      <c r="C209" s="3">
        <v>45712</v>
      </c>
      <c r="D209" t="s">
        <v>426</v>
      </c>
      <c r="E209" t="s">
        <v>35</v>
      </c>
      <c r="F209" t="s">
        <v>25</v>
      </c>
      <c r="G209" t="s">
        <v>36</v>
      </c>
      <c r="H209" t="s">
        <v>145</v>
      </c>
      <c r="I209" t="s">
        <v>38</v>
      </c>
      <c r="J209" t="s">
        <v>130</v>
      </c>
      <c r="K209" t="s">
        <v>130</v>
      </c>
      <c r="L209" t="s">
        <v>60</v>
      </c>
      <c r="M209" t="s">
        <v>89</v>
      </c>
      <c r="N209">
        <v>2</v>
      </c>
      <c r="O209" s="4">
        <v>822.91</v>
      </c>
      <c r="P209" s="5">
        <v>0.2</v>
      </c>
      <c r="Q209" s="4">
        <v>506.25</v>
      </c>
      <c r="R209" s="4">
        <f t="shared" si="6"/>
        <v>1316.6559999999999</v>
      </c>
      <c r="S209" s="4">
        <f>R209*_xlfn.XLOOKUP(I209,Lookup_Lists!$A$2:$A$5,Lookup_Lists!$B$2:$B$5)-Q209-IF(T209="Yes",R209*0.2,0)</f>
        <v>-84.920079999999984</v>
      </c>
      <c r="T209" t="s">
        <v>32</v>
      </c>
      <c r="U209" s="6">
        <v>4.7</v>
      </c>
      <c r="V209" s="7">
        <f t="shared" si="7"/>
        <v>1</v>
      </c>
      <c r="W209">
        <f>IF(SalesDataTable[[#This Row],[Returned]]="Yes",1,0)</f>
        <v>0</v>
      </c>
    </row>
    <row r="210" spans="1:23">
      <c r="A210" t="s">
        <v>427</v>
      </c>
      <c r="B210" s="3">
        <v>45992</v>
      </c>
      <c r="C210" s="3">
        <v>45994</v>
      </c>
      <c r="D210" t="s">
        <v>221</v>
      </c>
      <c r="E210" t="s">
        <v>81</v>
      </c>
      <c r="F210" t="s">
        <v>25</v>
      </c>
      <c r="G210" t="s">
        <v>26</v>
      </c>
      <c r="H210" t="s">
        <v>153</v>
      </c>
      <c r="I210" t="s">
        <v>28</v>
      </c>
      <c r="J210" t="s">
        <v>75</v>
      </c>
      <c r="K210" t="s">
        <v>75</v>
      </c>
      <c r="L210" t="s">
        <v>60</v>
      </c>
      <c r="M210" t="s">
        <v>47</v>
      </c>
      <c r="N210">
        <v>3</v>
      </c>
      <c r="O210" s="4">
        <v>12062.73</v>
      </c>
      <c r="P210" s="5">
        <v>0.1</v>
      </c>
      <c r="Q210" s="4">
        <v>774.02</v>
      </c>
      <c r="R210" s="4">
        <f t="shared" si="6"/>
        <v>32569.371000000003</v>
      </c>
      <c r="S210" s="4">
        <f>R210*_xlfn.XLOOKUP(I210,Lookup_Lists!$A$2:$A$5,Lookup_Lists!$B$2:$B$5)-Q210-IF(T210="Yes",R210*0.2,0)</f>
        <v>5088.4667800000007</v>
      </c>
      <c r="T210" t="s">
        <v>32</v>
      </c>
      <c r="U210" s="6">
        <v>4.4000000000000004</v>
      </c>
      <c r="V210" s="7">
        <f t="shared" si="7"/>
        <v>2</v>
      </c>
      <c r="W210">
        <f>IF(SalesDataTable[[#This Row],[Returned]]="Yes",1,0)</f>
        <v>0</v>
      </c>
    </row>
    <row r="211" spans="1:23">
      <c r="A211" t="s">
        <v>428</v>
      </c>
      <c r="B211" s="3">
        <v>45950</v>
      </c>
      <c r="C211" s="3">
        <v>45955</v>
      </c>
      <c r="D211" t="s">
        <v>379</v>
      </c>
      <c r="E211" t="s">
        <v>35</v>
      </c>
      <c r="F211" t="s">
        <v>25</v>
      </c>
      <c r="G211" t="s">
        <v>43</v>
      </c>
      <c r="H211" t="s">
        <v>122</v>
      </c>
      <c r="I211" t="s">
        <v>58</v>
      </c>
      <c r="J211" t="s">
        <v>59</v>
      </c>
      <c r="K211" t="s">
        <v>59</v>
      </c>
      <c r="L211" t="s">
        <v>64</v>
      </c>
      <c r="M211" t="s">
        <v>31</v>
      </c>
      <c r="N211">
        <v>2</v>
      </c>
      <c r="O211" s="4">
        <v>5909.12</v>
      </c>
      <c r="P211" s="5">
        <v>0</v>
      </c>
      <c r="Q211" s="4">
        <v>621.04</v>
      </c>
      <c r="R211" s="4">
        <f t="shared" si="6"/>
        <v>11818.24</v>
      </c>
      <c r="S211" s="4">
        <f>R211*_xlfn.XLOOKUP(I211,Lookup_Lists!$A$2:$A$5,Lookup_Lists!$B$2:$B$5)-Q211-IF(T211="Yes",R211*0.2,0)</f>
        <v>2215.3375999999998</v>
      </c>
      <c r="T211" t="s">
        <v>32</v>
      </c>
      <c r="U211" s="6">
        <v>4.5</v>
      </c>
      <c r="V211" s="7">
        <f t="shared" si="7"/>
        <v>5</v>
      </c>
      <c r="W211">
        <f>IF(SalesDataTable[[#This Row],[Returned]]="Yes",1,0)</f>
        <v>0</v>
      </c>
    </row>
    <row r="212" spans="1:23">
      <c r="A212" t="s">
        <v>429</v>
      </c>
      <c r="B212" s="3">
        <v>45900</v>
      </c>
      <c r="C212" s="3">
        <v>45907</v>
      </c>
      <c r="D212" t="s">
        <v>236</v>
      </c>
      <c r="E212" t="s">
        <v>35</v>
      </c>
      <c r="F212" t="s">
        <v>25</v>
      </c>
      <c r="G212" t="s">
        <v>36</v>
      </c>
      <c r="H212" t="s">
        <v>138</v>
      </c>
      <c r="I212" t="s">
        <v>58</v>
      </c>
      <c r="J212" t="s">
        <v>59</v>
      </c>
      <c r="K212" t="s">
        <v>59</v>
      </c>
      <c r="L212" t="s">
        <v>54</v>
      </c>
      <c r="M212" t="s">
        <v>31</v>
      </c>
      <c r="N212">
        <v>2</v>
      </c>
      <c r="O212" s="4">
        <v>6443.49</v>
      </c>
      <c r="P212" s="5">
        <v>0</v>
      </c>
      <c r="Q212" s="4">
        <v>379.66</v>
      </c>
      <c r="R212" s="4">
        <f t="shared" si="6"/>
        <v>12886.98</v>
      </c>
      <c r="S212" s="4">
        <f>R212*_xlfn.XLOOKUP(I212,Lookup_Lists!$A$2:$A$5,Lookup_Lists!$B$2:$B$5)-Q212-IF(T212="Yes",R212*0.2,0)</f>
        <v>135.81919999999991</v>
      </c>
      <c r="T212" t="s">
        <v>119</v>
      </c>
      <c r="U212" s="6">
        <v>3.1</v>
      </c>
      <c r="V212" s="7">
        <f t="shared" si="7"/>
        <v>7</v>
      </c>
      <c r="W212">
        <f>IF(SalesDataTable[[#This Row],[Returned]]="Yes",1,0)</f>
        <v>1</v>
      </c>
    </row>
    <row r="213" spans="1:23">
      <c r="A213" t="s">
        <v>430</v>
      </c>
      <c r="B213" s="3">
        <v>45795</v>
      </c>
      <c r="C213" s="3">
        <v>45800</v>
      </c>
      <c r="D213" t="s">
        <v>84</v>
      </c>
      <c r="E213" t="s">
        <v>35</v>
      </c>
      <c r="F213" t="s">
        <v>25</v>
      </c>
      <c r="G213" t="s">
        <v>50</v>
      </c>
      <c r="H213" t="s">
        <v>78</v>
      </c>
      <c r="I213" t="s">
        <v>38</v>
      </c>
      <c r="J213" t="s">
        <v>130</v>
      </c>
      <c r="K213" t="s">
        <v>130</v>
      </c>
      <c r="L213" t="s">
        <v>46</v>
      </c>
      <c r="M213" t="s">
        <v>31</v>
      </c>
      <c r="N213">
        <v>1</v>
      </c>
      <c r="O213" s="4">
        <v>628.80999999999995</v>
      </c>
      <c r="P213" s="5">
        <v>0</v>
      </c>
      <c r="Q213" s="4">
        <v>387.3</v>
      </c>
      <c r="R213" s="4">
        <f t="shared" si="6"/>
        <v>628.80999999999995</v>
      </c>
      <c r="S213" s="4">
        <f>R213*_xlfn.XLOOKUP(I213,Lookup_Lists!$A$2:$A$5,Lookup_Lists!$B$2:$B$5)-Q213-IF(T213="Yes",R213*0.2,0)</f>
        <v>-186.08080000000001</v>
      </c>
      <c r="T213" t="s">
        <v>32</v>
      </c>
      <c r="U213" s="6">
        <v>4.5</v>
      </c>
      <c r="V213" s="7">
        <f t="shared" si="7"/>
        <v>5</v>
      </c>
      <c r="W213">
        <f>IF(SalesDataTable[[#This Row],[Returned]]="Yes",1,0)</f>
        <v>0</v>
      </c>
    </row>
    <row r="214" spans="1:23">
      <c r="A214" t="s">
        <v>431</v>
      </c>
      <c r="B214" s="3">
        <v>46009</v>
      </c>
      <c r="C214" s="3">
        <v>46016</v>
      </c>
      <c r="D214" t="s">
        <v>342</v>
      </c>
      <c r="E214" t="s">
        <v>70</v>
      </c>
      <c r="F214" t="s">
        <v>25</v>
      </c>
      <c r="G214" t="s">
        <v>26</v>
      </c>
      <c r="H214" t="s">
        <v>67</v>
      </c>
      <c r="I214" t="s">
        <v>28</v>
      </c>
      <c r="J214" t="s">
        <v>111</v>
      </c>
      <c r="K214" t="s">
        <v>111</v>
      </c>
      <c r="L214" t="s">
        <v>60</v>
      </c>
      <c r="M214" t="s">
        <v>89</v>
      </c>
      <c r="N214">
        <v>2</v>
      </c>
      <c r="O214" s="4">
        <v>1380.16</v>
      </c>
      <c r="P214" s="5">
        <v>0.15</v>
      </c>
      <c r="Q214" s="4">
        <v>507.6</v>
      </c>
      <c r="R214" s="4">
        <f t="shared" si="6"/>
        <v>2346.2719999999999</v>
      </c>
      <c r="S214" s="4">
        <f>R214*_xlfn.XLOOKUP(I214,Lookup_Lists!$A$2:$A$5,Lookup_Lists!$B$2:$B$5)-Q214-IF(T214="Yes",R214*0.2,0)</f>
        <v>-85.271040000000028</v>
      </c>
      <c r="T214" t="s">
        <v>32</v>
      </c>
      <c r="U214" s="6">
        <v>4.8</v>
      </c>
      <c r="V214" s="7">
        <f t="shared" si="7"/>
        <v>7</v>
      </c>
      <c r="W214">
        <f>IF(SalesDataTable[[#This Row],[Returned]]="Yes",1,0)</f>
        <v>0</v>
      </c>
    </row>
    <row r="215" spans="1:23">
      <c r="A215" t="s">
        <v>432</v>
      </c>
      <c r="B215" s="3">
        <v>45746</v>
      </c>
      <c r="C215" s="3">
        <v>45748</v>
      </c>
      <c r="D215" t="s">
        <v>80</v>
      </c>
      <c r="E215" t="s">
        <v>24</v>
      </c>
      <c r="F215" t="s">
        <v>25</v>
      </c>
      <c r="G215" t="s">
        <v>26</v>
      </c>
      <c r="H215" t="s">
        <v>153</v>
      </c>
      <c r="I215" t="s">
        <v>58</v>
      </c>
      <c r="J215" t="s">
        <v>88</v>
      </c>
      <c r="K215" t="s">
        <v>88</v>
      </c>
      <c r="L215" t="s">
        <v>54</v>
      </c>
      <c r="M215" t="s">
        <v>40</v>
      </c>
      <c r="N215">
        <v>4</v>
      </c>
      <c r="O215" s="4">
        <v>6893.03</v>
      </c>
      <c r="P215" s="5">
        <v>0.2</v>
      </c>
      <c r="Q215" s="4">
        <v>1014.66</v>
      </c>
      <c r="R215" s="4">
        <f t="shared" si="6"/>
        <v>22057.696</v>
      </c>
      <c r="S215" s="4">
        <f>R215*_xlfn.XLOOKUP(I215,Lookup_Lists!$A$2:$A$5,Lookup_Lists!$B$2:$B$5)-Q215-IF(T215="Yes",R215*0.2,0)</f>
        <v>4279.1870399999998</v>
      </c>
      <c r="T215" t="s">
        <v>32</v>
      </c>
      <c r="U215" s="6">
        <v>4.9000000000000004</v>
      </c>
      <c r="V215" s="7">
        <f t="shared" si="7"/>
        <v>2</v>
      </c>
      <c r="W215">
        <f>IF(SalesDataTable[[#This Row],[Returned]]="Yes",1,0)</f>
        <v>0</v>
      </c>
    </row>
    <row r="216" spans="1:23">
      <c r="A216" t="s">
        <v>433</v>
      </c>
      <c r="B216" s="3">
        <v>45856</v>
      </c>
      <c r="C216" s="3">
        <v>45861</v>
      </c>
      <c r="D216" t="s">
        <v>346</v>
      </c>
      <c r="E216" t="s">
        <v>70</v>
      </c>
      <c r="F216" t="s">
        <v>25</v>
      </c>
      <c r="G216" t="s">
        <v>43</v>
      </c>
      <c r="H216" t="s">
        <v>102</v>
      </c>
      <c r="I216" t="s">
        <v>52</v>
      </c>
      <c r="J216" t="s">
        <v>114</v>
      </c>
      <c r="K216" t="s">
        <v>114</v>
      </c>
      <c r="L216" t="s">
        <v>64</v>
      </c>
      <c r="M216" t="s">
        <v>31</v>
      </c>
      <c r="N216">
        <v>3</v>
      </c>
      <c r="O216" s="4">
        <v>10587.8</v>
      </c>
      <c r="P216" s="5">
        <v>0</v>
      </c>
      <c r="Q216" s="4">
        <v>641.75</v>
      </c>
      <c r="R216" s="4">
        <f t="shared" si="6"/>
        <v>31763.399999999998</v>
      </c>
      <c r="S216" s="4">
        <f>R216*_xlfn.XLOOKUP(I216,Lookup_Lists!$A$2:$A$5,Lookup_Lists!$B$2:$B$5)-Q216-IF(T216="Yes",R216*0.2,0)</f>
        <v>7616.7340000000004</v>
      </c>
      <c r="T216" t="s">
        <v>32</v>
      </c>
      <c r="U216" s="6">
        <v>3.3</v>
      </c>
      <c r="V216" s="7">
        <f t="shared" si="7"/>
        <v>5</v>
      </c>
      <c r="W216">
        <f>IF(SalesDataTable[[#This Row],[Returned]]="Yes",1,0)</f>
        <v>0</v>
      </c>
    </row>
    <row r="217" spans="1:23">
      <c r="A217" t="s">
        <v>434</v>
      </c>
      <c r="B217" s="3">
        <v>45709</v>
      </c>
      <c r="C217" s="3">
        <v>45710</v>
      </c>
      <c r="D217" t="s">
        <v>216</v>
      </c>
      <c r="E217" t="s">
        <v>24</v>
      </c>
      <c r="F217" t="s">
        <v>25</v>
      </c>
      <c r="G217" t="s">
        <v>43</v>
      </c>
      <c r="H217" t="s">
        <v>44</v>
      </c>
      <c r="I217" t="s">
        <v>52</v>
      </c>
      <c r="J217" t="s">
        <v>105</v>
      </c>
      <c r="K217" t="s">
        <v>105</v>
      </c>
      <c r="L217" t="s">
        <v>46</v>
      </c>
      <c r="M217" t="s">
        <v>47</v>
      </c>
      <c r="N217">
        <v>3</v>
      </c>
      <c r="O217" s="4">
        <v>1328.49</v>
      </c>
      <c r="P217" s="5">
        <v>0</v>
      </c>
      <c r="Q217" s="4">
        <v>369.48</v>
      </c>
      <c r="R217" s="4">
        <f t="shared" si="6"/>
        <v>3985.4700000000003</v>
      </c>
      <c r="S217" s="4">
        <f>R217*_xlfn.XLOOKUP(I217,Lookup_Lists!$A$2:$A$5,Lookup_Lists!$B$2:$B$5)-Q217-IF(T217="Yes",R217*0.2,0)</f>
        <v>666.74220000000014</v>
      </c>
      <c r="T217" t="s">
        <v>32</v>
      </c>
      <c r="U217" s="6">
        <v>3.8</v>
      </c>
      <c r="V217" s="7">
        <f t="shared" si="7"/>
        <v>1</v>
      </c>
      <c r="W217">
        <f>IF(SalesDataTable[[#This Row],[Returned]]="Yes",1,0)</f>
        <v>0</v>
      </c>
    </row>
    <row r="218" spans="1:23">
      <c r="A218" t="s">
        <v>435</v>
      </c>
      <c r="B218" s="3">
        <v>46006</v>
      </c>
      <c r="C218" s="3">
        <v>46012</v>
      </c>
      <c r="D218" t="s">
        <v>66</v>
      </c>
      <c r="E218" t="s">
        <v>35</v>
      </c>
      <c r="F218" t="s">
        <v>25</v>
      </c>
      <c r="G218" t="s">
        <v>43</v>
      </c>
      <c r="H218" t="s">
        <v>63</v>
      </c>
      <c r="I218" t="s">
        <v>28</v>
      </c>
      <c r="J218" t="s">
        <v>111</v>
      </c>
      <c r="K218" t="s">
        <v>111</v>
      </c>
      <c r="L218" t="s">
        <v>60</v>
      </c>
      <c r="M218" t="s">
        <v>55</v>
      </c>
      <c r="N218">
        <v>1</v>
      </c>
      <c r="O218" s="4">
        <v>1350.26</v>
      </c>
      <c r="P218" s="5">
        <v>0</v>
      </c>
      <c r="Q218" s="4">
        <v>260.05</v>
      </c>
      <c r="R218" s="4">
        <f t="shared" si="6"/>
        <v>1350.26</v>
      </c>
      <c r="S218" s="4">
        <f>R218*_xlfn.XLOOKUP(I218,Lookup_Lists!$A$2:$A$5,Lookup_Lists!$B$2:$B$5)-Q218-IF(T218="Yes",R218*0.2,0)</f>
        <v>-17.003200000000021</v>
      </c>
      <c r="T218" t="s">
        <v>32</v>
      </c>
      <c r="U218" s="6">
        <v>4.2</v>
      </c>
      <c r="V218" s="7">
        <f t="shared" si="7"/>
        <v>6</v>
      </c>
      <c r="W218">
        <f>IF(SalesDataTable[[#This Row],[Returned]]="Yes",1,0)</f>
        <v>0</v>
      </c>
    </row>
    <row r="219" spans="1:23">
      <c r="A219" t="s">
        <v>436</v>
      </c>
      <c r="B219" s="3">
        <v>45774</v>
      </c>
      <c r="C219" s="3">
        <v>45776</v>
      </c>
      <c r="D219" t="s">
        <v>437</v>
      </c>
      <c r="E219" t="s">
        <v>81</v>
      </c>
      <c r="F219" t="s">
        <v>25</v>
      </c>
      <c r="G219" t="s">
        <v>36</v>
      </c>
      <c r="H219" t="s">
        <v>37</v>
      </c>
      <c r="I219" t="s">
        <v>28</v>
      </c>
      <c r="J219" t="s">
        <v>111</v>
      </c>
      <c r="K219" t="s">
        <v>111</v>
      </c>
      <c r="L219" t="s">
        <v>30</v>
      </c>
      <c r="M219" t="s">
        <v>89</v>
      </c>
      <c r="N219">
        <v>1</v>
      </c>
      <c r="O219" s="4">
        <v>1132.0999999999999</v>
      </c>
      <c r="P219" s="5">
        <v>0.15</v>
      </c>
      <c r="Q219" s="4">
        <v>519.32000000000005</v>
      </c>
      <c r="R219" s="4">
        <f t="shared" si="6"/>
        <v>962.28499999999985</v>
      </c>
      <c r="S219" s="4">
        <f>R219*_xlfn.XLOOKUP(I219,Lookup_Lists!$A$2:$A$5,Lookup_Lists!$B$2:$B$5)-Q219-IF(T219="Yes",R219*0.2,0)</f>
        <v>-346.10870000000011</v>
      </c>
      <c r="T219" t="s">
        <v>32</v>
      </c>
      <c r="U219" s="6">
        <v>4.2</v>
      </c>
      <c r="V219" s="7">
        <f t="shared" si="7"/>
        <v>2</v>
      </c>
      <c r="W219">
        <f>IF(SalesDataTable[[#This Row],[Returned]]="Yes",1,0)</f>
        <v>0</v>
      </c>
    </row>
    <row r="220" spans="1:23">
      <c r="A220" t="s">
        <v>438</v>
      </c>
      <c r="B220" s="3">
        <v>45849</v>
      </c>
      <c r="C220" s="3">
        <v>45856</v>
      </c>
      <c r="D220" t="s">
        <v>439</v>
      </c>
      <c r="E220" t="s">
        <v>70</v>
      </c>
      <c r="F220" t="s">
        <v>25</v>
      </c>
      <c r="G220" t="s">
        <v>26</v>
      </c>
      <c r="H220" t="s">
        <v>153</v>
      </c>
      <c r="I220" t="s">
        <v>28</v>
      </c>
      <c r="J220" t="s">
        <v>99</v>
      </c>
      <c r="K220" t="s">
        <v>99</v>
      </c>
      <c r="L220" t="s">
        <v>46</v>
      </c>
      <c r="M220" t="s">
        <v>31</v>
      </c>
      <c r="N220">
        <v>5</v>
      </c>
      <c r="O220" s="4">
        <v>3110.4</v>
      </c>
      <c r="P220" s="5">
        <v>0</v>
      </c>
      <c r="Q220" s="4">
        <v>788.05</v>
      </c>
      <c r="R220" s="4">
        <f t="shared" si="6"/>
        <v>15552</v>
      </c>
      <c r="S220" s="4">
        <f>R220*_xlfn.XLOOKUP(I220,Lookup_Lists!$A$2:$A$5,Lookup_Lists!$B$2:$B$5)-Q220-IF(T220="Yes",R220*0.2,0)</f>
        <v>2011.3099999999997</v>
      </c>
      <c r="T220" t="s">
        <v>32</v>
      </c>
      <c r="U220" s="6">
        <v>4.3</v>
      </c>
      <c r="V220" s="7">
        <f t="shared" si="7"/>
        <v>7</v>
      </c>
      <c r="W220">
        <f>IF(SalesDataTable[[#This Row],[Returned]]="Yes",1,0)</f>
        <v>0</v>
      </c>
    </row>
    <row r="221" spans="1:23">
      <c r="A221" t="s">
        <v>440</v>
      </c>
      <c r="B221" s="3">
        <v>45842</v>
      </c>
      <c r="C221" s="3">
        <v>45848</v>
      </c>
      <c r="D221" t="s">
        <v>357</v>
      </c>
      <c r="E221" t="s">
        <v>35</v>
      </c>
      <c r="F221" t="s">
        <v>25</v>
      </c>
      <c r="G221" t="s">
        <v>36</v>
      </c>
      <c r="H221" t="s">
        <v>138</v>
      </c>
      <c r="I221" t="s">
        <v>38</v>
      </c>
      <c r="J221" t="s">
        <v>39</v>
      </c>
      <c r="K221" t="s">
        <v>39</v>
      </c>
      <c r="L221" t="s">
        <v>30</v>
      </c>
      <c r="M221" t="s">
        <v>40</v>
      </c>
      <c r="N221">
        <v>2</v>
      </c>
      <c r="O221" s="4">
        <v>444.45</v>
      </c>
      <c r="P221" s="5">
        <v>0</v>
      </c>
      <c r="Q221" s="4">
        <v>589.51</v>
      </c>
      <c r="R221" s="4">
        <f t="shared" si="6"/>
        <v>888.9</v>
      </c>
      <c r="S221" s="4">
        <f>R221*_xlfn.XLOOKUP(I221,Lookup_Lists!$A$2:$A$5,Lookup_Lists!$B$2:$B$5)-Q221-IF(T221="Yes",R221*0.2,0)</f>
        <v>-305.06200000000001</v>
      </c>
      <c r="T221" t="s">
        <v>32</v>
      </c>
      <c r="U221" s="6">
        <v>4.7</v>
      </c>
      <c r="V221" s="7">
        <f t="shared" si="7"/>
        <v>6</v>
      </c>
      <c r="W221">
        <f>IF(SalesDataTable[[#This Row],[Returned]]="Yes",1,0)</f>
        <v>0</v>
      </c>
    </row>
    <row r="222" spans="1:23">
      <c r="A222" t="s">
        <v>441</v>
      </c>
      <c r="B222" s="3">
        <v>45837</v>
      </c>
      <c r="C222" s="3">
        <v>45840</v>
      </c>
      <c r="D222" t="s">
        <v>180</v>
      </c>
      <c r="E222" t="s">
        <v>24</v>
      </c>
      <c r="F222" t="s">
        <v>25</v>
      </c>
      <c r="G222" t="s">
        <v>43</v>
      </c>
      <c r="H222" t="s">
        <v>122</v>
      </c>
      <c r="I222" t="s">
        <v>28</v>
      </c>
      <c r="J222" t="s">
        <v>111</v>
      </c>
      <c r="K222" t="s">
        <v>111</v>
      </c>
      <c r="L222" t="s">
        <v>54</v>
      </c>
      <c r="M222" t="s">
        <v>31</v>
      </c>
      <c r="N222">
        <v>4</v>
      </c>
      <c r="O222" s="4">
        <v>1133.1500000000001</v>
      </c>
      <c r="P222" s="5">
        <v>0</v>
      </c>
      <c r="Q222" s="4">
        <v>276.3</v>
      </c>
      <c r="R222" s="4">
        <f t="shared" si="6"/>
        <v>4532.6000000000004</v>
      </c>
      <c r="S222" s="4">
        <f>R222*_xlfn.XLOOKUP(I222,Lookup_Lists!$A$2:$A$5,Lookup_Lists!$B$2:$B$5)-Q222-IF(T222="Yes",R222*0.2,0)</f>
        <v>539.56799999999998</v>
      </c>
      <c r="T222" t="s">
        <v>32</v>
      </c>
      <c r="U222" s="6">
        <v>4</v>
      </c>
      <c r="V222" s="7">
        <f t="shared" si="7"/>
        <v>3</v>
      </c>
      <c r="W222">
        <f>IF(SalesDataTable[[#This Row],[Returned]]="Yes",1,0)</f>
        <v>0</v>
      </c>
    </row>
    <row r="223" spans="1:23">
      <c r="A223" t="s">
        <v>442</v>
      </c>
      <c r="B223" s="3">
        <v>46007</v>
      </c>
      <c r="C223" s="3">
        <v>46008</v>
      </c>
      <c r="D223" t="s">
        <v>342</v>
      </c>
      <c r="E223" t="s">
        <v>81</v>
      </c>
      <c r="F223" t="s">
        <v>25</v>
      </c>
      <c r="G223" t="s">
        <v>26</v>
      </c>
      <c r="H223" t="s">
        <v>153</v>
      </c>
      <c r="I223" t="s">
        <v>28</v>
      </c>
      <c r="J223" t="s">
        <v>99</v>
      </c>
      <c r="K223" t="s">
        <v>99</v>
      </c>
      <c r="L223" t="s">
        <v>64</v>
      </c>
      <c r="M223" t="s">
        <v>55</v>
      </c>
      <c r="N223">
        <v>3</v>
      </c>
      <c r="O223" s="4">
        <v>3824.84</v>
      </c>
      <c r="P223" s="5">
        <v>0</v>
      </c>
      <c r="Q223" s="4">
        <v>762.54</v>
      </c>
      <c r="R223" s="4">
        <f t="shared" si="6"/>
        <v>11474.52</v>
      </c>
      <c r="S223" s="4">
        <f>R223*_xlfn.XLOOKUP(I223,Lookup_Lists!$A$2:$A$5,Lookup_Lists!$B$2:$B$5)-Q223-IF(T223="Yes",R223*0.2,0)</f>
        <v>1302.8735999999999</v>
      </c>
      <c r="T223" t="s">
        <v>32</v>
      </c>
      <c r="U223" s="6">
        <v>3.9</v>
      </c>
      <c r="V223" s="7">
        <f t="shared" si="7"/>
        <v>1</v>
      </c>
      <c r="W223">
        <f>IF(SalesDataTable[[#This Row],[Returned]]="Yes",1,0)</f>
        <v>0</v>
      </c>
    </row>
    <row r="224" spans="1:23">
      <c r="A224" t="s">
        <v>443</v>
      </c>
      <c r="B224" s="3">
        <v>45893</v>
      </c>
      <c r="C224" s="3">
        <v>45896</v>
      </c>
      <c r="D224" t="s">
        <v>444</v>
      </c>
      <c r="E224" t="s">
        <v>70</v>
      </c>
      <c r="F224" t="s">
        <v>25</v>
      </c>
      <c r="G224" t="s">
        <v>36</v>
      </c>
      <c r="H224" t="s">
        <v>126</v>
      </c>
      <c r="I224" t="s">
        <v>28</v>
      </c>
      <c r="J224" t="s">
        <v>123</v>
      </c>
      <c r="K224" t="s">
        <v>123</v>
      </c>
      <c r="L224" t="s">
        <v>46</v>
      </c>
      <c r="M224" t="s">
        <v>31</v>
      </c>
      <c r="N224">
        <v>3</v>
      </c>
      <c r="O224" s="4">
        <v>1745.18</v>
      </c>
      <c r="P224" s="5">
        <v>0</v>
      </c>
      <c r="Q224" s="4">
        <v>194.92</v>
      </c>
      <c r="R224" s="4">
        <f t="shared" si="6"/>
        <v>5235.54</v>
      </c>
      <c r="S224" s="4">
        <f>R224*_xlfn.XLOOKUP(I224,Lookup_Lists!$A$2:$A$5,Lookup_Lists!$B$2:$B$5)-Q224-IF(T224="Yes",R224*0.2,0)</f>
        <v>747.47720000000004</v>
      </c>
      <c r="T224" t="s">
        <v>32</v>
      </c>
      <c r="U224" s="6">
        <v>3.8</v>
      </c>
      <c r="V224" s="7">
        <f t="shared" si="7"/>
        <v>3</v>
      </c>
      <c r="W224">
        <f>IF(SalesDataTable[[#This Row],[Returned]]="Yes",1,0)</f>
        <v>0</v>
      </c>
    </row>
    <row r="225" spans="1:23">
      <c r="A225" t="s">
        <v>445</v>
      </c>
      <c r="B225" s="3">
        <v>45791</v>
      </c>
      <c r="C225" s="3">
        <v>45797</v>
      </c>
      <c r="D225" t="s">
        <v>140</v>
      </c>
      <c r="E225" t="s">
        <v>81</v>
      </c>
      <c r="F225" t="s">
        <v>25</v>
      </c>
      <c r="G225" t="s">
        <v>43</v>
      </c>
      <c r="H225" t="s">
        <v>63</v>
      </c>
      <c r="I225" t="s">
        <v>28</v>
      </c>
      <c r="J225" t="s">
        <v>75</v>
      </c>
      <c r="K225" t="s">
        <v>75</v>
      </c>
      <c r="L225" t="s">
        <v>64</v>
      </c>
      <c r="M225" t="s">
        <v>31</v>
      </c>
      <c r="N225">
        <v>2</v>
      </c>
      <c r="O225" s="4">
        <v>10734.63</v>
      </c>
      <c r="P225" s="5">
        <v>0</v>
      </c>
      <c r="Q225" s="4">
        <v>416.55</v>
      </c>
      <c r="R225" s="4">
        <f t="shared" si="6"/>
        <v>21469.26</v>
      </c>
      <c r="S225" s="4">
        <f>R225*_xlfn.XLOOKUP(I225,Lookup_Lists!$A$2:$A$5,Lookup_Lists!$B$2:$B$5)-Q225-IF(T225="Yes",R225*0.2,0)</f>
        <v>3447.9167999999995</v>
      </c>
      <c r="T225" t="s">
        <v>32</v>
      </c>
      <c r="U225" s="6">
        <v>3.6</v>
      </c>
      <c r="V225" s="7">
        <f t="shared" si="7"/>
        <v>6</v>
      </c>
      <c r="W225">
        <f>IF(SalesDataTable[[#This Row],[Returned]]="Yes",1,0)</f>
        <v>0</v>
      </c>
    </row>
    <row r="226" spans="1:23">
      <c r="A226" t="s">
        <v>446</v>
      </c>
      <c r="B226" s="3">
        <v>45809</v>
      </c>
      <c r="C226" s="3">
        <v>45812</v>
      </c>
      <c r="D226" t="s">
        <v>447</v>
      </c>
      <c r="E226" t="s">
        <v>35</v>
      </c>
      <c r="F226" t="s">
        <v>25</v>
      </c>
      <c r="G226" t="s">
        <v>50</v>
      </c>
      <c r="H226" t="s">
        <v>51</v>
      </c>
      <c r="I226" t="s">
        <v>58</v>
      </c>
      <c r="J226" t="s">
        <v>127</v>
      </c>
      <c r="K226" t="s">
        <v>127</v>
      </c>
      <c r="L226" t="s">
        <v>30</v>
      </c>
      <c r="M226" t="s">
        <v>47</v>
      </c>
      <c r="N226">
        <v>5</v>
      </c>
      <c r="O226" s="4">
        <v>19468.09</v>
      </c>
      <c r="P226" s="5">
        <v>0.05</v>
      </c>
      <c r="Q226" s="4">
        <v>2022</v>
      </c>
      <c r="R226" s="4">
        <f t="shared" si="6"/>
        <v>92473.427499999991</v>
      </c>
      <c r="S226" s="4">
        <f>R226*_xlfn.XLOOKUP(I226,Lookup_Lists!$A$2:$A$5,Lookup_Lists!$B$2:$B$5)-Q226-IF(T226="Yes",R226*0.2,0)</f>
        <v>20171.622599999995</v>
      </c>
      <c r="T226" t="s">
        <v>32</v>
      </c>
      <c r="U226" s="6">
        <v>4.5999999999999996</v>
      </c>
      <c r="V226" s="7">
        <f t="shared" si="7"/>
        <v>3</v>
      </c>
      <c r="W226">
        <f>IF(SalesDataTable[[#This Row],[Returned]]="Yes",1,0)</f>
        <v>0</v>
      </c>
    </row>
    <row r="227" spans="1:23">
      <c r="A227" t="s">
        <v>448</v>
      </c>
      <c r="B227" s="3">
        <v>45707</v>
      </c>
      <c r="C227" s="3">
        <v>45711</v>
      </c>
      <c r="D227" t="s">
        <v>422</v>
      </c>
      <c r="E227" t="s">
        <v>24</v>
      </c>
      <c r="F227" t="s">
        <v>25</v>
      </c>
      <c r="G227" t="s">
        <v>26</v>
      </c>
      <c r="H227" t="s">
        <v>82</v>
      </c>
      <c r="I227" t="s">
        <v>38</v>
      </c>
      <c r="J227" t="s">
        <v>108</v>
      </c>
      <c r="K227" t="s">
        <v>108</v>
      </c>
      <c r="L227" t="s">
        <v>46</v>
      </c>
      <c r="M227" t="s">
        <v>55</v>
      </c>
      <c r="N227">
        <v>2</v>
      </c>
      <c r="O227" s="4">
        <v>137.53</v>
      </c>
      <c r="P227" s="5">
        <v>0</v>
      </c>
      <c r="Q227" s="4">
        <v>417.9</v>
      </c>
      <c r="R227" s="4">
        <f t="shared" si="6"/>
        <v>275.06</v>
      </c>
      <c r="S227" s="4">
        <f>R227*_xlfn.XLOOKUP(I227,Lookup_Lists!$A$2:$A$5,Lookup_Lists!$B$2:$B$5)-Q227-IF(T227="Yes",R227*0.2,0)</f>
        <v>-329.88079999999997</v>
      </c>
      <c r="T227" t="s">
        <v>32</v>
      </c>
      <c r="U227" s="6">
        <v>4.2</v>
      </c>
      <c r="V227" s="7">
        <f t="shared" si="7"/>
        <v>4</v>
      </c>
      <c r="W227">
        <f>IF(SalesDataTable[[#This Row],[Returned]]="Yes",1,0)</f>
        <v>0</v>
      </c>
    </row>
    <row r="228" spans="1:23">
      <c r="A228" t="s">
        <v>449</v>
      </c>
      <c r="B228" s="3">
        <v>45718</v>
      </c>
      <c r="C228" s="3">
        <v>45722</v>
      </c>
      <c r="D228" t="s">
        <v>450</v>
      </c>
      <c r="E228" t="s">
        <v>24</v>
      </c>
      <c r="F228" t="s">
        <v>25</v>
      </c>
      <c r="G228" t="s">
        <v>50</v>
      </c>
      <c r="H228" t="s">
        <v>87</v>
      </c>
      <c r="I228" t="s">
        <v>52</v>
      </c>
      <c r="J228" t="s">
        <v>114</v>
      </c>
      <c r="K228" t="s">
        <v>114</v>
      </c>
      <c r="L228" t="s">
        <v>64</v>
      </c>
      <c r="M228" t="s">
        <v>47</v>
      </c>
      <c r="N228">
        <v>2</v>
      </c>
      <c r="O228" s="4">
        <v>9537.36</v>
      </c>
      <c r="P228" s="5">
        <v>0.15</v>
      </c>
      <c r="Q228" s="4">
        <v>452.06</v>
      </c>
      <c r="R228" s="4">
        <f t="shared" si="6"/>
        <v>16213.512000000001</v>
      </c>
      <c r="S228" s="4">
        <f>R228*_xlfn.XLOOKUP(I228,Lookup_Lists!$A$2:$A$5,Lookup_Lists!$B$2:$B$5)-Q228-IF(T228="Yes",R228*0.2,0)</f>
        <v>3763.4531200000006</v>
      </c>
      <c r="T228" t="s">
        <v>32</v>
      </c>
      <c r="U228" s="6">
        <v>3.6</v>
      </c>
      <c r="V228" s="7">
        <f t="shared" si="7"/>
        <v>4</v>
      </c>
      <c r="W228">
        <f>IF(SalesDataTable[[#This Row],[Returned]]="Yes",1,0)</f>
        <v>0</v>
      </c>
    </row>
    <row r="229" spans="1:23">
      <c r="A229" t="s">
        <v>451</v>
      </c>
      <c r="B229" s="3">
        <v>45892</v>
      </c>
      <c r="C229" s="3">
        <v>45894</v>
      </c>
      <c r="D229" t="s">
        <v>265</v>
      </c>
      <c r="E229" t="s">
        <v>24</v>
      </c>
      <c r="F229" t="s">
        <v>25</v>
      </c>
      <c r="G229" t="s">
        <v>26</v>
      </c>
      <c r="H229" t="s">
        <v>153</v>
      </c>
      <c r="I229" t="s">
        <v>58</v>
      </c>
      <c r="J229" t="s">
        <v>127</v>
      </c>
      <c r="K229" t="s">
        <v>127</v>
      </c>
      <c r="L229" t="s">
        <v>54</v>
      </c>
      <c r="M229" t="s">
        <v>89</v>
      </c>
      <c r="N229">
        <v>1</v>
      </c>
      <c r="O229" s="4">
        <v>17317.05</v>
      </c>
      <c r="P229" s="5">
        <v>0.1</v>
      </c>
      <c r="Q229" s="4">
        <v>435.86</v>
      </c>
      <c r="R229" s="4">
        <f t="shared" si="6"/>
        <v>15585.344999999999</v>
      </c>
      <c r="S229" s="4">
        <f>R229*_xlfn.XLOOKUP(I229,Lookup_Lists!$A$2:$A$5,Lookup_Lists!$B$2:$B$5)-Q229-IF(T229="Yes",R229*0.2,0)</f>
        <v>3304.6227999999996</v>
      </c>
      <c r="T229" t="s">
        <v>32</v>
      </c>
      <c r="U229" s="6">
        <v>5</v>
      </c>
      <c r="V229" s="7">
        <f t="shared" si="7"/>
        <v>2</v>
      </c>
      <c r="W229">
        <f>IF(SalesDataTable[[#This Row],[Returned]]="Yes",1,0)</f>
        <v>0</v>
      </c>
    </row>
    <row r="230" spans="1:23">
      <c r="A230" t="s">
        <v>452</v>
      </c>
      <c r="B230" s="3">
        <v>45908</v>
      </c>
      <c r="C230" s="3">
        <v>45915</v>
      </c>
      <c r="D230" t="s">
        <v>337</v>
      </c>
      <c r="E230" t="s">
        <v>24</v>
      </c>
      <c r="F230" t="s">
        <v>25</v>
      </c>
      <c r="G230" t="s">
        <v>26</v>
      </c>
      <c r="H230" t="s">
        <v>67</v>
      </c>
      <c r="I230" t="s">
        <v>38</v>
      </c>
      <c r="J230" t="s">
        <v>45</v>
      </c>
      <c r="K230" t="s">
        <v>45</v>
      </c>
      <c r="L230" t="s">
        <v>46</v>
      </c>
      <c r="M230" t="s">
        <v>47</v>
      </c>
      <c r="N230">
        <v>2</v>
      </c>
      <c r="O230" s="4">
        <v>231.74</v>
      </c>
      <c r="P230" s="5">
        <v>0</v>
      </c>
      <c r="Q230" s="4">
        <v>299.62</v>
      </c>
      <c r="R230" s="4">
        <f t="shared" si="6"/>
        <v>463.48</v>
      </c>
      <c r="S230" s="4">
        <f>R230*_xlfn.XLOOKUP(I230,Lookup_Lists!$A$2:$A$5,Lookup_Lists!$B$2:$B$5)-Q230-IF(T230="Yes",R230*0.2,0)</f>
        <v>-244.00240000000002</v>
      </c>
      <c r="T230" t="s">
        <v>119</v>
      </c>
      <c r="U230" s="6">
        <v>3.1</v>
      </c>
      <c r="V230" s="7">
        <f t="shared" si="7"/>
        <v>7</v>
      </c>
      <c r="W230">
        <f>IF(SalesDataTable[[#This Row],[Returned]]="Yes",1,0)</f>
        <v>1</v>
      </c>
    </row>
    <row r="231" spans="1:23">
      <c r="A231" t="s">
        <v>453</v>
      </c>
      <c r="B231" s="3">
        <v>45755</v>
      </c>
      <c r="C231" s="3">
        <v>45756</v>
      </c>
      <c r="D231" t="s">
        <v>199</v>
      </c>
      <c r="E231" t="s">
        <v>35</v>
      </c>
      <c r="F231" t="s">
        <v>25</v>
      </c>
      <c r="G231" t="s">
        <v>26</v>
      </c>
      <c r="H231" t="s">
        <v>27</v>
      </c>
      <c r="I231" t="s">
        <v>38</v>
      </c>
      <c r="J231" t="s">
        <v>72</v>
      </c>
      <c r="K231" t="s">
        <v>72</v>
      </c>
      <c r="L231" t="s">
        <v>54</v>
      </c>
      <c r="M231" t="s">
        <v>89</v>
      </c>
      <c r="N231">
        <v>2</v>
      </c>
      <c r="O231" s="4">
        <v>190.19</v>
      </c>
      <c r="P231" s="5">
        <v>0</v>
      </c>
      <c r="Q231" s="4">
        <v>555.29999999999995</v>
      </c>
      <c r="R231" s="4">
        <f t="shared" si="6"/>
        <v>380.38</v>
      </c>
      <c r="S231" s="4">
        <f>R231*_xlfn.XLOOKUP(I231,Lookup_Lists!$A$2:$A$5,Lookup_Lists!$B$2:$B$5)-Q231-IF(T231="Yes",R231*0.2,0)</f>
        <v>-433.57839999999999</v>
      </c>
      <c r="T231" t="s">
        <v>32</v>
      </c>
      <c r="U231" s="6">
        <v>5</v>
      </c>
      <c r="V231" s="7">
        <f t="shared" si="7"/>
        <v>1</v>
      </c>
      <c r="W231">
        <f>IF(SalesDataTable[[#This Row],[Returned]]="Yes",1,0)</f>
        <v>0</v>
      </c>
    </row>
    <row r="232" spans="1:23">
      <c r="A232" t="s">
        <v>454</v>
      </c>
      <c r="B232" s="3">
        <v>45806</v>
      </c>
      <c r="C232" s="3">
        <v>45810</v>
      </c>
      <c r="D232" t="s">
        <v>212</v>
      </c>
      <c r="E232" t="s">
        <v>70</v>
      </c>
      <c r="F232" t="s">
        <v>25</v>
      </c>
      <c r="G232" t="s">
        <v>43</v>
      </c>
      <c r="H232" t="s">
        <v>102</v>
      </c>
      <c r="I232" t="s">
        <v>52</v>
      </c>
      <c r="J232" t="s">
        <v>94</v>
      </c>
      <c r="K232" t="s">
        <v>94</v>
      </c>
      <c r="L232" t="s">
        <v>54</v>
      </c>
      <c r="M232" t="s">
        <v>47</v>
      </c>
      <c r="N232">
        <v>2</v>
      </c>
      <c r="O232" s="4">
        <v>4495.33</v>
      </c>
      <c r="P232" s="5">
        <v>0.2</v>
      </c>
      <c r="Q232" s="4">
        <v>738.24</v>
      </c>
      <c r="R232" s="4">
        <f t="shared" si="6"/>
        <v>7192.5280000000002</v>
      </c>
      <c r="S232" s="4">
        <f>R232*_xlfn.XLOOKUP(I232,Lookup_Lists!$A$2:$A$5,Lookup_Lists!$B$2:$B$5)-Q232-IF(T232="Yes",R232*0.2,0)</f>
        <v>1131.8172800000002</v>
      </c>
      <c r="T232" t="s">
        <v>32</v>
      </c>
      <c r="U232" s="6">
        <v>4.4000000000000004</v>
      </c>
      <c r="V232" s="7">
        <f t="shared" si="7"/>
        <v>4</v>
      </c>
      <c r="W232">
        <f>IF(SalesDataTable[[#This Row],[Returned]]="Yes",1,0)</f>
        <v>0</v>
      </c>
    </row>
    <row r="233" spans="1:23">
      <c r="A233" t="s">
        <v>455</v>
      </c>
      <c r="B233" s="3">
        <v>45725</v>
      </c>
      <c r="C233" s="3">
        <v>45727</v>
      </c>
      <c r="D233" t="s">
        <v>335</v>
      </c>
      <c r="E233" t="s">
        <v>35</v>
      </c>
      <c r="F233" t="s">
        <v>25</v>
      </c>
      <c r="G233" t="s">
        <v>26</v>
      </c>
      <c r="H233" t="s">
        <v>153</v>
      </c>
      <c r="I233" t="s">
        <v>58</v>
      </c>
      <c r="J233" t="s">
        <v>92</v>
      </c>
      <c r="K233" t="s">
        <v>92</v>
      </c>
      <c r="L233" t="s">
        <v>46</v>
      </c>
      <c r="M233" t="s">
        <v>55</v>
      </c>
      <c r="N233">
        <v>4</v>
      </c>
      <c r="O233" s="4">
        <v>9068.99</v>
      </c>
      <c r="P233" s="5">
        <v>0.05</v>
      </c>
      <c r="Q233" s="4">
        <v>651.48</v>
      </c>
      <c r="R233" s="4">
        <f t="shared" si="6"/>
        <v>34462.161999999997</v>
      </c>
      <c r="S233" s="4">
        <f>R233*_xlfn.XLOOKUP(I233,Lookup_Lists!$A$2:$A$5,Lookup_Lists!$B$2:$B$5)-Q233-IF(T233="Yes",R233*0.2,0)</f>
        <v>7619.4388799999997</v>
      </c>
      <c r="T233" t="s">
        <v>32</v>
      </c>
      <c r="U233" s="6">
        <v>5</v>
      </c>
      <c r="V233" s="7">
        <f t="shared" si="7"/>
        <v>2</v>
      </c>
      <c r="W233">
        <f>IF(SalesDataTable[[#This Row],[Returned]]="Yes",1,0)</f>
        <v>0</v>
      </c>
    </row>
    <row r="234" spans="1:23">
      <c r="A234" t="s">
        <v>456</v>
      </c>
      <c r="B234" s="3">
        <v>45668</v>
      </c>
      <c r="C234" s="3">
        <v>45669</v>
      </c>
      <c r="D234" t="s">
        <v>457</v>
      </c>
      <c r="E234" t="s">
        <v>35</v>
      </c>
      <c r="F234" t="s">
        <v>25</v>
      </c>
      <c r="G234" t="s">
        <v>36</v>
      </c>
      <c r="H234" t="s">
        <v>138</v>
      </c>
      <c r="I234" t="s">
        <v>28</v>
      </c>
      <c r="J234" t="s">
        <v>123</v>
      </c>
      <c r="K234" t="s">
        <v>123</v>
      </c>
      <c r="L234" t="s">
        <v>46</v>
      </c>
      <c r="M234" t="s">
        <v>40</v>
      </c>
      <c r="N234">
        <v>1</v>
      </c>
      <c r="O234" s="4">
        <v>1954.3</v>
      </c>
      <c r="P234" s="5">
        <v>0</v>
      </c>
      <c r="Q234" s="4">
        <v>349.21</v>
      </c>
      <c r="R234" s="4">
        <f t="shared" si="6"/>
        <v>1954.3</v>
      </c>
      <c r="S234" s="4">
        <f>R234*_xlfn.XLOOKUP(I234,Lookup_Lists!$A$2:$A$5,Lookup_Lists!$B$2:$B$5)-Q234-IF(T234="Yes",R234*0.2,0)</f>
        <v>2.5640000000000214</v>
      </c>
      <c r="T234" t="s">
        <v>32</v>
      </c>
      <c r="U234" s="6">
        <v>3.7</v>
      </c>
      <c r="V234" s="7">
        <f t="shared" si="7"/>
        <v>1</v>
      </c>
      <c r="W234">
        <f>IF(SalesDataTable[[#This Row],[Returned]]="Yes",1,0)</f>
        <v>0</v>
      </c>
    </row>
    <row r="235" spans="1:23">
      <c r="A235" t="s">
        <v>458</v>
      </c>
      <c r="B235" s="3">
        <v>46016</v>
      </c>
      <c r="C235" s="3">
        <v>46018</v>
      </c>
      <c r="D235" t="s">
        <v>447</v>
      </c>
      <c r="E235" t="s">
        <v>24</v>
      </c>
      <c r="F235" t="s">
        <v>25</v>
      </c>
      <c r="G235" t="s">
        <v>50</v>
      </c>
      <c r="H235" t="s">
        <v>78</v>
      </c>
      <c r="I235" t="s">
        <v>28</v>
      </c>
      <c r="J235" t="s">
        <v>29</v>
      </c>
      <c r="K235" t="s">
        <v>29</v>
      </c>
      <c r="L235" t="s">
        <v>46</v>
      </c>
      <c r="M235" t="s">
        <v>31</v>
      </c>
      <c r="N235">
        <v>1</v>
      </c>
      <c r="O235" s="4">
        <v>49862.71</v>
      </c>
      <c r="P235" s="5">
        <v>0.05</v>
      </c>
      <c r="Q235" s="4">
        <v>942.89</v>
      </c>
      <c r="R235" s="4">
        <f t="shared" si="6"/>
        <v>47369.574499999995</v>
      </c>
      <c r="S235" s="4">
        <f>R235*_xlfn.XLOOKUP(I235,Lookup_Lists!$A$2:$A$5,Lookup_Lists!$B$2:$B$5)-Q235-IF(T235="Yes",R235*0.2,0)</f>
        <v>7583.6334099999976</v>
      </c>
      <c r="T235" t="s">
        <v>32</v>
      </c>
      <c r="U235" s="6">
        <v>4.3</v>
      </c>
      <c r="V235" s="7">
        <f t="shared" si="7"/>
        <v>2</v>
      </c>
      <c r="W235">
        <f>IF(SalesDataTable[[#This Row],[Returned]]="Yes",1,0)</f>
        <v>0</v>
      </c>
    </row>
    <row r="236" spans="1:23">
      <c r="A236" t="s">
        <v>459</v>
      </c>
      <c r="B236" s="3">
        <v>45809</v>
      </c>
      <c r="C236" s="3">
        <v>45811</v>
      </c>
      <c r="D236" t="s">
        <v>460</v>
      </c>
      <c r="E236" t="s">
        <v>70</v>
      </c>
      <c r="F236" t="s">
        <v>25</v>
      </c>
      <c r="G236" t="s">
        <v>26</v>
      </c>
      <c r="H236" t="s">
        <v>67</v>
      </c>
      <c r="I236" t="s">
        <v>58</v>
      </c>
      <c r="J236" t="s">
        <v>92</v>
      </c>
      <c r="K236" t="s">
        <v>92</v>
      </c>
      <c r="L236" t="s">
        <v>54</v>
      </c>
      <c r="M236" t="s">
        <v>89</v>
      </c>
      <c r="N236">
        <v>5</v>
      </c>
      <c r="O236" s="4">
        <v>9609.84</v>
      </c>
      <c r="P236" s="5">
        <v>0.1</v>
      </c>
      <c r="Q236" s="4">
        <v>885.75</v>
      </c>
      <c r="R236" s="4">
        <f t="shared" si="6"/>
        <v>43244.28</v>
      </c>
      <c r="S236" s="4">
        <f>R236*_xlfn.XLOOKUP(I236,Lookup_Lists!$A$2:$A$5,Lookup_Lists!$B$2:$B$5)-Q236-IF(T236="Yes",R236*0.2,0)</f>
        <v>9492.877199999999</v>
      </c>
      <c r="T236" t="s">
        <v>32</v>
      </c>
      <c r="U236" s="6">
        <v>3.6</v>
      </c>
      <c r="V236" s="7">
        <f t="shared" si="7"/>
        <v>2</v>
      </c>
      <c r="W236">
        <f>IF(SalesDataTable[[#This Row],[Returned]]="Yes",1,0)</f>
        <v>0</v>
      </c>
    </row>
    <row r="237" spans="1:23">
      <c r="A237" t="s">
        <v>461</v>
      </c>
      <c r="B237" s="3">
        <v>45709</v>
      </c>
      <c r="C237" s="3">
        <v>45712</v>
      </c>
      <c r="D237" t="s">
        <v>121</v>
      </c>
      <c r="E237" t="s">
        <v>35</v>
      </c>
      <c r="F237" t="s">
        <v>25</v>
      </c>
      <c r="G237" t="s">
        <v>43</v>
      </c>
      <c r="H237" t="s">
        <v>44</v>
      </c>
      <c r="I237" t="s">
        <v>58</v>
      </c>
      <c r="J237" t="s">
        <v>92</v>
      </c>
      <c r="K237" t="s">
        <v>92</v>
      </c>
      <c r="L237" t="s">
        <v>64</v>
      </c>
      <c r="M237" t="s">
        <v>89</v>
      </c>
      <c r="N237">
        <v>5</v>
      </c>
      <c r="O237" s="4">
        <v>8398.5499999999993</v>
      </c>
      <c r="P237" s="5">
        <v>0.1</v>
      </c>
      <c r="Q237" s="4">
        <v>952.71</v>
      </c>
      <c r="R237" s="4">
        <f t="shared" si="6"/>
        <v>37793.474999999999</v>
      </c>
      <c r="S237" s="4">
        <f>R237*_xlfn.XLOOKUP(I237,Lookup_Lists!$A$2:$A$5,Lookup_Lists!$B$2:$B$5)-Q237-IF(T237="Yes",R237*0.2,0)</f>
        <v>8117.7239999999993</v>
      </c>
      <c r="T237" t="s">
        <v>32</v>
      </c>
      <c r="U237" s="6">
        <v>4.3</v>
      </c>
      <c r="V237" s="7">
        <f t="shared" si="7"/>
        <v>3</v>
      </c>
      <c r="W237">
        <f>IF(SalesDataTable[[#This Row],[Returned]]="Yes",1,0)</f>
        <v>0</v>
      </c>
    </row>
    <row r="238" spans="1:23">
      <c r="A238" t="s">
        <v>462</v>
      </c>
      <c r="B238" s="3">
        <v>45681</v>
      </c>
      <c r="C238" s="3">
        <v>45682</v>
      </c>
      <c r="D238" t="s">
        <v>276</v>
      </c>
      <c r="E238" t="s">
        <v>70</v>
      </c>
      <c r="F238" t="s">
        <v>25</v>
      </c>
      <c r="G238" t="s">
        <v>26</v>
      </c>
      <c r="H238" t="s">
        <v>82</v>
      </c>
      <c r="I238" t="s">
        <v>58</v>
      </c>
      <c r="J238" t="s">
        <v>88</v>
      </c>
      <c r="K238" t="s">
        <v>88</v>
      </c>
      <c r="L238" t="s">
        <v>60</v>
      </c>
      <c r="M238" t="s">
        <v>55</v>
      </c>
      <c r="N238">
        <v>5</v>
      </c>
      <c r="O238" s="4">
        <v>6536.77</v>
      </c>
      <c r="P238" s="5">
        <v>0.15</v>
      </c>
      <c r="Q238" s="4">
        <v>674.49</v>
      </c>
      <c r="R238" s="4">
        <f t="shared" si="6"/>
        <v>27781.272500000003</v>
      </c>
      <c r="S238" s="4">
        <f>R238*_xlfn.XLOOKUP(I238,Lookup_Lists!$A$2:$A$5,Lookup_Lists!$B$2:$B$5)-Q238-IF(T238="Yes",R238*0.2,0)</f>
        <v>5993.0154000000002</v>
      </c>
      <c r="T238" t="s">
        <v>32</v>
      </c>
      <c r="U238" s="6">
        <v>4.7</v>
      </c>
      <c r="V238" s="7">
        <f t="shared" si="7"/>
        <v>1</v>
      </c>
      <c r="W238">
        <f>IF(SalesDataTable[[#This Row],[Returned]]="Yes",1,0)</f>
        <v>0</v>
      </c>
    </row>
    <row r="239" spans="1:23">
      <c r="A239" t="s">
        <v>463</v>
      </c>
      <c r="B239" s="3">
        <v>45855</v>
      </c>
      <c r="C239" s="3">
        <v>45861</v>
      </c>
      <c r="D239" t="s">
        <v>310</v>
      </c>
      <c r="E239" t="s">
        <v>24</v>
      </c>
      <c r="F239" t="s">
        <v>25</v>
      </c>
      <c r="G239" t="s">
        <v>26</v>
      </c>
      <c r="H239" t="s">
        <v>153</v>
      </c>
      <c r="I239" t="s">
        <v>28</v>
      </c>
      <c r="J239" t="s">
        <v>29</v>
      </c>
      <c r="K239" t="s">
        <v>29</v>
      </c>
      <c r="L239" t="s">
        <v>60</v>
      </c>
      <c r="M239" t="s">
        <v>40</v>
      </c>
      <c r="N239">
        <v>1</v>
      </c>
      <c r="O239" s="4">
        <v>59975.14</v>
      </c>
      <c r="P239" s="5">
        <v>0.05</v>
      </c>
      <c r="Q239" s="4">
        <v>1303.92</v>
      </c>
      <c r="R239" s="4">
        <f t="shared" si="6"/>
        <v>56976.382999999994</v>
      </c>
      <c r="S239" s="4">
        <f>R239*_xlfn.XLOOKUP(I239,Lookup_Lists!$A$2:$A$5,Lookup_Lists!$B$2:$B$5)-Q239-IF(T239="Yes",R239*0.2,0)</f>
        <v>8951.8289399999994</v>
      </c>
      <c r="T239" t="s">
        <v>32</v>
      </c>
      <c r="U239" s="6">
        <v>4.2</v>
      </c>
      <c r="V239" s="7">
        <f t="shared" si="7"/>
        <v>6</v>
      </c>
      <c r="W239">
        <f>IF(SalesDataTable[[#This Row],[Returned]]="Yes",1,0)</f>
        <v>0</v>
      </c>
    </row>
    <row r="240" spans="1:23">
      <c r="A240" t="s">
        <v>464</v>
      </c>
      <c r="B240" s="3">
        <v>45970</v>
      </c>
      <c r="C240" s="3">
        <v>45974</v>
      </c>
      <c r="D240" t="s">
        <v>465</v>
      </c>
      <c r="E240" t="s">
        <v>35</v>
      </c>
      <c r="F240" t="s">
        <v>25</v>
      </c>
      <c r="G240" t="s">
        <v>50</v>
      </c>
      <c r="H240" t="s">
        <v>51</v>
      </c>
      <c r="I240" t="s">
        <v>58</v>
      </c>
      <c r="J240" t="s">
        <v>88</v>
      </c>
      <c r="K240" t="s">
        <v>88</v>
      </c>
      <c r="L240" t="s">
        <v>54</v>
      </c>
      <c r="M240" t="s">
        <v>47</v>
      </c>
      <c r="N240">
        <v>2</v>
      </c>
      <c r="O240" s="4">
        <v>6472.81</v>
      </c>
      <c r="P240" s="5">
        <v>0.1</v>
      </c>
      <c r="Q240" s="4">
        <v>281.23</v>
      </c>
      <c r="R240" s="4">
        <f t="shared" si="6"/>
        <v>11651.058000000001</v>
      </c>
      <c r="S240" s="4">
        <f>R240*_xlfn.XLOOKUP(I240,Lookup_Lists!$A$2:$A$5,Lookup_Lists!$B$2:$B$5)-Q240-IF(T240="Yes",R240*0.2,0)</f>
        <v>2515.0239200000001</v>
      </c>
      <c r="T240" t="s">
        <v>32</v>
      </c>
      <c r="U240" s="6">
        <v>3.6</v>
      </c>
      <c r="V240" s="7">
        <f t="shared" si="7"/>
        <v>4</v>
      </c>
      <c r="W240">
        <f>IF(SalesDataTable[[#This Row],[Returned]]="Yes",1,0)</f>
        <v>0</v>
      </c>
    </row>
    <row r="241" spans="1:23">
      <c r="A241" t="s">
        <v>466</v>
      </c>
      <c r="B241" s="3">
        <v>45947</v>
      </c>
      <c r="C241" s="3">
        <v>45949</v>
      </c>
      <c r="D241" t="s">
        <v>150</v>
      </c>
      <c r="E241" t="s">
        <v>24</v>
      </c>
      <c r="F241" t="s">
        <v>25</v>
      </c>
      <c r="G241" t="s">
        <v>50</v>
      </c>
      <c r="H241" t="s">
        <v>87</v>
      </c>
      <c r="I241" t="s">
        <v>38</v>
      </c>
      <c r="J241" t="s">
        <v>108</v>
      </c>
      <c r="K241" t="s">
        <v>108</v>
      </c>
      <c r="L241" t="s">
        <v>46</v>
      </c>
      <c r="M241" t="s">
        <v>47</v>
      </c>
      <c r="N241">
        <v>1</v>
      </c>
      <c r="O241" s="4">
        <v>135.35</v>
      </c>
      <c r="P241" s="5">
        <v>0.2</v>
      </c>
      <c r="Q241" s="4">
        <v>431.39</v>
      </c>
      <c r="R241" s="4">
        <f t="shared" si="6"/>
        <v>108.28</v>
      </c>
      <c r="S241" s="4">
        <f>R241*_xlfn.XLOOKUP(I241,Lookup_Lists!$A$2:$A$5,Lookup_Lists!$B$2:$B$5)-Q241-IF(T241="Yes",R241*0.2,0)</f>
        <v>-418.39639999999997</v>
      </c>
      <c r="T241" t="s">
        <v>119</v>
      </c>
      <c r="U241" s="6">
        <v>3.4</v>
      </c>
      <c r="V241" s="7">
        <f t="shared" si="7"/>
        <v>2</v>
      </c>
      <c r="W241">
        <f>IF(SalesDataTable[[#This Row],[Returned]]="Yes",1,0)</f>
        <v>1</v>
      </c>
    </row>
    <row r="242" spans="1:23">
      <c r="A242" t="s">
        <v>467</v>
      </c>
      <c r="B242" s="3">
        <v>45738</v>
      </c>
      <c r="C242" s="3">
        <v>45743</v>
      </c>
      <c r="D242" t="s">
        <v>173</v>
      </c>
      <c r="E242" t="s">
        <v>24</v>
      </c>
      <c r="F242" t="s">
        <v>25</v>
      </c>
      <c r="G242" t="s">
        <v>26</v>
      </c>
      <c r="H242" t="s">
        <v>153</v>
      </c>
      <c r="I242" t="s">
        <v>38</v>
      </c>
      <c r="J242" t="s">
        <v>72</v>
      </c>
      <c r="K242" t="s">
        <v>72</v>
      </c>
      <c r="L242" t="s">
        <v>54</v>
      </c>
      <c r="M242" t="s">
        <v>55</v>
      </c>
      <c r="N242">
        <v>1</v>
      </c>
      <c r="O242" s="4">
        <v>170.43</v>
      </c>
      <c r="P242" s="5">
        <v>0.1</v>
      </c>
      <c r="Q242" s="4">
        <v>312.42</v>
      </c>
      <c r="R242" s="4">
        <f t="shared" si="6"/>
        <v>153.387</v>
      </c>
      <c r="S242" s="4">
        <f>R242*_xlfn.XLOOKUP(I242,Lookup_Lists!$A$2:$A$5,Lookup_Lists!$B$2:$B$5)-Q242-IF(T242="Yes",R242*0.2,0)</f>
        <v>-263.33616000000001</v>
      </c>
      <c r="T242" t="s">
        <v>32</v>
      </c>
      <c r="U242" s="6">
        <v>3.6</v>
      </c>
      <c r="V242" s="7">
        <f t="shared" si="7"/>
        <v>5</v>
      </c>
      <c r="W242">
        <f>IF(SalesDataTable[[#This Row],[Returned]]="Yes",1,0)</f>
        <v>0</v>
      </c>
    </row>
    <row r="243" spans="1:23">
      <c r="A243" t="s">
        <v>468</v>
      </c>
      <c r="B243" s="3">
        <v>45887</v>
      </c>
      <c r="C243" s="3">
        <v>45888</v>
      </c>
      <c r="D243" t="s">
        <v>362</v>
      </c>
      <c r="E243" t="s">
        <v>35</v>
      </c>
      <c r="F243" t="s">
        <v>25</v>
      </c>
      <c r="G243" t="s">
        <v>50</v>
      </c>
      <c r="H243" t="s">
        <v>87</v>
      </c>
      <c r="I243" t="s">
        <v>38</v>
      </c>
      <c r="J243" t="s">
        <v>39</v>
      </c>
      <c r="K243" t="s">
        <v>39</v>
      </c>
      <c r="L243" t="s">
        <v>54</v>
      </c>
      <c r="M243" t="s">
        <v>47</v>
      </c>
      <c r="N243">
        <v>1</v>
      </c>
      <c r="O243" s="4">
        <v>438.79</v>
      </c>
      <c r="P243" s="5">
        <v>0.15</v>
      </c>
      <c r="Q243" s="4">
        <v>537.9</v>
      </c>
      <c r="R243" s="4">
        <f t="shared" si="6"/>
        <v>372.97149999999999</v>
      </c>
      <c r="S243" s="4">
        <f>R243*_xlfn.XLOOKUP(I243,Lookup_Lists!$A$2:$A$5,Lookup_Lists!$B$2:$B$5)-Q243-IF(T243="Yes",R243*0.2,0)</f>
        <v>-418.54911999999996</v>
      </c>
      <c r="T243" t="s">
        <v>32</v>
      </c>
      <c r="U243" s="6">
        <v>4.5999999999999996</v>
      </c>
      <c r="V243" s="7">
        <f t="shared" si="7"/>
        <v>1</v>
      </c>
      <c r="W243">
        <f>IF(SalesDataTable[[#This Row],[Returned]]="Yes",1,0)</f>
        <v>0</v>
      </c>
    </row>
    <row r="244" spans="1:23">
      <c r="A244" t="s">
        <v>469</v>
      </c>
      <c r="B244" s="3">
        <v>45984</v>
      </c>
      <c r="C244" s="3">
        <v>45987</v>
      </c>
      <c r="D244" t="s">
        <v>470</v>
      </c>
      <c r="E244" t="s">
        <v>70</v>
      </c>
      <c r="F244" t="s">
        <v>25</v>
      </c>
      <c r="G244" t="s">
        <v>36</v>
      </c>
      <c r="H244" t="s">
        <v>37</v>
      </c>
      <c r="I244" t="s">
        <v>58</v>
      </c>
      <c r="J244" t="s">
        <v>92</v>
      </c>
      <c r="K244" t="s">
        <v>92</v>
      </c>
      <c r="L244" t="s">
        <v>64</v>
      </c>
      <c r="M244" t="s">
        <v>47</v>
      </c>
      <c r="N244">
        <v>2</v>
      </c>
      <c r="O244" s="4">
        <v>9436.91</v>
      </c>
      <c r="P244" s="5">
        <v>0.05</v>
      </c>
      <c r="Q244" s="4">
        <v>771.6</v>
      </c>
      <c r="R244" s="4">
        <f t="shared" si="6"/>
        <v>17930.128999999997</v>
      </c>
      <c r="S244" s="4">
        <f>R244*_xlfn.XLOOKUP(I244,Lookup_Lists!$A$2:$A$5,Lookup_Lists!$B$2:$B$5)-Q244-IF(T244="Yes",R244*0.2,0)</f>
        <v>3531.630959999999</v>
      </c>
      <c r="T244" t="s">
        <v>32</v>
      </c>
      <c r="U244" s="6">
        <v>4.2</v>
      </c>
      <c r="V244" s="7">
        <f t="shared" si="7"/>
        <v>3</v>
      </c>
      <c r="W244">
        <f>IF(SalesDataTable[[#This Row],[Returned]]="Yes",1,0)</f>
        <v>0</v>
      </c>
    </row>
    <row r="245" spans="1:23">
      <c r="A245" t="s">
        <v>471</v>
      </c>
      <c r="B245" s="3">
        <v>45995</v>
      </c>
      <c r="C245" s="3">
        <v>45997</v>
      </c>
      <c r="D245" t="s">
        <v>110</v>
      </c>
      <c r="E245" t="s">
        <v>35</v>
      </c>
      <c r="F245" t="s">
        <v>25</v>
      </c>
      <c r="G245" t="s">
        <v>43</v>
      </c>
      <c r="H245" t="s">
        <v>44</v>
      </c>
      <c r="I245" t="s">
        <v>38</v>
      </c>
      <c r="J245" t="s">
        <v>39</v>
      </c>
      <c r="K245" t="s">
        <v>39</v>
      </c>
      <c r="L245" t="s">
        <v>64</v>
      </c>
      <c r="M245" t="s">
        <v>47</v>
      </c>
      <c r="N245">
        <v>1</v>
      </c>
      <c r="O245" s="4">
        <v>459.92</v>
      </c>
      <c r="P245" s="5">
        <v>0.1</v>
      </c>
      <c r="Q245" s="4">
        <v>147.87</v>
      </c>
      <c r="R245" s="4">
        <f t="shared" si="6"/>
        <v>413.928</v>
      </c>
      <c r="S245" s="4">
        <f>R245*_xlfn.XLOOKUP(I245,Lookup_Lists!$A$2:$A$5,Lookup_Lists!$B$2:$B$5)-Q245-IF(T245="Yes",R245*0.2,0)</f>
        <v>-15.413039999999995</v>
      </c>
      <c r="T245" t="s">
        <v>32</v>
      </c>
      <c r="U245" s="6">
        <v>4.4000000000000004</v>
      </c>
      <c r="V245" s="7">
        <f t="shared" si="7"/>
        <v>2</v>
      </c>
      <c r="W245">
        <f>IF(SalesDataTable[[#This Row],[Returned]]="Yes",1,0)</f>
        <v>0</v>
      </c>
    </row>
    <row r="246" spans="1:23">
      <c r="A246" t="s">
        <v>472</v>
      </c>
      <c r="B246" s="3">
        <v>45754</v>
      </c>
      <c r="C246" s="3">
        <v>45755</v>
      </c>
      <c r="D246" t="s">
        <v>473</v>
      </c>
      <c r="E246" t="s">
        <v>35</v>
      </c>
      <c r="F246" t="s">
        <v>25</v>
      </c>
      <c r="G246" t="s">
        <v>26</v>
      </c>
      <c r="H246" t="s">
        <v>82</v>
      </c>
      <c r="I246" t="s">
        <v>28</v>
      </c>
      <c r="J246" t="s">
        <v>111</v>
      </c>
      <c r="K246" t="s">
        <v>111</v>
      </c>
      <c r="L246" t="s">
        <v>54</v>
      </c>
      <c r="M246" t="s">
        <v>31</v>
      </c>
      <c r="N246">
        <v>1</v>
      </c>
      <c r="O246" s="4">
        <v>1377.03</v>
      </c>
      <c r="P246" s="5">
        <v>0.05</v>
      </c>
      <c r="Q246" s="4">
        <v>436.57</v>
      </c>
      <c r="R246" s="4">
        <f t="shared" si="6"/>
        <v>1308.1785</v>
      </c>
      <c r="S246" s="4">
        <f>R246*_xlfn.XLOOKUP(I246,Lookup_Lists!$A$2:$A$5,Lookup_Lists!$B$2:$B$5)-Q246-IF(T246="Yes",R246*0.2,0)</f>
        <v>-201.09787</v>
      </c>
      <c r="T246" t="s">
        <v>32</v>
      </c>
      <c r="U246" s="6">
        <v>4.4000000000000004</v>
      </c>
      <c r="V246" s="7">
        <f t="shared" si="7"/>
        <v>1</v>
      </c>
      <c r="W246">
        <f>IF(SalesDataTable[[#This Row],[Returned]]="Yes",1,0)</f>
        <v>0</v>
      </c>
    </row>
    <row r="247" spans="1:23">
      <c r="A247" t="s">
        <v>474</v>
      </c>
      <c r="B247" s="3">
        <v>45682</v>
      </c>
      <c r="C247" s="3">
        <v>45687</v>
      </c>
      <c r="D247" t="s">
        <v>113</v>
      </c>
      <c r="E247" t="s">
        <v>24</v>
      </c>
      <c r="F247" t="s">
        <v>25</v>
      </c>
      <c r="G247" t="s">
        <v>36</v>
      </c>
      <c r="H247" t="s">
        <v>145</v>
      </c>
      <c r="I247" t="s">
        <v>38</v>
      </c>
      <c r="J247" t="s">
        <v>108</v>
      </c>
      <c r="K247" t="s">
        <v>108</v>
      </c>
      <c r="L247" t="s">
        <v>30</v>
      </c>
      <c r="M247" t="s">
        <v>40</v>
      </c>
      <c r="N247">
        <v>1</v>
      </c>
      <c r="O247" s="4">
        <v>129.27000000000001</v>
      </c>
      <c r="P247" s="5">
        <v>0.05</v>
      </c>
      <c r="Q247" s="4">
        <v>265.39</v>
      </c>
      <c r="R247" s="4">
        <f t="shared" si="6"/>
        <v>122.8065</v>
      </c>
      <c r="S247" s="4">
        <f>R247*_xlfn.XLOOKUP(I247,Lookup_Lists!$A$2:$A$5,Lookup_Lists!$B$2:$B$5)-Q247-IF(T247="Yes",R247*0.2,0)</f>
        <v>-226.09191999999999</v>
      </c>
      <c r="T247" t="s">
        <v>32</v>
      </c>
      <c r="U247" s="6">
        <v>4.3</v>
      </c>
      <c r="V247" s="7">
        <f t="shared" si="7"/>
        <v>5</v>
      </c>
      <c r="W247">
        <f>IF(SalesDataTable[[#This Row],[Returned]]="Yes",1,0)</f>
        <v>0</v>
      </c>
    </row>
    <row r="248" spans="1:23">
      <c r="A248" t="s">
        <v>475</v>
      </c>
      <c r="B248" s="3">
        <v>45872</v>
      </c>
      <c r="C248" s="3">
        <v>45877</v>
      </c>
      <c r="D248" t="s">
        <v>344</v>
      </c>
      <c r="E248" t="s">
        <v>24</v>
      </c>
      <c r="F248" t="s">
        <v>25</v>
      </c>
      <c r="G248" t="s">
        <v>43</v>
      </c>
      <c r="H248" t="s">
        <v>102</v>
      </c>
      <c r="I248" t="s">
        <v>52</v>
      </c>
      <c r="J248" t="s">
        <v>105</v>
      </c>
      <c r="K248" t="s">
        <v>105</v>
      </c>
      <c r="L248" t="s">
        <v>46</v>
      </c>
      <c r="M248" t="s">
        <v>40</v>
      </c>
      <c r="N248">
        <v>1</v>
      </c>
      <c r="O248" s="4">
        <v>1378.98</v>
      </c>
      <c r="P248" s="5">
        <v>0.15</v>
      </c>
      <c r="Q248" s="4">
        <v>392.69</v>
      </c>
      <c r="R248" s="4">
        <f t="shared" si="6"/>
        <v>1172.133</v>
      </c>
      <c r="S248" s="4">
        <f>R248*_xlfn.XLOOKUP(I248,Lookup_Lists!$A$2:$A$5,Lookup_Lists!$B$2:$B$5)-Q248-IF(T248="Yes",R248*0.2,0)</f>
        <v>-87.935419999999965</v>
      </c>
      <c r="T248" t="s">
        <v>32</v>
      </c>
      <c r="U248" s="6">
        <v>4</v>
      </c>
      <c r="V248" s="7">
        <f t="shared" si="7"/>
        <v>5</v>
      </c>
      <c r="W248">
        <f>IF(SalesDataTable[[#This Row],[Returned]]="Yes",1,0)</f>
        <v>0</v>
      </c>
    </row>
    <row r="249" spans="1:23">
      <c r="A249" t="s">
        <v>476</v>
      </c>
      <c r="B249" s="3">
        <v>45941</v>
      </c>
      <c r="C249" s="3">
        <v>45947</v>
      </c>
      <c r="D249" t="s">
        <v>444</v>
      </c>
      <c r="E249" t="s">
        <v>35</v>
      </c>
      <c r="F249" t="s">
        <v>25</v>
      </c>
      <c r="G249" t="s">
        <v>43</v>
      </c>
      <c r="H249" t="s">
        <v>44</v>
      </c>
      <c r="I249" t="s">
        <v>52</v>
      </c>
      <c r="J249" t="s">
        <v>94</v>
      </c>
      <c r="K249" t="s">
        <v>94</v>
      </c>
      <c r="L249" t="s">
        <v>60</v>
      </c>
      <c r="M249" t="s">
        <v>40</v>
      </c>
      <c r="N249">
        <v>2</v>
      </c>
      <c r="O249" s="4">
        <v>5223.8100000000004</v>
      </c>
      <c r="P249" s="5">
        <v>0</v>
      </c>
      <c r="Q249" s="4">
        <v>302.5</v>
      </c>
      <c r="R249" s="4">
        <f t="shared" si="6"/>
        <v>10447.620000000001</v>
      </c>
      <c r="S249" s="4">
        <f>R249*_xlfn.XLOOKUP(I249,Lookup_Lists!$A$2:$A$5,Lookup_Lists!$B$2:$B$5)-Q249-IF(T249="Yes",R249*0.2,0)</f>
        <v>2413.8812000000003</v>
      </c>
      <c r="T249" t="s">
        <v>32</v>
      </c>
      <c r="U249" s="6">
        <v>4.0999999999999996</v>
      </c>
      <c r="V249" s="7">
        <f t="shared" si="7"/>
        <v>6</v>
      </c>
      <c r="W249">
        <f>IF(SalesDataTable[[#This Row],[Returned]]="Yes",1,0)</f>
        <v>0</v>
      </c>
    </row>
    <row r="250" spans="1:23">
      <c r="A250" t="s">
        <v>477</v>
      </c>
      <c r="B250" s="3">
        <v>45903</v>
      </c>
      <c r="C250" s="3">
        <v>45908</v>
      </c>
      <c r="D250" t="s">
        <v>478</v>
      </c>
      <c r="E250" t="s">
        <v>81</v>
      </c>
      <c r="F250" t="s">
        <v>25</v>
      </c>
      <c r="G250" t="s">
        <v>36</v>
      </c>
      <c r="H250" t="s">
        <v>37</v>
      </c>
      <c r="I250" t="s">
        <v>52</v>
      </c>
      <c r="J250" t="s">
        <v>53</v>
      </c>
      <c r="K250" t="s">
        <v>53</v>
      </c>
      <c r="L250" t="s">
        <v>64</v>
      </c>
      <c r="M250" t="s">
        <v>31</v>
      </c>
      <c r="N250">
        <v>1</v>
      </c>
      <c r="O250" s="4">
        <v>546.84</v>
      </c>
      <c r="P250" s="5">
        <v>0</v>
      </c>
      <c r="Q250" s="4">
        <v>120.47</v>
      </c>
      <c r="R250" s="4">
        <f t="shared" si="6"/>
        <v>546.84</v>
      </c>
      <c r="S250" s="4">
        <f>R250*_xlfn.XLOOKUP(I250,Lookup_Lists!$A$2:$A$5,Lookup_Lists!$B$2:$B$5)-Q250-IF(T250="Yes",R250*0.2,0)</f>
        <v>21.708400000000012</v>
      </c>
      <c r="T250" t="s">
        <v>32</v>
      </c>
      <c r="U250" s="6">
        <v>4.5999999999999996</v>
      </c>
      <c r="V250" s="7">
        <f t="shared" si="7"/>
        <v>5</v>
      </c>
      <c r="W250">
        <f>IF(SalesDataTable[[#This Row],[Returned]]="Yes",1,0)</f>
        <v>0</v>
      </c>
    </row>
    <row r="251" spans="1:23">
      <c r="A251" t="s">
        <v>479</v>
      </c>
      <c r="B251" s="3">
        <v>46007</v>
      </c>
      <c r="C251" s="3">
        <v>46010</v>
      </c>
      <c r="D251" t="s">
        <v>480</v>
      </c>
      <c r="E251" t="s">
        <v>24</v>
      </c>
      <c r="F251" t="s">
        <v>25</v>
      </c>
      <c r="G251" t="s">
        <v>43</v>
      </c>
      <c r="H251" t="s">
        <v>63</v>
      </c>
      <c r="I251" t="s">
        <v>38</v>
      </c>
      <c r="J251" t="s">
        <v>39</v>
      </c>
      <c r="K251" t="s">
        <v>39</v>
      </c>
      <c r="L251" t="s">
        <v>46</v>
      </c>
      <c r="M251" t="s">
        <v>47</v>
      </c>
      <c r="N251">
        <v>1</v>
      </c>
      <c r="O251" s="4">
        <v>478.97</v>
      </c>
      <c r="P251" s="5">
        <v>0.1</v>
      </c>
      <c r="Q251" s="4">
        <v>580.14</v>
      </c>
      <c r="R251" s="4">
        <f t="shared" si="6"/>
        <v>431.07300000000004</v>
      </c>
      <c r="S251" s="4">
        <f>R251*_xlfn.XLOOKUP(I251,Lookup_Lists!$A$2:$A$5,Lookup_Lists!$B$2:$B$5)-Q251-IF(T251="Yes",R251*0.2,0)</f>
        <v>-442.19664</v>
      </c>
      <c r="T251" t="s">
        <v>32</v>
      </c>
      <c r="U251" s="6">
        <v>3.1</v>
      </c>
      <c r="V251" s="7">
        <f t="shared" si="7"/>
        <v>3</v>
      </c>
      <c r="W251">
        <f>IF(SalesDataTable[[#This Row],[Returned]]="Yes",1,0)</f>
        <v>0</v>
      </c>
    </row>
    <row r="252" spans="1:23">
      <c r="A252" t="s">
        <v>481</v>
      </c>
      <c r="B252" s="3">
        <v>45945</v>
      </c>
      <c r="C252" s="3">
        <v>45949</v>
      </c>
      <c r="D252" t="s">
        <v>482</v>
      </c>
      <c r="E252" t="s">
        <v>70</v>
      </c>
      <c r="F252" t="s">
        <v>25</v>
      </c>
      <c r="G252" t="s">
        <v>43</v>
      </c>
      <c r="H252" t="s">
        <v>122</v>
      </c>
      <c r="I252" t="s">
        <v>52</v>
      </c>
      <c r="J252" t="s">
        <v>53</v>
      </c>
      <c r="K252" t="s">
        <v>53</v>
      </c>
      <c r="L252" t="s">
        <v>46</v>
      </c>
      <c r="M252" t="s">
        <v>55</v>
      </c>
      <c r="N252">
        <v>7</v>
      </c>
      <c r="O252" s="4">
        <v>492.88</v>
      </c>
      <c r="P252" s="5">
        <v>0.1</v>
      </c>
      <c r="Q252" s="4">
        <v>247.51</v>
      </c>
      <c r="R252" s="4">
        <f t="shared" si="6"/>
        <v>3105.1439999999998</v>
      </c>
      <c r="S252" s="4">
        <f>R252*_xlfn.XLOOKUP(I252,Lookup_Lists!$A$2:$A$5,Lookup_Lists!$B$2:$B$5)-Q252-IF(T252="Yes",R252*0.2,0)</f>
        <v>559.82744000000002</v>
      </c>
      <c r="T252" t="s">
        <v>32</v>
      </c>
      <c r="U252" s="6">
        <v>4.7</v>
      </c>
      <c r="V252" s="7">
        <f t="shared" si="7"/>
        <v>4</v>
      </c>
      <c r="W252">
        <f>IF(SalesDataTable[[#This Row],[Returned]]="Yes",1,0)</f>
        <v>0</v>
      </c>
    </row>
    <row r="253" spans="1:23">
      <c r="A253" t="s">
        <v>483</v>
      </c>
      <c r="B253" s="3">
        <v>45773</v>
      </c>
      <c r="C253" s="3">
        <v>45779</v>
      </c>
      <c r="D253" t="s">
        <v>484</v>
      </c>
      <c r="E253" t="s">
        <v>24</v>
      </c>
      <c r="F253" t="s">
        <v>25</v>
      </c>
      <c r="G253" t="s">
        <v>43</v>
      </c>
      <c r="H253" t="s">
        <v>63</v>
      </c>
      <c r="I253" t="s">
        <v>38</v>
      </c>
      <c r="J253" t="s">
        <v>108</v>
      </c>
      <c r="K253" t="s">
        <v>108</v>
      </c>
      <c r="L253" t="s">
        <v>54</v>
      </c>
      <c r="M253" t="s">
        <v>40</v>
      </c>
      <c r="N253">
        <v>7</v>
      </c>
      <c r="O253" s="4">
        <v>108.28</v>
      </c>
      <c r="P253" s="5">
        <v>0.25</v>
      </c>
      <c r="Q253" s="4">
        <v>510.36</v>
      </c>
      <c r="R253" s="4">
        <f t="shared" si="6"/>
        <v>568.47</v>
      </c>
      <c r="S253" s="4">
        <f>R253*_xlfn.XLOOKUP(I253,Lookup_Lists!$A$2:$A$5,Lookup_Lists!$B$2:$B$5)-Q253-IF(T253="Yes",R253*0.2,0)</f>
        <v>-328.44960000000003</v>
      </c>
      <c r="T253" t="s">
        <v>32</v>
      </c>
      <c r="U253" s="6">
        <v>3.9</v>
      </c>
      <c r="V253" s="7">
        <f t="shared" si="7"/>
        <v>6</v>
      </c>
      <c r="W253">
        <f>IF(SalesDataTable[[#This Row],[Returned]]="Yes",1,0)</f>
        <v>0</v>
      </c>
    </row>
    <row r="254" spans="1:23">
      <c r="A254" t="s">
        <v>485</v>
      </c>
      <c r="B254" s="3">
        <v>45678</v>
      </c>
      <c r="C254" s="3">
        <v>45682</v>
      </c>
      <c r="D254" t="s">
        <v>394</v>
      </c>
      <c r="E254" t="s">
        <v>70</v>
      </c>
      <c r="F254" t="s">
        <v>25</v>
      </c>
      <c r="G254" t="s">
        <v>26</v>
      </c>
      <c r="H254" t="s">
        <v>27</v>
      </c>
      <c r="I254" t="s">
        <v>38</v>
      </c>
      <c r="J254" t="s">
        <v>72</v>
      </c>
      <c r="K254" t="s">
        <v>72</v>
      </c>
      <c r="L254" t="s">
        <v>54</v>
      </c>
      <c r="M254" t="s">
        <v>47</v>
      </c>
      <c r="N254">
        <v>3</v>
      </c>
      <c r="O254" s="4">
        <v>166.76</v>
      </c>
      <c r="P254" s="5">
        <v>0</v>
      </c>
      <c r="Q254" s="4">
        <v>271.39999999999998</v>
      </c>
      <c r="R254" s="4">
        <f t="shared" si="6"/>
        <v>500.28</v>
      </c>
      <c r="S254" s="4">
        <f>R254*_xlfn.XLOOKUP(I254,Lookup_Lists!$A$2:$A$5,Lookup_Lists!$B$2:$B$5)-Q254-IF(T254="Yes",R254*0.2,0)</f>
        <v>-111.31039999999999</v>
      </c>
      <c r="T254" t="s">
        <v>32</v>
      </c>
      <c r="U254" s="6">
        <v>4.9000000000000004</v>
      </c>
      <c r="V254" s="7">
        <f t="shared" si="7"/>
        <v>4</v>
      </c>
      <c r="W254">
        <f>IF(SalesDataTable[[#This Row],[Returned]]="Yes",1,0)</f>
        <v>0</v>
      </c>
    </row>
    <row r="255" spans="1:23">
      <c r="A255" t="s">
        <v>486</v>
      </c>
      <c r="B255" s="3">
        <v>45996</v>
      </c>
      <c r="C255" s="3">
        <v>45999</v>
      </c>
      <c r="D255" t="s">
        <v>379</v>
      </c>
      <c r="E255" t="s">
        <v>24</v>
      </c>
      <c r="F255" t="s">
        <v>25</v>
      </c>
      <c r="G255" t="s">
        <v>43</v>
      </c>
      <c r="H255" t="s">
        <v>122</v>
      </c>
      <c r="I255" t="s">
        <v>38</v>
      </c>
      <c r="J255" t="s">
        <v>72</v>
      </c>
      <c r="K255" t="s">
        <v>72</v>
      </c>
      <c r="L255" t="s">
        <v>46</v>
      </c>
      <c r="M255" t="s">
        <v>40</v>
      </c>
      <c r="N255">
        <v>2</v>
      </c>
      <c r="O255" s="4">
        <v>200.86</v>
      </c>
      <c r="P255" s="5">
        <v>0</v>
      </c>
      <c r="Q255" s="4">
        <v>395.58</v>
      </c>
      <c r="R255" s="4">
        <f t="shared" si="6"/>
        <v>401.72</v>
      </c>
      <c r="S255" s="4">
        <f>R255*_xlfn.XLOOKUP(I255,Lookup_Lists!$A$2:$A$5,Lookup_Lists!$B$2:$B$5)-Q255-IF(T255="Yes",R255*0.2,0)</f>
        <v>-267.02959999999996</v>
      </c>
      <c r="T255" t="s">
        <v>32</v>
      </c>
      <c r="U255" s="6">
        <v>4.0999999999999996</v>
      </c>
      <c r="V255" s="7">
        <f t="shared" si="7"/>
        <v>3</v>
      </c>
      <c r="W255">
        <f>IF(SalesDataTable[[#This Row],[Returned]]="Yes",1,0)</f>
        <v>0</v>
      </c>
    </row>
    <row r="256" spans="1:23">
      <c r="A256" t="s">
        <v>487</v>
      </c>
      <c r="B256" s="3">
        <v>45836</v>
      </c>
      <c r="C256" s="3">
        <v>45838</v>
      </c>
      <c r="D256" t="s">
        <v>80</v>
      </c>
      <c r="E256" t="s">
        <v>70</v>
      </c>
      <c r="F256" t="s">
        <v>25</v>
      </c>
      <c r="G256" t="s">
        <v>43</v>
      </c>
      <c r="H256" t="s">
        <v>44</v>
      </c>
      <c r="I256" t="s">
        <v>28</v>
      </c>
      <c r="J256" t="s">
        <v>99</v>
      </c>
      <c r="K256" t="s">
        <v>99</v>
      </c>
      <c r="L256" t="s">
        <v>46</v>
      </c>
      <c r="M256" t="s">
        <v>31</v>
      </c>
      <c r="N256">
        <v>4</v>
      </c>
      <c r="O256" s="4">
        <v>4110.1899999999996</v>
      </c>
      <c r="P256" s="5">
        <v>0</v>
      </c>
      <c r="Q256" s="4">
        <v>707.91</v>
      </c>
      <c r="R256" s="4">
        <f t="shared" si="6"/>
        <v>16440.759999999998</v>
      </c>
      <c r="S256" s="4">
        <f>R256*_xlfn.XLOOKUP(I256,Lookup_Lists!$A$2:$A$5,Lookup_Lists!$B$2:$B$5)-Q256-IF(T256="Yes",R256*0.2,0)</f>
        <v>2251.4267999999997</v>
      </c>
      <c r="T256" t="s">
        <v>32</v>
      </c>
      <c r="U256" s="6">
        <v>4.9000000000000004</v>
      </c>
      <c r="V256" s="7">
        <f t="shared" si="7"/>
        <v>2</v>
      </c>
      <c r="W256">
        <f>IF(SalesDataTable[[#This Row],[Returned]]="Yes",1,0)</f>
        <v>0</v>
      </c>
    </row>
    <row r="257" spans="1:23">
      <c r="A257" t="s">
        <v>488</v>
      </c>
      <c r="B257" s="3">
        <v>45976</v>
      </c>
      <c r="C257" s="3">
        <v>45978</v>
      </c>
      <c r="D257" t="s">
        <v>460</v>
      </c>
      <c r="E257" t="s">
        <v>70</v>
      </c>
      <c r="F257" t="s">
        <v>25</v>
      </c>
      <c r="G257" t="s">
        <v>43</v>
      </c>
      <c r="H257" t="s">
        <v>102</v>
      </c>
      <c r="I257" t="s">
        <v>52</v>
      </c>
      <c r="J257" t="s">
        <v>114</v>
      </c>
      <c r="K257" t="s">
        <v>114</v>
      </c>
      <c r="L257" t="s">
        <v>46</v>
      </c>
      <c r="M257" t="s">
        <v>31</v>
      </c>
      <c r="N257">
        <v>4</v>
      </c>
      <c r="O257" s="4">
        <v>8430.41</v>
      </c>
      <c r="P257" s="5">
        <v>0.05</v>
      </c>
      <c r="Q257" s="4">
        <v>1025.01</v>
      </c>
      <c r="R257" s="4">
        <f t="shared" si="6"/>
        <v>32035.557999999997</v>
      </c>
      <c r="S257" s="4">
        <f>R257*_xlfn.XLOOKUP(I257,Lookup_Lists!$A$2:$A$5,Lookup_Lists!$B$2:$B$5)-Q257-IF(T257="Yes",R257*0.2,0)</f>
        <v>7304.2350799999986</v>
      </c>
      <c r="T257" t="s">
        <v>32</v>
      </c>
      <c r="U257" s="6">
        <v>4</v>
      </c>
      <c r="V257" s="7">
        <f t="shared" si="7"/>
        <v>2</v>
      </c>
      <c r="W257">
        <f>IF(SalesDataTable[[#This Row],[Returned]]="Yes",1,0)</f>
        <v>0</v>
      </c>
    </row>
    <row r="258" spans="1:23">
      <c r="A258" t="s">
        <v>489</v>
      </c>
      <c r="B258" s="3">
        <v>45918</v>
      </c>
      <c r="C258" s="3">
        <v>45922</v>
      </c>
      <c r="D258" t="s">
        <v>383</v>
      </c>
      <c r="E258" t="s">
        <v>35</v>
      </c>
      <c r="F258" t="s">
        <v>25</v>
      </c>
      <c r="G258" t="s">
        <v>26</v>
      </c>
      <c r="H258" t="s">
        <v>82</v>
      </c>
      <c r="I258" t="s">
        <v>58</v>
      </c>
      <c r="J258" t="s">
        <v>92</v>
      </c>
      <c r="K258" t="s">
        <v>92</v>
      </c>
      <c r="L258" t="s">
        <v>54</v>
      </c>
      <c r="M258" t="s">
        <v>31</v>
      </c>
      <c r="N258">
        <v>2</v>
      </c>
      <c r="O258" s="4">
        <v>9078.68</v>
      </c>
      <c r="P258" s="5">
        <v>0</v>
      </c>
      <c r="Q258" s="4">
        <v>711.18</v>
      </c>
      <c r="R258" s="4">
        <f t="shared" ref="R258:R321" si="8">N258*O258*(1-P258)</f>
        <v>18157.36</v>
      </c>
      <c r="S258" s="4">
        <f>R258*_xlfn.XLOOKUP(I258,Lookup_Lists!$A$2:$A$5,Lookup_Lists!$B$2:$B$5)-Q258-IF(T258="Yes",R258*0.2,0)</f>
        <v>3646.5864000000006</v>
      </c>
      <c r="T258" t="s">
        <v>32</v>
      </c>
      <c r="U258" s="6">
        <v>4</v>
      </c>
      <c r="V258" s="7">
        <f t="shared" ref="V258:V321" si="9">C258-B258</f>
        <v>4</v>
      </c>
      <c r="W258">
        <f>IF(SalesDataTable[[#This Row],[Returned]]="Yes",1,0)</f>
        <v>0</v>
      </c>
    </row>
    <row r="259" spans="1:23">
      <c r="A259" t="s">
        <v>490</v>
      </c>
      <c r="B259" s="3">
        <v>45763</v>
      </c>
      <c r="C259" s="3">
        <v>45768</v>
      </c>
      <c r="D259" t="s">
        <v>118</v>
      </c>
      <c r="E259" t="s">
        <v>24</v>
      </c>
      <c r="F259" t="s">
        <v>25</v>
      </c>
      <c r="G259" t="s">
        <v>36</v>
      </c>
      <c r="H259" t="s">
        <v>126</v>
      </c>
      <c r="I259" t="s">
        <v>38</v>
      </c>
      <c r="J259" t="s">
        <v>108</v>
      </c>
      <c r="K259" t="s">
        <v>108</v>
      </c>
      <c r="L259" t="s">
        <v>54</v>
      </c>
      <c r="M259" t="s">
        <v>55</v>
      </c>
      <c r="N259">
        <v>1</v>
      </c>
      <c r="O259" s="4">
        <v>108.24</v>
      </c>
      <c r="P259" s="5">
        <v>0</v>
      </c>
      <c r="Q259" s="4">
        <v>225.21</v>
      </c>
      <c r="R259" s="4">
        <f t="shared" si="8"/>
        <v>108.24</v>
      </c>
      <c r="S259" s="4">
        <f>R259*_xlfn.XLOOKUP(I259,Lookup_Lists!$A$2:$A$5,Lookup_Lists!$B$2:$B$5)-Q259-IF(T259="Yes",R259*0.2,0)</f>
        <v>-190.57320000000001</v>
      </c>
      <c r="T259" t="s">
        <v>32</v>
      </c>
      <c r="U259" s="6">
        <v>3.6</v>
      </c>
      <c r="V259" s="7">
        <f t="shared" si="9"/>
        <v>5</v>
      </c>
      <c r="W259">
        <f>IF(SalesDataTable[[#This Row],[Returned]]="Yes",1,0)</f>
        <v>0</v>
      </c>
    </row>
    <row r="260" spans="1:23">
      <c r="A260" t="s">
        <v>491</v>
      </c>
      <c r="B260" s="3">
        <v>45774</v>
      </c>
      <c r="C260" s="3">
        <v>45777</v>
      </c>
      <c r="D260" t="s">
        <v>86</v>
      </c>
      <c r="E260" t="s">
        <v>35</v>
      </c>
      <c r="F260" t="s">
        <v>25</v>
      </c>
      <c r="G260" t="s">
        <v>36</v>
      </c>
      <c r="H260" t="s">
        <v>138</v>
      </c>
      <c r="I260" t="s">
        <v>28</v>
      </c>
      <c r="J260" t="s">
        <v>111</v>
      </c>
      <c r="K260" t="s">
        <v>111</v>
      </c>
      <c r="L260" t="s">
        <v>30</v>
      </c>
      <c r="M260" t="s">
        <v>31</v>
      </c>
      <c r="N260">
        <v>1</v>
      </c>
      <c r="O260" s="4">
        <v>1315.3</v>
      </c>
      <c r="P260" s="5">
        <v>0</v>
      </c>
      <c r="Q260" s="4">
        <v>524.91999999999996</v>
      </c>
      <c r="R260" s="4">
        <f t="shared" si="8"/>
        <v>1315.3</v>
      </c>
      <c r="S260" s="4">
        <f>R260*_xlfn.XLOOKUP(I260,Lookup_Lists!$A$2:$A$5,Lookup_Lists!$B$2:$B$5)-Q260-IF(T260="Yes",R260*0.2,0)</f>
        <v>-551.22599999999989</v>
      </c>
      <c r="T260" t="s">
        <v>119</v>
      </c>
      <c r="U260" s="6">
        <v>3.8</v>
      </c>
      <c r="V260" s="7">
        <f t="shared" si="9"/>
        <v>3</v>
      </c>
      <c r="W260">
        <f>IF(SalesDataTable[[#This Row],[Returned]]="Yes",1,0)</f>
        <v>1</v>
      </c>
    </row>
    <row r="261" spans="1:23">
      <c r="A261" t="s">
        <v>492</v>
      </c>
      <c r="B261" s="3">
        <v>45915</v>
      </c>
      <c r="C261" s="3">
        <v>45916</v>
      </c>
      <c r="D261" t="s">
        <v>377</v>
      </c>
      <c r="E261" t="s">
        <v>24</v>
      </c>
      <c r="F261" t="s">
        <v>25</v>
      </c>
      <c r="G261" t="s">
        <v>43</v>
      </c>
      <c r="H261" t="s">
        <v>122</v>
      </c>
      <c r="I261" t="s">
        <v>28</v>
      </c>
      <c r="J261" t="s">
        <v>111</v>
      </c>
      <c r="K261" t="s">
        <v>111</v>
      </c>
      <c r="L261" t="s">
        <v>46</v>
      </c>
      <c r="M261" t="s">
        <v>89</v>
      </c>
      <c r="N261">
        <v>2</v>
      </c>
      <c r="O261" s="4">
        <v>1248.05</v>
      </c>
      <c r="P261" s="5">
        <v>0</v>
      </c>
      <c r="Q261" s="4">
        <v>340.31</v>
      </c>
      <c r="R261" s="4">
        <f t="shared" si="8"/>
        <v>2496.1</v>
      </c>
      <c r="S261" s="4">
        <f>R261*_xlfn.XLOOKUP(I261,Lookup_Lists!$A$2:$A$5,Lookup_Lists!$B$2:$B$5)-Q261-IF(T261="Yes",R261*0.2,0)</f>
        <v>108.98799999999994</v>
      </c>
      <c r="T261" t="s">
        <v>32</v>
      </c>
      <c r="U261" s="6">
        <v>4</v>
      </c>
      <c r="V261" s="7">
        <f t="shared" si="9"/>
        <v>1</v>
      </c>
      <c r="W261">
        <f>IF(SalesDataTable[[#This Row],[Returned]]="Yes",1,0)</f>
        <v>0</v>
      </c>
    </row>
    <row r="262" spans="1:23">
      <c r="A262" t="s">
        <v>493</v>
      </c>
      <c r="B262" s="3">
        <v>45937</v>
      </c>
      <c r="C262" s="3">
        <v>45940</v>
      </c>
      <c r="D262" t="s">
        <v>57</v>
      </c>
      <c r="E262" t="s">
        <v>35</v>
      </c>
      <c r="F262" t="s">
        <v>25</v>
      </c>
      <c r="G262" t="s">
        <v>43</v>
      </c>
      <c r="H262" t="s">
        <v>122</v>
      </c>
      <c r="I262" t="s">
        <v>38</v>
      </c>
      <c r="J262" t="s">
        <v>130</v>
      </c>
      <c r="K262" t="s">
        <v>130</v>
      </c>
      <c r="L262" t="s">
        <v>54</v>
      </c>
      <c r="M262" t="s">
        <v>89</v>
      </c>
      <c r="N262">
        <v>1</v>
      </c>
      <c r="O262" s="4">
        <v>741.3</v>
      </c>
      <c r="P262" s="5">
        <v>0.05</v>
      </c>
      <c r="Q262" s="4">
        <v>630.9</v>
      </c>
      <c r="R262" s="4">
        <f t="shared" si="8"/>
        <v>704.2349999999999</v>
      </c>
      <c r="S262" s="4">
        <f>R262*_xlfn.XLOOKUP(I262,Lookup_Lists!$A$2:$A$5,Lookup_Lists!$B$2:$B$5)-Q262-IF(T262="Yes",R262*0.2,0)</f>
        <v>-405.54480000000001</v>
      </c>
      <c r="T262" t="s">
        <v>32</v>
      </c>
      <c r="U262" s="6">
        <v>4.3</v>
      </c>
      <c r="V262" s="7">
        <f t="shared" si="9"/>
        <v>3</v>
      </c>
      <c r="W262">
        <f>IF(SalesDataTable[[#This Row],[Returned]]="Yes",1,0)</f>
        <v>0</v>
      </c>
    </row>
    <row r="263" spans="1:23">
      <c r="A263" t="s">
        <v>494</v>
      </c>
      <c r="B263" s="3">
        <v>45834</v>
      </c>
      <c r="C263" s="3">
        <v>45836</v>
      </c>
      <c r="D263" t="s">
        <v>278</v>
      </c>
      <c r="E263" t="s">
        <v>81</v>
      </c>
      <c r="F263" t="s">
        <v>25</v>
      </c>
      <c r="G263" t="s">
        <v>26</v>
      </c>
      <c r="H263" t="s">
        <v>27</v>
      </c>
      <c r="I263" t="s">
        <v>28</v>
      </c>
      <c r="J263" t="s">
        <v>99</v>
      </c>
      <c r="K263" t="s">
        <v>99</v>
      </c>
      <c r="L263" t="s">
        <v>64</v>
      </c>
      <c r="M263" t="s">
        <v>40</v>
      </c>
      <c r="N263">
        <v>1</v>
      </c>
      <c r="O263" s="4">
        <v>3784.53</v>
      </c>
      <c r="P263" s="5">
        <v>0.05</v>
      </c>
      <c r="Q263" s="4">
        <v>167.77</v>
      </c>
      <c r="R263" s="4">
        <f t="shared" si="8"/>
        <v>3595.3035</v>
      </c>
      <c r="S263" s="4">
        <f>R263*_xlfn.XLOOKUP(I263,Lookup_Lists!$A$2:$A$5,Lookup_Lists!$B$2:$B$5)-Q263-IF(T263="Yes",R263*0.2,0)</f>
        <v>479.38463000000002</v>
      </c>
      <c r="T263" t="s">
        <v>32</v>
      </c>
      <c r="U263" s="6">
        <v>3.4</v>
      </c>
      <c r="V263" s="7">
        <f t="shared" si="9"/>
        <v>2</v>
      </c>
      <c r="W263">
        <f>IF(SalesDataTable[[#This Row],[Returned]]="Yes",1,0)</f>
        <v>0</v>
      </c>
    </row>
    <row r="264" spans="1:23">
      <c r="A264" t="s">
        <v>495</v>
      </c>
      <c r="B264" s="3">
        <v>45939</v>
      </c>
      <c r="C264" s="3">
        <v>45943</v>
      </c>
      <c r="D264" t="s">
        <v>496</v>
      </c>
      <c r="E264" t="s">
        <v>70</v>
      </c>
      <c r="F264" t="s">
        <v>25</v>
      </c>
      <c r="G264" t="s">
        <v>43</v>
      </c>
      <c r="H264" t="s">
        <v>122</v>
      </c>
      <c r="I264" t="s">
        <v>28</v>
      </c>
      <c r="J264" t="s">
        <v>75</v>
      </c>
      <c r="K264" t="s">
        <v>75</v>
      </c>
      <c r="L264" t="s">
        <v>30</v>
      </c>
      <c r="M264" t="s">
        <v>47</v>
      </c>
      <c r="N264">
        <v>6</v>
      </c>
      <c r="O264" s="4">
        <v>10858.56</v>
      </c>
      <c r="P264" s="5">
        <v>0.1</v>
      </c>
      <c r="Q264" s="4">
        <v>1190.95</v>
      </c>
      <c r="R264" s="4">
        <f t="shared" si="8"/>
        <v>58636.224000000002</v>
      </c>
      <c r="S264" s="4">
        <f>R264*_xlfn.XLOOKUP(I264,Lookup_Lists!$A$2:$A$5,Lookup_Lists!$B$2:$B$5)-Q264-IF(T264="Yes",R264*0.2,0)</f>
        <v>9363.5703199999989</v>
      </c>
      <c r="T264" t="s">
        <v>32</v>
      </c>
      <c r="U264" s="6">
        <v>4.5999999999999996</v>
      </c>
      <c r="V264" s="7">
        <f t="shared" si="9"/>
        <v>4</v>
      </c>
      <c r="W264">
        <f>IF(SalesDataTable[[#This Row],[Returned]]="Yes",1,0)</f>
        <v>0</v>
      </c>
    </row>
    <row r="265" spans="1:23">
      <c r="A265" t="s">
        <v>497</v>
      </c>
      <c r="B265" s="3">
        <v>45906</v>
      </c>
      <c r="C265" s="3">
        <v>45910</v>
      </c>
      <c r="D265" t="s">
        <v>498</v>
      </c>
      <c r="E265" t="s">
        <v>70</v>
      </c>
      <c r="F265" t="s">
        <v>25</v>
      </c>
      <c r="G265" t="s">
        <v>43</v>
      </c>
      <c r="H265" t="s">
        <v>63</v>
      </c>
      <c r="I265" t="s">
        <v>38</v>
      </c>
      <c r="J265" t="s">
        <v>72</v>
      </c>
      <c r="K265" t="s">
        <v>72</v>
      </c>
      <c r="L265" t="s">
        <v>64</v>
      </c>
      <c r="M265" t="s">
        <v>47</v>
      </c>
      <c r="N265">
        <v>1</v>
      </c>
      <c r="O265" s="4">
        <v>175.31</v>
      </c>
      <c r="P265" s="5">
        <v>0.1</v>
      </c>
      <c r="Q265" s="4">
        <v>488.58</v>
      </c>
      <c r="R265" s="4">
        <f t="shared" si="8"/>
        <v>157.779</v>
      </c>
      <c r="S265" s="4">
        <f>R265*_xlfn.XLOOKUP(I265,Lookup_Lists!$A$2:$A$5,Lookup_Lists!$B$2:$B$5)-Q265-IF(T265="Yes",R265*0.2,0)</f>
        <v>-438.09071999999998</v>
      </c>
      <c r="T265" t="s">
        <v>32</v>
      </c>
      <c r="U265" s="6">
        <v>4.5</v>
      </c>
      <c r="V265" s="7">
        <f t="shared" si="9"/>
        <v>4</v>
      </c>
      <c r="W265">
        <f>IF(SalesDataTable[[#This Row],[Returned]]="Yes",1,0)</f>
        <v>0</v>
      </c>
    </row>
    <row r="266" spans="1:23">
      <c r="A266" t="s">
        <v>499</v>
      </c>
      <c r="B266" s="3">
        <v>45799</v>
      </c>
      <c r="C266" s="3">
        <v>45806</v>
      </c>
      <c r="D266" t="s">
        <v>500</v>
      </c>
      <c r="E266" t="s">
        <v>35</v>
      </c>
      <c r="F266" t="s">
        <v>25</v>
      </c>
      <c r="G266" t="s">
        <v>43</v>
      </c>
      <c r="H266" t="s">
        <v>102</v>
      </c>
      <c r="I266" t="s">
        <v>58</v>
      </c>
      <c r="J266" t="s">
        <v>59</v>
      </c>
      <c r="K266" t="s">
        <v>59</v>
      </c>
      <c r="L266" t="s">
        <v>30</v>
      </c>
      <c r="M266" t="s">
        <v>47</v>
      </c>
      <c r="N266">
        <v>3</v>
      </c>
      <c r="O266" s="4">
        <v>6062.75</v>
      </c>
      <c r="P266" s="5">
        <v>0.05</v>
      </c>
      <c r="Q266" s="4">
        <v>832.65</v>
      </c>
      <c r="R266" s="4">
        <f t="shared" si="8"/>
        <v>17278.837499999998</v>
      </c>
      <c r="S266" s="4">
        <f>R266*_xlfn.XLOOKUP(I266,Lookup_Lists!$A$2:$A$5,Lookup_Lists!$B$2:$B$5)-Q266-IF(T266="Yes",R266*0.2,0)</f>
        <v>3314.2709999999993</v>
      </c>
      <c r="T266" t="s">
        <v>32</v>
      </c>
      <c r="U266" s="6">
        <v>4.5999999999999996</v>
      </c>
      <c r="V266" s="7">
        <f t="shared" si="9"/>
        <v>7</v>
      </c>
      <c r="W266">
        <f>IF(SalesDataTable[[#This Row],[Returned]]="Yes",1,0)</f>
        <v>0</v>
      </c>
    </row>
    <row r="267" spans="1:23">
      <c r="A267" t="s">
        <v>501</v>
      </c>
      <c r="B267" s="3">
        <v>45792</v>
      </c>
      <c r="C267" s="3">
        <v>45798</v>
      </c>
      <c r="D267" t="s">
        <v>399</v>
      </c>
      <c r="E267" t="s">
        <v>35</v>
      </c>
      <c r="F267" t="s">
        <v>25</v>
      </c>
      <c r="G267" t="s">
        <v>50</v>
      </c>
      <c r="H267" t="s">
        <v>78</v>
      </c>
      <c r="I267" t="s">
        <v>52</v>
      </c>
      <c r="J267" t="s">
        <v>114</v>
      </c>
      <c r="K267" t="s">
        <v>114</v>
      </c>
      <c r="L267" t="s">
        <v>64</v>
      </c>
      <c r="M267" t="s">
        <v>31</v>
      </c>
      <c r="N267">
        <v>2</v>
      </c>
      <c r="O267" s="4">
        <v>10041.6</v>
      </c>
      <c r="P267" s="5">
        <v>0.2</v>
      </c>
      <c r="Q267" s="4">
        <v>695.66</v>
      </c>
      <c r="R267" s="4">
        <f t="shared" si="8"/>
        <v>16066.560000000001</v>
      </c>
      <c r="S267" s="4">
        <f>R267*_xlfn.XLOOKUP(I267,Lookup_Lists!$A$2:$A$5,Lookup_Lists!$B$2:$B$5)-Q267-IF(T267="Yes",R267*0.2,0)</f>
        <v>3481.6456000000007</v>
      </c>
      <c r="T267" t="s">
        <v>32</v>
      </c>
      <c r="U267" s="6">
        <v>4.7</v>
      </c>
      <c r="V267" s="7">
        <f t="shared" si="9"/>
        <v>6</v>
      </c>
      <c r="W267">
        <f>IF(SalesDataTable[[#This Row],[Returned]]="Yes",1,0)</f>
        <v>0</v>
      </c>
    </row>
    <row r="268" spans="1:23">
      <c r="A268" t="s">
        <v>502</v>
      </c>
      <c r="B268" s="3">
        <v>45934</v>
      </c>
      <c r="C268" s="3">
        <v>45938</v>
      </c>
      <c r="D268" t="s">
        <v>135</v>
      </c>
      <c r="E268" t="s">
        <v>24</v>
      </c>
      <c r="F268" t="s">
        <v>25</v>
      </c>
      <c r="G268" t="s">
        <v>43</v>
      </c>
      <c r="H268" t="s">
        <v>102</v>
      </c>
      <c r="I268" t="s">
        <v>28</v>
      </c>
      <c r="J268" t="s">
        <v>99</v>
      </c>
      <c r="K268" t="s">
        <v>99</v>
      </c>
      <c r="L268" t="s">
        <v>30</v>
      </c>
      <c r="M268" t="s">
        <v>55</v>
      </c>
      <c r="N268">
        <v>1</v>
      </c>
      <c r="O268" s="4">
        <v>3606.18</v>
      </c>
      <c r="P268" s="5">
        <v>0</v>
      </c>
      <c r="Q268" s="4">
        <v>341.5</v>
      </c>
      <c r="R268" s="4">
        <f t="shared" si="8"/>
        <v>3606.18</v>
      </c>
      <c r="S268" s="4">
        <f>R268*_xlfn.XLOOKUP(I268,Lookup_Lists!$A$2:$A$5,Lookup_Lists!$B$2:$B$5)-Q268-IF(T268="Yes",R268*0.2,0)</f>
        <v>-413.62360000000001</v>
      </c>
      <c r="T268" t="s">
        <v>119</v>
      </c>
      <c r="U268" s="6">
        <v>3.6</v>
      </c>
      <c r="V268" s="7">
        <f t="shared" si="9"/>
        <v>4</v>
      </c>
      <c r="W268">
        <f>IF(SalesDataTable[[#This Row],[Returned]]="Yes",1,0)</f>
        <v>1</v>
      </c>
    </row>
    <row r="269" spans="1:23">
      <c r="A269" t="s">
        <v>503</v>
      </c>
      <c r="B269" s="3">
        <v>45972</v>
      </c>
      <c r="C269" s="3">
        <v>45978</v>
      </c>
      <c r="D269" t="s">
        <v>504</v>
      </c>
      <c r="E269" t="s">
        <v>24</v>
      </c>
      <c r="F269" t="s">
        <v>25</v>
      </c>
      <c r="G269" t="s">
        <v>26</v>
      </c>
      <c r="H269" t="s">
        <v>67</v>
      </c>
      <c r="I269" t="s">
        <v>28</v>
      </c>
      <c r="J269" t="s">
        <v>99</v>
      </c>
      <c r="K269" t="s">
        <v>99</v>
      </c>
      <c r="L269" t="s">
        <v>60</v>
      </c>
      <c r="M269" t="s">
        <v>40</v>
      </c>
      <c r="N269">
        <v>4</v>
      </c>
      <c r="O269" s="4">
        <v>3587.68</v>
      </c>
      <c r="P269" s="5">
        <v>0</v>
      </c>
      <c r="Q269" s="4">
        <v>419.99</v>
      </c>
      <c r="R269" s="4">
        <f t="shared" si="8"/>
        <v>14350.72</v>
      </c>
      <c r="S269" s="4">
        <f>R269*_xlfn.XLOOKUP(I269,Lookup_Lists!$A$2:$A$5,Lookup_Lists!$B$2:$B$5)-Q269-IF(T269="Yes",R269*0.2,0)</f>
        <v>2163.1395999999995</v>
      </c>
      <c r="T269" t="s">
        <v>32</v>
      </c>
      <c r="U269" s="6">
        <v>5</v>
      </c>
      <c r="V269" s="7">
        <f t="shared" si="9"/>
        <v>6</v>
      </c>
      <c r="W269">
        <f>IF(SalesDataTable[[#This Row],[Returned]]="Yes",1,0)</f>
        <v>0</v>
      </c>
    </row>
    <row r="270" spans="1:23">
      <c r="A270" t="s">
        <v>505</v>
      </c>
      <c r="B270" s="3">
        <v>45690</v>
      </c>
      <c r="C270" s="3">
        <v>45693</v>
      </c>
      <c r="D270" t="s">
        <v>387</v>
      </c>
      <c r="E270" t="s">
        <v>35</v>
      </c>
      <c r="F270" t="s">
        <v>25</v>
      </c>
      <c r="G270" t="s">
        <v>26</v>
      </c>
      <c r="H270" t="s">
        <v>82</v>
      </c>
      <c r="I270" t="s">
        <v>58</v>
      </c>
      <c r="J270" t="s">
        <v>88</v>
      </c>
      <c r="K270" t="s">
        <v>88</v>
      </c>
      <c r="L270" t="s">
        <v>64</v>
      </c>
      <c r="M270" t="s">
        <v>89</v>
      </c>
      <c r="N270">
        <v>7</v>
      </c>
      <c r="O270" s="4">
        <v>7035.99</v>
      </c>
      <c r="P270" s="5">
        <v>0.1</v>
      </c>
      <c r="Q270" s="4">
        <v>1115.96</v>
      </c>
      <c r="R270" s="4">
        <f t="shared" si="8"/>
        <v>44326.737000000001</v>
      </c>
      <c r="S270" s="4">
        <f>R270*_xlfn.XLOOKUP(I270,Lookup_Lists!$A$2:$A$5,Lookup_Lists!$B$2:$B$5)-Q270-IF(T270="Yes",R270*0.2,0)</f>
        <v>9522.4568800000015</v>
      </c>
      <c r="T270" t="s">
        <v>32</v>
      </c>
      <c r="U270" s="6">
        <v>4.5</v>
      </c>
      <c r="V270" s="7">
        <f t="shared" si="9"/>
        <v>3</v>
      </c>
      <c r="W270">
        <f>IF(SalesDataTable[[#This Row],[Returned]]="Yes",1,0)</f>
        <v>0</v>
      </c>
    </row>
    <row r="271" spans="1:23">
      <c r="A271" t="s">
        <v>506</v>
      </c>
      <c r="B271" s="3">
        <v>45936</v>
      </c>
      <c r="C271" s="3">
        <v>45941</v>
      </c>
      <c r="D271" t="s">
        <v>240</v>
      </c>
      <c r="E271" t="s">
        <v>35</v>
      </c>
      <c r="F271" t="s">
        <v>25</v>
      </c>
      <c r="G271" t="s">
        <v>36</v>
      </c>
      <c r="H271" t="s">
        <v>37</v>
      </c>
      <c r="I271" t="s">
        <v>38</v>
      </c>
      <c r="J271" t="s">
        <v>39</v>
      </c>
      <c r="K271" t="s">
        <v>39</v>
      </c>
      <c r="L271" t="s">
        <v>46</v>
      </c>
      <c r="M271" t="s">
        <v>47</v>
      </c>
      <c r="N271">
        <v>7</v>
      </c>
      <c r="O271" s="4">
        <v>397.69</v>
      </c>
      <c r="P271" s="5">
        <v>0</v>
      </c>
      <c r="Q271" s="4">
        <v>587.58000000000004</v>
      </c>
      <c r="R271" s="4">
        <f t="shared" si="8"/>
        <v>2783.83</v>
      </c>
      <c r="S271" s="4">
        <f>R271*_xlfn.XLOOKUP(I271,Lookup_Lists!$A$2:$A$5,Lookup_Lists!$B$2:$B$5)-Q271-IF(T271="Yes",R271*0.2,0)</f>
        <v>303.24559999999997</v>
      </c>
      <c r="T271" t="s">
        <v>32</v>
      </c>
      <c r="U271" s="6">
        <v>4</v>
      </c>
      <c r="V271" s="7">
        <f t="shared" si="9"/>
        <v>5</v>
      </c>
      <c r="W271">
        <f>IF(SalesDataTable[[#This Row],[Returned]]="Yes",1,0)</f>
        <v>0</v>
      </c>
    </row>
    <row r="272" spans="1:23">
      <c r="A272" t="s">
        <v>507</v>
      </c>
      <c r="B272" s="3">
        <v>45904</v>
      </c>
      <c r="C272" s="3">
        <v>45909</v>
      </c>
      <c r="D272" t="s">
        <v>508</v>
      </c>
      <c r="E272" t="s">
        <v>70</v>
      </c>
      <c r="F272" t="s">
        <v>25</v>
      </c>
      <c r="G272" t="s">
        <v>26</v>
      </c>
      <c r="H272" t="s">
        <v>67</v>
      </c>
      <c r="I272" t="s">
        <v>28</v>
      </c>
      <c r="J272" t="s">
        <v>29</v>
      </c>
      <c r="K272" t="s">
        <v>29</v>
      </c>
      <c r="L272" t="s">
        <v>46</v>
      </c>
      <c r="M272" t="s">
        <v>55</v>
      </c>
      <c r="N272">
        <v>1</v>
      </c>
      <c r="O272" s="4">
        <v>48675.73</v>
      </c>
      <c r="P272" s="5">
        <v>0</v>
      </c>
      <c r="Q272" s="4">
        <v>1219</v>
      </c>
      <c r="R272" s="4">
        <f t="shared" si="8"/>
        <v>48675.73</v>
      </c>
      <c r="S272" s="4">
        <f>R272*_xlfn.XLOOKUP(I272,Lookup_Lists!$A$2:$A$5,Lookup_Lists!$B$2:$B$5)-Q272-IF(T272="Yes",R272*0.2,0)</f>
        <v>7542.6314000000002</v>
      </c>
      <c r="T272" t="s">
        <v>32</v>
      </c>
      <c r="U272" s="6">
        <v>4.5</v>
      </c>
      <c r="V272" s="7">
        <f t="shared" si="9"/>
        <v>5</v>
      </c>
      <c r="W272">
        <f>IF(SalesDataTable[[#This Row],[Returned]]="Yes",1,0)</f>
        <v>0</v>
      </c>
    </row>
    <row r="273" spans="1:23">
      <c r="A273" t="s">
        <v>509</v>
      </c>
      <c r="B273" s="3">
        <v>45716</v>
      </c>
      <c r="C273" s="3">
        <v>45720</v>
      </c>
      <c r="D273" t="s">
        <v>510</v>
      </c>
      <c r="E273" t="s">
        <v>70</v>
      </c>
      <c r="F273" t="s">
        <v>25</v>
      </c>
      <c r="G273" t="s">
        <v>26</v>
      </c>
      <c r="H273" t="s">
        <v>27</v>
      </c>
      <c r="I273" t="s">
        <v>38</v>
      </c>
      <c r="J273" t="s">
        <v>45</v>
      </c>
      <c r="K273" t="s">
        <v>45</v>
      </c>
      <c r="L273" t="s">
        <v>54</v>
      </c>
      <c r="M273" t="s">
        <v>89</v>
      </c>
      <c r="N273">
        <v>1</v>
      </c>
      <c r="O273" s="4">
        <v>275</v>
      </c>
      <c r="P273" s="5">
        <v>0</v>
      </c>
      <c r="Q273" s="4">
        <v>376.33</v>
      </c>
      <c r="R273" s="4">
        <f t="shared" si="8"/>
        <v>275</v>
      </c>
      <c r="S273" s="4">
        <f>R273*_xlfn.XLOOKUP(I273,Lookup_Lists!$A$2:$A$5,Lookup_Lists!$B$2:$B$5)-Q273-IF(T273="Yes",R273*0.2,0)</f>
        <v>-288.33</v>
      </c>
      <c r="T273" t="s">
        <v>32</v>
      </c>
      <c r="U273" s="6">
        <v>5</v>
      </c>
      <c r="V273" s="7">
        <f t="shared" si="9"/>
        <v>4</v>
      </c>
      <c r="W273">
        <f>IF(SalesDataTable[[#This Row],[Returned]]="Yes",1,0)</f>
        <v>0</v>
      </c>
    </row>
    <row r="274" spans="1:23">
      <c r="A274" t="s">
        <v>511</v>
      </c>
      <c r="B274" s="3">
        <v>45733</v>
      </c>
      <c r="C274" s="3">
        <v>45734</v>
      </c>
      <c r="D274" t="s">
        <v>504</v>
      </c>
      <c r="E274" t="s">
        <v>35</v>
      </c>
      <c r="F274" t="s">
        <v>25</v>
      </c>
      <c r="G274" t="s">
        <v>26</v>
      </c>
      <c r="H274" t="s">
        <v>67</v>
      </c>
      <c r="I274" t="s">
        <v>38</v>
      </c>
      <c r="J274" t="s">
        <v>130</v>
      </c>
      <c r="K274" t="s">
        <v>130</v>
      </c>
      <c r="L274" t="s">
        <v>30</v>
      </c>
      <c r="M274" t="s">
        <v>55</v>
      </c>
      <c r="N274">
        <v>6</v>
      </c>
      <c r="O274" s="4">
        <v>661.48</v>
      </c>
      <c r="P274" s="5">
        <v>0.05</v>
      </c>
      <c r="Q274" s="4">
        <v>408.24</v>
      </c>
      <c r="R274" s="4">
        <f t="shared" si="8"/>
        <v>3770.4360000000001</v>
      </c>
      <c r="S274" s="4">
        <f>R274*_xlfn.XLOOKUP(I274,Lookup_Lists!$A$2:$A$5,Lookup_Lists!$B$2:$B$5)-Q274-IF(T274="Yes",R274*0.2,0)</f>
        <v>798.29952000000003</v>
      </c>
      <c r="T274" t="s">
        <v>32</v>
      </c>
      <c r="U274" s="6">
        <v>4.4000000000000004</v>
      </c>
      <c r="V274" s="7">
        <f t="shared" si="9"/>
        <v>1</v>
      </c>
      <c r="W274">
        <f>IF(SalesDataTable[[#This Row],[Returned]]="Yes",1,0)</f>
        <v>0</v>
      </c>
    </row>
    <row r="275" spans="1:23">
      <c r="A275" t="s">
        <v>512</v>
      </c>
      <c r="B275" s="3">
        <v>45731</v>
      </c>
      <c r="C275" s="3">
        <v>45738</v>
      </c>
      <c r="D275" t="s">
        <v>513</v>
      </c>
      <c r="E275" t="s">
        <v>24</v>
      </c>
      <c r="F275" t="s">
        <v>25</v>
      </c>
      <c r="G275" t="s">
        <v>26</v>
      </c>
      <c r="H275" t="s">
        <v>82</v>
      </c>
      <c r="I275" t="s">
        <v>28</v>
      </c>
      <c r="J275" t="s">
        <v>123</v>
      </c>
      <c r="K275" t="s">
        <v>123</v>
      </c>
      <c r="L275" t="s">
        <v>60</v>
      </c>
      <c r="M275" t="s">
        <v>31</v>
      </c>
      <c r="N275">
        <v>3</v>
      </c>
      <c r="O275" s="4">
        <v>1708.1</v>
      </c>
      <c r="P275" s="5">
        <v>0</v>
      </c>
      <c r="Q275" s="4">
        <v>218.75</v>
      </c>
      <c r="R275" s="4">
        <f t="shared" si="8"/>
        <v>5124.2999999999993</v>
      </c>
      <c r="S275" s="4">
        <f>R275*_xlfn.XLOOKUP(I275,Lookup_Lists!$A$2:$A$5,Lookup_Lists!$B$2:$B$5)-Q275-IF(T275="Yes",R275*0.2,0)</f>
        <v>703.6239999999998</v>
      </c>
      <c r="T275" t="s">
        <v>32</v>
      </c>
      <c r="U275" s="6">
        <v>4.7</v>
      </c>
      <c r="V275" s="7">
        <f t="shared" si="9"/>
        <v>7</v>
      </c>
      <c r="W275">
        <f>IF(SalesDataTable[[#This Row],[Returned]]="Yes",1,0)</f>
        <v>0</v>
      </c>
    </row>
    <row r="276" spans="1:23">
      <c r="A276" t="s">
        <v>514</v>
      </c>
      <c r="B276" s="3">
        <v>45916</v>
      </c>
      <c r="C276" s="3">
        <v>45922</v>
      </c>
      <c r="D276" t="s">
        <v>447</v>
      </c>
      <c r="E276" t="s">
        <v>24</v>
      </c>
      <c r="F276" t="s">
        <v>25</v>
      </c>
      <c r="G276" t="s">
        <v>50</v>
      </c>
      <c r="H276" t="s">
        <v>51</v>
      </c>
      <c r="I276" t="s">
        <v>58</v>
      </c>
      <c r="J276" t="s">
        <v>92</v>
      </c>
      <c r="K276" t="s">
        <v>92</v>
      </c>
      <c r="L276" t="s">
        <v>64</v>
      </c>
      <c r="M276" t="s">
        <v>31</v>
      </c>
      <c r="N276">
        <v>2</v>
      </c>
      <c r="O276" s="4">
        <v>7779.67</v>
      </c>
      <c r="P276" s="5">
        <v>0.05</v>
      </c>
      <c r="Q276" s="4">
        <v>387.68</v>
      </c>
      <c r="R276" s="4">
        <f t="shared" si="8"/>
        <v>14781.373</v>
      </c>
      <c r="S276" s="4">
        <f>R276*_xlfn.XLOOKUP(I276,Lookup_Lists!$A$2:$A$5,Lookup_Lists!$B$2:$B$5)-Q276-IF(T276="Yes",R276*0.2,0)</f>
        <v>3159.8495199999998</v>
      </c>
      <c r="T276" t="s">
        <v>32</v>
      </c>
      <c r="U276" s="6">
        <v>4.7</v>
      </c>
      <c r="V276" s="7">
        <f t="shared" si="9"/>
        <v>6</v>
      </c>
      <c r="W276">
        <f>IF(SalesDataTable[[#This Row],[Returned]]="Yes",1,0)</f>
        <v>0</v>
      </c>
    </row>
    <row r="277" spans="1:23">
      <c r="A277" t="s">
        <v>515</v>
      </c>
      <c r="B277" s="3">
        <v>46005</v>
      </c>
      <c r="C277" s="3">
        <v>46011</v>
      </c>
      <c r="D277" t="s">
        <v>113</v>
      </c>
      <c r="E277" t="s">
        <v>70</v>
      </c>
      <c r="F277" t="s">
        <v>25</v>
      </c>
      <c r="G277" t="s">
        <v>43</v>
      </c>
      <c r="H277" t="s">
        <v>122</v>
      </c>
      <c r="I277" t="s">
        <v>38</v>
      </c>
      <c r="J277" t="s">
        <v>45</v>
      </c>
      <c r="K277" t="s">
        <v>45</v>
      </c>
      <c r="L277" t="s">
        <v>54</v>
      </c>
      <c r="M277" t="s">
        <v>47</v>
      </c>
      <c r="N277">
        <v>4</v>
      </c>
      <c r="O277" s="4">
        <v>258.54000000000002</v>
      </c>
      <c r="P277" s="5">
        <v>0.05</v>
      </c>
      <c r="Q277" s="4">
        <v>518.11</v>
      </c>
      <c r="R277" s="4">
        <f t="shared" si="8"/>
        <v>982.452</v>
      </c>
      <c r="S277" s="4">
        <f>R277*_xlfn.XLOOKUP(I277,Lookup_Lists!$A$2:$A$5,Lookup_Lists!$B$2:$B$5)-Q277-IF(T277="Yes",R277*0.2,0)</f>
        <v>-203.72536000000002</v>
      </c>
      <c r="T277" t="s">
        <v>32</v>
      </c>
      <c r="U277" s="6">
        <v>3.4</v>
      </c>
      <c r="V277" s="7">
        <f t="shared" si="9"/>
        <v>6</v>
      </c>
      <c r="W277">
        <f>IF(SalesDataTable[[#This Row],[Returned]]="Yes",1,0)</f>
        <v>0</v>
      </c>
    </row>
    <row r="278" spans="1:23">
      <c r="A278" t="s">
        <v>516</v>
      </c>
      <c r="B278" s="3">
        <v>46014</v>
      </c>
      <c r="C278" s="3">
        <v>46019</v>
      </c>
      <c r="D278" t="s">
        <v>332</v>
      </c>
      <c r="E278" t="s">
        <v>35</v>
      </c>
      <c r="F278" t="s">
        <v>25</v>
      </c>
      <c r="G278" t="s">
        <v>43</v>
      </c>
      <c r="H278" t="s">
        <v>102</v>
      </c>
      <c r="I278" t="s">
        <v>38</v>
      </c>
      <c r="J278" t="s">
        <v>39</v>
      </c>
      <c r="K278" t="s">
        <v>39</v>
      </c>
      <c r="L278" t="s">
        <v>54</v>
      </c>
      <c r="M278" t="s">
        <v>31</v>
      </c>
      <c r="N278">
        <v>2</v>
      </c>
      <c r="O278" s="4">
        <v>393.42</v>
      </c>
      <c r="P278" s="5">
        <v>0.1</v>
      </c>
      <c r="Q278" s="4">
        <v>541.77</v>
      </c>
      <c r="R278" s="4">
        <f t="shared" si="8"/>
        <v>708.15600000000006</v>
      </c>
      <c r="S278" s="4">
        <f>R278*_xlfn.XLOOKUP(I278,Lookup_Lists!$A$2:$A$5,Lookup_Lists!$B$2:$B$5)-Q278-IF(T278="Yes",R278*0.2,0)</f>
        <v>-315.16007999999999</v>
      </c>
      <c r="T278" t="s">
        <v>32</v>
      </c>
      <c r="U278" s="6">
        <v>4.4000000000000004</v>
      </c>
      <c r="V278" s="7">
        <f t="shared" si="9"/>
        <v>5</v>
      </c>
      <c r="W278">
        <f>IF(SalesDataTable[[#This Row],[Returned]]="Yes",1,0)</f>
        <v>0</v>
      </c>
    </row>
    <row r="279" spans="1:23">
      <c r="A279" t="s">
        <v>517</v>
      </c>
      <c r="B279" s="3">
        <v>45993</v>
      </c>
      <c r="C279" s="3">
        <v>45995</v>
      </c>
      <c r="D279" t="s">
        <v>457</v>
      </c>
      <c r="E279" t="s">
        <v>24</v>
      </c>
      <c r="F279" t="s">
        <v>25</v>
      </c>
      <c r="G279" t="s">
        <v>36</v>
      </c>
      <c r="H279" t="s">
        <v>37</v>
      </c>
      <c r="I279" t="s">
        <v>28</v>
      </c>
      <c r="J279" t="s">
        <v>111</v>
      </c>
      <c r="K279" t="s">
        <v>111</v>
      </c>
      <c r="L279" t="s">
        <v>30</v>
      </c>
      <c r="M279" t="s">
        <v>55</v>
      </c>
      <c r="N279">
        <v>1</v>
      </c>
      <c r="O279" s="4">
        <v>1249</v>
      </c>
      <c r="P279" s="5">
        <v>0.05</v>
      </c>
      <c r="Q279" s="4">
        <v>447.51</v>
      </c>
      <c r="R279" s="4">
        <f t="shared" si="8"/>
        <v>1186.55</v>
      </c>
      <c r="S279" s="4">
        <f>R279*_xlfn.XLOOKUP(I279,Lookup_Lists!$A$2:$A$5,Lookup_Lists!$B$2:$B$5)-Q279-IF(T279="Yes",R279*0.2,0)</f>
        <v>-233.93100000000001</v>
      </c>
      <c r="T279" t="s">
        <v>32</v>
      </c>
      <c r="U279" s="6">
        <v>4.4000000000000004</v>
      </c>
      <c r="V279" s="7">
        <f t="shared" si="9"/>
        <v>2</v>
      </c>
      <c r="W279">
        <f>IF(SalesDataTable[[#This Row],[Returned]]="Yes",1,0)</f>
        <v>0</v>
      </c>
    </row>
    <row r="280" spans="1:23">
      <c r="A280" t="s">
        <v>518</v>
      </c>
      <c r="B280" s="3">
        <v>45861</v>
      </c>
      <c r="C280" s="3">
        <v>45868</v>
      </c>
      <c r="D280" t="s">
        <v>519</v>
      </c>
      <c r="E280" t="s">
        <v>35</v>
      </c>
      <c r="F280" t="s">
        <v>25</v>
      </c>
      <c r="G280" t="s">
        <v>36</v>
      </c>
      <c r="H280" t="s">
        <v>145</v>
      </c>
      <c r="I280" t="s">
        <v>58</v>
      </c>
      <c r="J280" t="s">
        <v>88</v>
      </c>
      <c r="K280" t="s">
        <v>88</v>
      </c>
      <c r="L280" t="s">
        <v>54</v>
      </c>
      <c r="M280" t="s">
        <v>55</v>
      </c>
      <c r="N280">
        <v>3</v>
      </c>
      <c r="O280" s="4">
        <v>8008.26</v>
      </c>
      <c r="P280" s="5">
        <v>0</v>
      </c>
      <c r="Q280" s="4">
        <v>519.07000000000005</v>
      </c>
      <c r="R280" s="4">
        <f t="shared" si="8"/>
        <v>24024.78</v>
      </c>
      <c r="S280" s="4">
        <f>R280*_xlfn.XLOOKUP(I280,Lookup_Lists!$A$2:$A$5,Lookup_Lists!$B$2:$B$5)-Q280-IF(T280="Yes",R280*0.2,0)</f>
        <v>5246.8771999999999</v>
      </c>
      <c r="T280" t="s">
        <v>32</v>
      </c>
      <c r="U280" s="6">
        <v>4.5</v>
      </c>
      <c r="V280" s="7">
        <f t="shared" si="9"/>
        <v>7</v>
      </c>
      <c r="W280">
        <f>IF(SalesDataTable[[#This Row],[Returned]]="Yes",1,0)</f>
        <v>0</v>
      </c>
    </row>
    <row r="281" spans="1:23">
      <c r="A281" t="s">
        <v>520</v>
      </c>
      <c r="B281" s="3">
        <v>46016</v>
      </c>
      <c r="C281" s="3">
        <v>46018</v>
      </c>
      <c r="D281" t="s">
        <v>332</v>
      </c>
      <c r="E281" t="s">
        <v>35</v>
      </c>
      <c r="F281" t="s">
        <v>25</v>
      </c>
      <c r="G281" t="s">
        <v>36</v>
      </c>
      <c r="H281" t="s">
        <v>37</v>
      </c>
      <c r="I281" t="s">
        <v>38</v>
      </c>
      <c r="J281" t="s">
        <v>130</v>
      </c>
      <c r="K281" t="s">
        <v>130</v>
      </c>
      <c r="L281" t="s">
        <v>30</v>
      </c>
      <c r="M281" t="s">
        <v>89</v>
      </c>
      <c r="N281">
        <v>1</v>
      </c>
      <c r="O281" s="4">
        <v>818.56</v>
      </c>
      <c r="P281" s="5">
        <v>0</v>
      </c>
      <c r="Q281" s="4">
        <v>144.19999999999999</v>
      </c>
      <c r="R281" s="4">
        <f t="shared" si="8"/>
        <v>818.56</v>
      </c>
      <c r="S281" s="4">
        <f>R281*_xlfn.XLOOKUP(I281,Lookup_Lists!$A$2:$A$5,Lookup_Lists!$B$2:$B$5)-Q281-IF(T281="Yes",R281*0.2,0)</f>
        <v>117.73919999999998</v>
      </c>
      <c r="T281" t="s">
        <v>32</v>
      </c>
      <c r="U281" s="6">
        <v>4.5999999999999996</v>
      </c>
      <c r="V281" s="7">
        <f t="shared" si="9"/>
        <v>2</v>
      </c>
      <c r="W281">
        <f>IF(SalesDataTable[[#This Row],[Returned]]="Yes",1,0)</f>
        <v>0</v>
      </c>
    </row>
    <row r="282" spans="1:23">
      <c r="A282" t="s">
        <v>521</v>
      </c>
      <c r="B282" s="3">
        <v>45965</v>
      </c>
      <c r="C282" s="3">
        <v>45969</v>
      </c>
      <c r="D282" t="s">
        <v>353</v>
      </c>
      <c r="E282" t="s">
        <v>35</v>
      </c>
      <c r="F282" t="s">
        <v>25</v>
      </c>
      <c r="G282" t="s">
        <v>26</v>
      </c>
      <c r="H282" t="s">
        <v>82</v>
      </c>
      <c r="I282" t="s">
        <v>28</v>
      </c>
      <c r="J282" t="s">
        <v>29</v>
      </c>
      <c r="K282" t="s">
        <v>29</v>
      </c>
      <c r="L282" t="s">
        <v>30</v>
      </c>
      <c r="M282" t="s">
        <v>47</v>
      </c>
      <c r="N282">
        <v>3</v>
      </c>
      <c r="O282" s="4">
        <v>53887.69</v>
      </c>
      <c r="P282" s="5">
        <v>0.1</v>
      </c>
      <c r="Q282" s="4">
        <v>2845.51</v>
      </c>
      <c r="R282" s="4">
        <f t="shared" si="8"/>
        <v>145496.76300000001</v>
      </c>
      <c r="S282" s="4">
        <f>R282*_xlfn.XLOOKUP(I282,Lookup_Lists!$A$2:$A$5,Lookup_Lists!$B$2:$B$5)-Q282-IF(T282="Yes",R282*0.2,0)</f>
        <v>23343.907339999998</v>
      </c>
      <c r="T282" t="s">
        <v>32</v>
      </c>
      <c r="U282" s="6">
        <v>4.5999999999999996</v>
      </c>
      <c r="V282" s="7">
        <f t="shared" si="9"/>
        <v>4</v>
      </c>
      <c r="W282">
        <f>IF(SalesDataTable[[#This Row],[Returned]]="Yes",1,0)</f>
        <v>0</v>
      </c>
    </row>
    <row r="283" spans="1:23">
      <c r="A283" t="s">
        <v>522</v>
      </c>
      <c r="B283" s="3">
        <v>45882</v>
      </c>
      <c r="C283" s="3">
        <v>45883</v>
      </c>
      <c r="D283" t="s">
        <v>314</v>
      </c>
      <c r="E283" t="s">
        <v>24</v>
      </c>
      <c r="F283" t="s">
        <v>25</v>
      </c>
      <c r="G283" t="s">
        <v>43</v>
      </c>
      <c r="H283" t="s">
        <v>63</v>
      </c>
      <c r="I283" t="s">
        <v>28</v>
      </c>
      <c r="J283" t="s">
        <v>99</v>
      </c>
      <c r="K283" t="s">
        <v>99</v>
      </c>
      <c r="L283" t="s">
        <v>46</v>
      </c>
      <c r="M283" t="s">
        <v>40</v>
      </c>
      <c r="N283">
        <v>3</v>
      </c>
      <c r="O283" s="4">
        <v>3787.73</v>
      </c>
      <c r="P283" s="5">
        <v>0</v>
      </c>
      <c r="Q283" s="4">
        <v>623.80999999999995</v>
      </c>
      <c r="R283" s="4">
        <f t="shared" si="8"/>
        <v>11363.19</v>
      </c>
      <c r="S283" s="4">
        <f>R283*_xlfn.XLOOKUP(I283,Lookup_Lists!$A$2:$A$5,Lookup_Lists!$B$2:$B$5)-Q283-IF(T283="Yes",R283*0.2,0)</f>
        <v>1421.5642</v>
      </c>
      <c r="T283" t="s">
        <v>32</v>
      </c>
      <c r="U283" s="6">
        <v>3.8</v>
      </c>
      <c r="V283" s="7">
        <f t="shared" si="9"/>
        <v>1</v>
      </c>
      <c r="W283">
        <f>IF(SalesDataTable[[#This Row],[Returned]]="Yes",1,0)</f>
        <v>0</v>
      </c>
    </row>
    <row r="284" spans="1:23">
      <c r="A284" t="s">
        <v>523</v>
      </c>
      <c r="B284" s="3">
        <v>45702</v>
      </c>
      <c r="C284" s="3">
        <v>45705</v>
      </c>
      <c r="D284" t="s">
        <v>465</v>
      </c>
      <c r="E284" t="s">
        <v>35</v>
      </c>
      <c r="F284" t="s">
        <v>25</v>
      </c>
      <c r="G284" t="s">
        <v>36</v>
      </c>
      <c r="H284" t="s">
        <v>138</v>
      </c>
      <c r="I284" t="s">
        <v>38</v>
      </c>
      <c r="J284" t="s">
        <v>130</v>
      </c>
      <c r="K284" t="s">
        <v>130</v>
      </c>
      <c r="L284" t="s">
        <v>54</v>
      </c>
      <c r="M284" t="s">
        <v>89</v>
      </c>
      <c r="N284">
        <v>5</v>
      </c>
      <c r="O284" s="4">
        <v>731.41</v>
      </c>
      <c r="P284" s="5">
        <v>0.1</v>
      </c>
      <c r="Q284" s="4">
        <v>453.55</v>
      </c>
      <c r="R284" s="4">
        <f t="shared" si="8"/>
        <v>3291.3449999999998</v>
      </c>
      <c r="S284" s="4">
        <f>R284*_xlfn.XLOOKUP(I284,Lookup_Lists!$A$2:$A$5,Lookup_Lists!$B$2:$B$5)-Q284-IF(T284="Yes",R284*0.2,0)</f>
        <v>599.68039999999996</v>
      </c>
      <c r="T284" t="s">
        <v>32</v>
      </c>
      <c r="U284" s="6">
        <v>3.9</v>
      </c>
      <c r="V284" s="7">
        <f t="shared" si="9"/>
        <v>3</v>
      </c>
      <c r="W284">
        <f>IF(SalesDataTable[[#This Row],[Returned]]="Yes",1,0)</f>
        <v>0</v>
      </c>
    </row>
    <row r="285" spans="1:23">
      <c r="A285" t="s">
        <v>524</v>
      </c>
      <c r="B285" s="3">
        <v>45773</v>
      </c>
      <c r="C285" s="3">
        <v>45778</v>
      </c>
      <c r="D285" t="s">
        <v>525</v>
      </c>
      <c r="E285" t="s">
        <v>70</v>
      </c>
      <c r="F285" t="s">
        <v>25</v>
      </c>
      <c r="G285" t="s">
        <v>36</v>
      </c>
      <c r="H285" t="s">
        <v>126</v>
      </c>
      <c r="I285" t="s">
        <v>28</v>
      </c>
      <c r="J285" t="s">
        <v>111</v>
      </c>
      <c r="K285" t="s">
        <v>111</v>
      </c>
      <c r="L285" t="s">
        <v>46</v>
      </c>
      <c r="M285" t="s">
        <v>31</v>
      </c>
      <c r="N285">
        <v>1</v>
      </c>
      <c r="O285" s="4">
        <v>1161.93</v>
      </c>
      <c r="P285" s="5">
        <v>0.2</v>
      </c>
      <c r="Q285" s="4">
        <v>555.11</v>
      </c>
      <c r="R285" s="4">
        <f t="shared" si="8"/>
        <v>929.5440000000001</v>
      </c>
      <c r="S285" s="4">
        <f>R285*_xlfn.XLOOKUP(I285,Lookup_Lists!$A$2:$A$5,Lookup_Lists!$B$2:$B$5)-Q285-IF(T285="Yes",R285*0.2,0)</f>
        <v>-387.79208</v>
      </c>
      <c r="T285" t="s">
        <v>32</v>
      </c>
      <c r="U285" s="6">
        <v>5</v>
      </c>
      <c r="V285" s="7">
        <f t="shared" si="9"/>
        <v>5</v>
      </c>
      <c r="W285">
        <f>IF(SalesDataTable[[#This Row],[Returned]]="Yes",1,0)</f>
        <v>0</v>
      </c>
    </row>
    <row r="286" spans="1:23">
      <c r="A286" t="s">
        <v>526</v>
      </c>
      <c r="B286" s="3">
        <v>45933</v>
      </c>
      <c r="C286" s="3">
        <v>45940</v>
      </c>
      <c r="D286" t="s">
        <v>340</v>
      </c>
      <c r="E286" t="s">
        <v>70</v>
      </c>
      <c r="F286" t="s">
        <v>25</v>
      </c>
      <c r="G286" t="s">
        <v>36</v>
      </c>
      <c r="H286" t="s">
        <v>138</v>
      </c>
      <c r="I286" t="s">
        <v>38</v>
      </c>
      <c r="J286" t="s">
        <v>108</v>
      </c>
      <c r="K286" t="s">
        <v>108</v>
      </c>
      <c r="L286" t="s">
        <v>30</v>
      </c>
      <c r="M286" t="s">
        <v>47</v>
      </c>
      <c r="N286">
        <v>3</v>
      </c>
      <c r="O286" s="4">
        <v>137.87</v>
      </c>
      <c r="P286" s="5">
        <v>0.15</v>
      </c>
      <c r="Q286" s="4">
        <v>360.93</v>
      </c>
      <c r="R286" s="4">
        <f t="shared" si="8"/>
        <v>351.56850000000003</v>
      </c>
      <c r="S286" s="4">
        <f>R286*_xlfn.XLOOKUP(I286,Lookup_Lists!$A$2:$A$5,Lookup_Lists!$B$2:$B$5)-Q286-IF(T286="Yes",R286*0.2,0)</f>
        <v>-248.42807999999999</v>
      </c>
      <c r="T286" t="s">
        <v>32</v>
      </c>
      <c r="U286" s="6">
        <v>3.7</v>
      </c>
      <c r="V286" s="7">
        <f t="shared" si="9"/>
        <v>7</v>
      </c>
      <c r="W286">
        <f>IF(SalesDataTable[[#This Row],[Returned]]="Yes",1,0)</f>
        <v>0</v>
      </c>
    </row>
    <row r="287" spans="1:23">
      <c r="A287" t="s">
        <v>527</v>
      </c>
      <c r="B287" s="3">
        <v>45770</v>
      </c>
      <c r="C287" s="3">
        <v>45776</v>
      </c>
      <c r="D287" t="s">
        <v>118</v>
      </c>
      <c r="E287" t="s">
        <v>35</v>
      </c>
      <c r="F287" t="s">
        <v>25</v>
      </c>
      <c r="G287" t="s">
        <v>43</v>
      </c>
      <c r="H287" t="s">
        <v>102</v>
      </c>
      <c r="I287" t="s">
        <v>52</v>
      </c>
      <c r="J287" t="s">
        <v>114</v>
      </c>
      <c r="K287" t="s">
        <v>114</v>
      </c>
      <c r="L287" t="s">
        <v>30</v>
      </c>
      <c r="M287" t="s">
        <v>55</v>
      </c>
      <c r="N287">
        <v>1</v>
      </c>
      <c r="O287" s="4">
        <v>8625.08</v>
      </c>
      <c r="P287" s="5">
        <v>0.1</v>
      </c>
      <c r="Q287" s="4">
        <v>677.39</v>
      </c>
      <c r="R287" s="4">
        <f t="shared" si="8"/>
        <v>7762.5720000000001</v>
      </c>
      <c r="S287" s="4">
        <f>R287*_xlfn.XLOOKUP(I287,Lookup_Lists!$A$2:$A$5,Lookup_Lists!$B$2:$B$5)-Q287-IF(T287="Yes",R287*0.2,0)</f>
        <v>1340.8787200000002</v>
      </c>
      <c r="T287" t="s">
        <v>32</v>
      </c>
      <c r="U287" s="6">
        <v>4.8</v>
      </c>
      <c r="V287" s="7">
        <f t="shared" si="9"/>
        <v>6</v>
      </c>
      <c r="W287">
        <f>IF(SalesDataTable[[#This Row],[Returned]]="Yes",1,0)</f>
        <v>0</v>
      </c>
    </row>
    <row r="288" spans="1:23">
      <c r="A288" t="s">
        <v>528</v>
      </c>
      <c r="B288" s="3">
        <v>45749</v>
      </c>
      <c r="C288" s="3">
        <v>45753</v>
      </c>
      <c r="D288" t="s">
        <v>265</v>
      </c>
      <c r="E288" t="s">
        <v>35</v>
      </c>
      <c r="F288" t="s">
        <v>25</v>
      </c>
      <c r="G288" t="s">
        <v>43</v>
      </c>
      <c r="H288" t="s">
        <v>63</v>
      </c>
      <c r="I288" t="s">
        <v>52</v>
      </c>
      <c r="J288" t="s">
        <v>94</v>
      </c>
      <c r="K288" t="s">
        <v>94</v>
      </c>
      <c r="L288" t="s">
        <v>46</v>
      </c>
      <c r="M288" t="s">
        <v>40</v>
      </c>
      <c r="N288">
        <v>1</v>
      </c>
      <c r="O288" s="4">
        <v>4572.5600000000004</v>
      </c>
      <c r="P288" s="5">
        <v>0</v>
      </c>
      <c r="Q288" s="4">
        <v>279.24</v>
      </c>
      <c r="R288" s="4">
        <f t="shared" si="8"/>
        <v>4572.5600000000004</v>
      </c>
      <c r="S288" s="4">
        <f>R288*_xlfn.XLOOKUP(I288,Lookup_Lists!$A$2:$A$5,Lookup_Lists!$B$2:$B$5)-Q288-IF(T288="Yes",R288*0.2,0)</f>
        <v>909.62560000000008</v>
      </c>
      <c r="T288" t="s">
        <v>32</v>
      </c>
      <c r="U288" s="6">
        <v>4.5999999999999996</v>
      </c>
      <c r="V288" s="7">
        <f t="shared" si="9"/>
        <v>4</v>
      </c>
      <c r="W288">
        <f>IF(SalesDataTable[[#This Row],[Returned]]="Yes",1,0)</f>
        <v>0</v>
      </c>
    </row>
    <row r="289" spans="1:23">
      <c r="A289" t="s">
        <v>529</v>
      </c>
      <c r="B289" s="3">
        <v>45712</v>
      </c>
      <c r="C289" s="3">
        <v>45713</v>
      </c>
      <c r="D289" t="s">
        <v>148</v>
      </c>
      <c r="E289" t="s">
        <v>70</v>
      </c>
      <c r="F289" t="s">
        <v>25</v>
      </c>
      <c r="G289" t="s">
        <v>36</v>
      </c>
      <c r="H289" t="s">
        <v>126</v>
      </c>
      <c r="I289" t="s">
        <v>38</v>
      </c>
      <c r="J289" t="s">
        <v>130</v>
      </c>
      <c r="K289" t="s">
        <v>130</v>
      </c>
      <c r="L289" t="s">
        <v>60</v>
      </c>
      <c r="M289" t="s">
        <v>47</v>
      </c>
      <c r="N289">
        <v>2</v>
      </c>
      <c r="O289" s="4">
        <v>682.24</v>
      </c>
      <c r="P289" s="5">
        <v>0.2</v>
      </c>
      <c r="Q289" s="4">
        <v>602.63</v>
      </c>
      <c r="R289" s="4">
        <f t="shared" si="8"/>
        <v>1091.5840000000001</v>
      </c>
      <c r="S289" s="4">
        <f>R289*_xlfn.XLOOKUP(I289,Lookup_Lists!$A$2:$A$5,Lookup_Lists!$B$2:$B$5)-Q289-IF(T289="Yes",R289*0.2,0)</f>
        <v>-253.32311999999996</v>
      </c>
      <c r="T289" t="s">
        <v>32</v>
      </c>
      <c r="U289" s="6">
        <v>4</v>
      </c>
      <c r="V289" s="7">
        <f t="shared" si="9"/>
        <v>1</v>
      </c>
      <c r="W289">
        <f>IF(SalesDataTable[[#This Row],[Returned]]="Yes",1,0)</f>
        <v>0</v>
      </c>
    </row>
    <row r="290" spans="1:23">
      <c r="A290" t="s">
        <v>530</v>
      </c>
      <c r="B290" s="3">
        <v>45798</v>
      </c>
      <c r="C290" s="3">
        <v>45802</v>
      </c>
      <c r="D290" t="s">
        <v>531</v>
      </c>
      <c r="E290" t="s">
        <v>81</v>
      </c>
      <c r="F290" t="s">
        <v>25</v>
      </c>
      <c r="G290" t="s">
        <v>43</v>
      </c>
      <c r="H290" t="s">
        <v>102</v>
      </c>
      <c r="I290" t="s">
        <v>28</v>
      </c>
      <c r="J290" t="s">
        <v>99</v>
      </c>
      <c r="K290" t="s">
        <v>99</v>
      </c>
      <c r="L290" t="s">
        <v>54</v>
      </c>
      <c r="M290" t="s">
        <v>31</v>
      </c>
      <c r="N290">
        <v>4</v>
      </c>
      <c r="O290" s="4">
        <v>3582.24</v>
      </c>
      <c r="P290" s="5">
        <v>0.05</v>
      </c>
      <c r="Q290" s="4">
        <v>581.35</v>
      </c>
      <c r="R290" s="4">
        <f t="shared" si="8"/>
        <v>13612.511999999999</v>
      </c>
      <c r="S290" s="4">
        <f>R290*_xlfn.XLOOKUP(I290,Lookup_Lists!$A$2:$A$5,Lookup_Lists!$B$2:$B$5)-Q290-IF(T290="Yes",R290*0.2,0)</f>
        <v>1868.9021599999996</v>
      </c>
      <c r="T290" t="s">
        <v>32</v>
      </c>
      <c r="U290" s="6">
        <v>4.2</v>
      </c>
      <c r="V290" s="7">
        <f t="shared" si="9"/>
        <v>4</v>
      </c>
      <c r="W290">
        <f>IF(SalesDataTable[[#This Row],[Returned]]="Yes",1,0)</f>
        <v>0</v>
      </c>
    </row>
    <row r="291" spans="1:23">
      <c r="A291" t="s">
        <v>532</v>
      </c>
      <c r="B291" s="3">
        <v>45719</v>
      </c>
      <c r="C291" s="3">
        <v>45725</v>
      </c>
      <c r="D291" t="s">
        <v>397</v>
      </c>
      <c r="E291" t="s">
        <v>70</v>
      </c>
      <c r="F291" t="s">
        <v>25</v>
      </c>
      <c r="G291" t="s">
        <v>50</v>
      </c>
      <c r="H291" t="s">
        <v>78</v>
      </c>
      <c r="I291" t="s">
        <v>38</v>
      </c>
      <c r="J291" t="s">
        <v>45</v>
      </c>
      <c r="K291" t="s">
        <v>45</v>
      </c>
      <c r="L291" t="s">
        <v>46</v>
      </c>
      <c r="M291" t="s">
        <v>55</v>
      </c>
      <c r="N291">
        <v>2</v>
      </c>
      <c r="O291" s="4">
        <v>296.02</v>
      </c>
      <c r="P291" s="5">
        <v>0</v>
      </c>
      <c r="Q291" s="4">
        <v>238.7</v>
      </c>
      <c r="R291" s="4">
        <f t="shared" si="8"/>
        <v>592.04</v>
      </c>
      <c r="S291" s="4">
        <f>R291*_xlfn.XLOOKUP(I291,Lookup_Lists!$A$2:$A$5,Lookup_Lists!$B$2:$B$5)-Q291-IF(T291="Yes",R291*0.2,0)</f>
        <v>-49.247199999999992</v>
      </c>
      <c r="T291" t="s">
        <v>32</v>
      </c>
      <c r="U291" s="6">
        <v>4</v>
      </c>
      <c r="V291" s="7">
        <f t="shared" si="9"/>
        <v>6</v>
      </c>
      <c r="W291">
        <f>IF(SalesDataTable[[#This Row],[Returned]]="Yes",1,0)</f>
        <v>0</v>
      </c>
    </row>
    <row r="292" spans="1:23">
      <c r="A292" t="s">
        <v>533</v>
      </c>
      <c r="B292" s="3">
        <v>45971</v>
      </c>
      <c r="C292" s="3">
        <v>45974</v>
      </c>
      <c r="D292" t="s">
        <v>534</v>
      </c>
      <c r="E292" t="s">
        <v>35</v>
      </c>
      <c r="F292" t="s">
        <v>25</v>
      </c>
      <c r="G292" t="s">
        <v>36</v>
      </c>
      <c r="H292" t="s">
        <v>145</v>
      </c>
      <c r="I292" t="s">
        <v>58</v>
      </c>
      <c r="J292" t="s">
        <v>59</v>
      </c>
      <c r="K292" t="s">
        <v>59</v>
      </c>
      <c r="L292" t="s">
        <v>46</v>
      </c>
      <c r="M292" t="s">
        <v>47</v>
      </c>
      <c r="N292">
        <v>1</v>
      </c>
      <c r="O292" s="4">
        <v>6070.78</v>
      </c>
      <c r="P292" s="5">
        <v>0</v>
      </c>
      <c r="Q292" s="4">
        <v>499.32</v>
      </c>
      <c r="R292" s="4">
        <f t="shared" si="8"/>
        <v>6070.78</v>
      </c>
      <c r="S292" s="4">
        <f>R292*_xlfn.XLOOKUP(I292,Lookup_Lists!$A$2:$A$5,Lookup_Lists!$B$2:$B$5)-Q292-IF(T292="Yes",R292*0.2,0)</f>
        <v>957.66719999999987</v>
      </c>
      <c r="T292" t="s">
        <v>32</v>
      </c>
      <c r="U292" s="6">
        <v>4.5999999999999996</v>
      </c>
      <c r="V292" s="7">
        <f t="shared" si="9"/>
        <v>3</v>
      </c>
      <c r="W292">
        <f>IF(SalesDataTable[[#This Row],[Returned]]="Yes",1,0)</f>
        <v>0</v>
      </c>
    </row>
    <row r="293" spans="1:23">
      <c r="A293" t="s">
        <v>535</v>
      </c>
      <c r="B293" s="3">
        <v>45778</v>
      </c>
      <c r="C293" s="3">
        <v>45783</v>
      </c>
      <c r="D293" t="s">
        <v>113</v>
      </c>
      <c r="E293" t="s">
        <v>24</v>
      </c>
      <c r="F293" t="s">
        <v>25</v>
      </c>
      <c r="G293" t="s">
        <v>26</v>
      </c>
      <c r="H293" t="s">
        <v>27</v>
      </c>
      <c r="I293" t="s">
        <v>38</v>
      </c>
      <c r="J293" t="s">
        <v>108</v>
      </c>
      <c r="K293" t="s">
        <v>108</v>
      </c>
      <c r="L293" t="s">
        <v>46</v>
      </c>
      <c r="M293" t="s">
        <v>89</v>
      </c>
      <c r="N293">
        <v>1</v>
      </c>
      <c r="O293" s="4">
        <v>123.59</v>
      </c>
      <c r="P293" s="5">
        <v>0.25</v>
      </c>
      <c r="Q293" s="4">
        <v>566.01</v>
      </c>
      <c r="R293" s="4">
        <f t="shared" si="8"/>
        <v>92.692499999999995</v>
      </c>
      <c r="S293" s="4">
        <f>R293*_xlfn.XLOOKUP(I293,Lookup_Lists!$A$2:$A$5,Lookup_Lists!$B$2:$B$5)-Q293-IF(T293="Yes",R293*0.2,0)</f>
        <v>-536.34839999999997</v>
      </c>
      <c r="T293" t="s">
        <v>32</v>
      </c>
      <c r="U293" s="6">
        <v>4.5999999999999996</v>
      </c>
      <c r="V293" s="7">
        <f t="shared" si="9"/>
        <v>5</v>
      </c>
      <c r="W293">
        <f>IF(SalesDataTable[[#This Row],[Returned]]="Yes",1,0)</f>
        <v>0</v>
      </c>
    </row>
    <row r="294" spans="1:23">
      <c r="A294" t="s">
        <v>536</v>
      </c>
      <c r="B294" s="3">
        <v>45819</v>
      </c>
      <c r="C294" s="3">
        <v>45826</v>
      </c>
      <c r="D294" t="s">
        <v>383</v>
      </c>
      <c r="E294" t="s">
        <v>35</v>
      </c>
      <c r="F294" t="s">
        <v>25</v>
      </c>
      <c r="G294" t="s">
        <v>50</v>
      </c>
      <c r="H294" t="s">
        <v>87</v>
      </c>
      <c r="I294" t="s">
        <v>28</v>
      </c>
      <c r="J294" t="s">
        <v>75</v>
      </c>
      <c r="K294" t="s">
        <v>75</v>
      </c>
      <c r="L294" t="s">
        <v>54</v>
      </c>
      <c r="M294" t="s">
        <v>55</v>
      </c>
      <c r="N294">
        <v>2</v>
      </c>
      <c r="O294" s="4">
        <v>11758.55</v>
      </c>
      <c r="P294" s="5">
        <v>0</v>
      </c>
      <c r="Q294" s="4">
        <v>623.51</v>
      </c>
      <c r="R294" s="4">
        <f t="shared" si="8"/>
        <v>23517.1</v>
      </c>
      <c r="S294" s="4">
        <f>R294*_xlfn.XLOOKUP(I294,Lookup_Lists!$A$2:$A$5,Lookup_Lists!$B$2:$B$5)-Q294-IF(T294="Yes",R294*0.2,0)</f>
        <v>3609.5679999999993</v>
      </c>
      <c r="T294" t="s">
        <v>32</v>
      </c>
      <c r="U294" s="6">
        <v>3.3</v>
      </c>
      <c r="V294" s="7">
        <f t="shared" si="9"/>
        <v>7</v>
      </c>
      <c r="W294">
        <f>IF(SalesDataTable[[#This Row],[Returned]]="Yes",1,0)</f>
        <v>0</v>
      </c>
    </row>
    <row r="295" spans="1:23">
      <c r="A295" t="s">
        <v>537</v>
      </c>
      <c r="B295" s="3">
        <v>45789</v>
      </c>
      <c r="C295" s="3">
        <v>45792</v>
      </c>
      <c r="D295" t="s">
        <v>261</v>
      </c>
      <c r="E295" t="s">
        <v>35</v>
      </c>
      <c r="F295" t="s">
        <v>25</v>
      </c>
      <c r="G295" t="s">
        <v>43</v>
      </c>
      <c r="H295" t="s">
        <v>63</v>
      </c>
      <c r="I295" t="s">
        <v>38</v>
      </c>
      <c r="J295" t="s">
        <v>130</v>
      </c>
      <c r="K295" t="s">
        <v>130</v>
      </c>
      <c r="L295" t="s">
        <v>54</v>
      </c>
      <c r="M295" t="s">
        <v>55</v>
      </c>
      <c r="N295">
        <v>2</v>
      </c>
      <c r="O295" s="4">
        <v>757.37</v>
      </c>
      <c r="P295" s="5">
        <v>0.05</v>
      </c>
      <c r="Q295" s="4">
        <v>522.54</v>
      </c>
      <c r="R295" s="4">
        <f t="shared" si="8"/>
        <v>1439.0029999999999</v>
      </c>
      <c r="S295" s="4">
        <f>R295*_xlfn.XLOOKUP(I295,Lookup_Lists!$A$2:$A$5,Lookup_Lists!$B$2:$B$5)-Q295-IF(T295="Yes",R295*0.2,0)</f>
        <v>-62.059039999999982</v>
      </c>
      <c r="T295" t="s">
        <v>32</v>
      </c>
      <c r="U295" s="6">
        <v>4</v>
      </c>
      <c r="V295" s="7">
        <f t="shared" si="9"/>
        <v>3</v>
      </c>
      <c r="W295">
        <f>IF(SalesDataTable[[#This Row],[Returned]]="Yes",1,0)</f>
        <v>0</v>
      </c>
    </row>
    <row r="296" spans="1:23">
      <c r="A296" t="s">
        <v>538</v>
      </c>
      <c r="B296" s="3">
        <v>45853</v>
      </c>
      <c r="C296" s="3">
        <v>45858</v>
      </c>
      <c r="D296" t="s">
        <v>539</v>
      </c>
      <c r="E296" t="s">
        <v>70</v>
      </c>
      <c r="F296" t="s">
        <v>25</v>
      </c>
      <c r="G296" t="s">
        <v>26</v>
      </c>
      <c r="H296" t="s">
        <v>27</v>
      </c>
      <c r="I296" t="s">
        <v>38</v>
      </c>
      <c r="J296" t="s">
        <v>72</v>
      </c>
      <c r="K296" t="s">
        <v>72</v>
      </c>
      <c r="L296" t="s">
        <v>46</v>
      </c>
      <c r="M296" t="s">
        <v>31</v>
      </c>
      <c r="N296">
        <v>3</v>
      </c>
      <c r="O296" s="4">
        <v>204.24</v>
      </c>
      <c r="P296" s="5">
        <v>0</v>
      </c>
      <c r="Q296" s="4">
        <v>181.53</v>
      </c>
      <c r="R296" s="4">
        <f t="shared" si="8"/>
        <v>612.72</v>
      </c>
      <c r="S296" s="4">
        <f>R296*_xlfn.XLOOKUP(I296,Lookup_Lists!$A$2:$A$5,Lookup_Lists!$B$2:$B$5)-Q296-IF(T296="Yes",R296*0.2,0)</f>
        <v>14.540400000000005</v>
      </c>
      <c r="T296" t="s">
        <v>32</v>
      </c>
      <c r="U296" s="6">
        <v>4.2</v>
      </c>
      <c r="V296" s="7">
        <f t="shared" si="9"/>
        <v>5</v>
      </c>
      <c r="W296">
        <f>IF(SalesDataTable[[#This Row],[Returned]]="Yes",1,0)</f>
        <v>0</v>
      </c>
    </row>
    <row r="297" spans="1:23">
      <c r="A297" t="s">
        <v>540</v>
      </c>
      <c r="B297" s="3">
        <v>45794</v>
      </c>
      <c r="C297" s="3">
        <v>45799</v>
      </c>
      <c r="D297" t="s">
        <v>496</v>
      </c>
      <c r="E297" t="s">
        <v>35</v>
      </c>
      <c r="F297" t="s">
        <v>25</v>
      </c>
      <c r="G297" t="s">
        <v>36</v>
      </c>
      <c r="H297" t="s">
        <v>37</v>
      </c>
      <c r="I297" t="s">
        <v>38</v>
      </c>
      <c r="J297" t="s">
        <v>130</v>
      </c>
      <c r="K297" t="s">
        <v>130</v>
      </c>
      <c r="L297" t="s">
        <v>60</v>
      </c>
      <c r="M297" t="s">
        <v>47</v>
      </c>
      <c r="N297">
        <v>1</v>
      </c>
      <c r="O297" s="4">
        <v>795.38</v>
      </c>
      <c r="P297" s="5">
        <v>0</v>
      </c>
      <c r="Q297" s="4">
        <v>225.67</v>
      </c>
      <c r="R297" s="4">
        <f t="shared" si="8"/>
        <v>795.38</v>
      </c>
      <c r="S297" s="4">
        <f>R297*_xlfn.XLOOKUP(I297,Lookup_Lists!$A$2:$A$5,Lookup_Lists!$B$2:$B$5)-Q297-IF(T297="Yes",R297*0.2,0)</f>
        <v>28.851600000000019</v>
      </c>
      <c r="T297" t="s">
        <v>32</v>
      </c>
      <c r="U297" s="6">
        <v>4.7</v>
      </c>
      <c r="V297" s="7">
        <f t="shared" si="9"/>
        <v>5</v>
      </c>
      <c r="W297">
        <f>IF(SalesDataTable[[#This Row],[Returned]]="Yes",1,0)</f>
        <v>0</v>
      </c>
    </row>
    <row r="298" spans="1:23">
      <c r="A298" t="s">
        <v>541</v>
      </c>
      <c r="B298" s="3">
        <v>46016</v>
      </c>
      <c r="C298" s="3">
        <v>46022</v>
      </c>
      <c r="D298" t="s">
        <v>148</v>
      </c>
      <c r="E298" t="s">
        <v>35</v>
      </c>
      <c r="F298" t="s">
        <v>25</v>
      </c>
      <c r="G298" t="s">
        <v>36</v>
      </c>
      <c r="H298" t="s">
        <v>126</v>
      </c>
      <c r="I298" t="s">
        <v>28</v>
      </c>
      <c r="J298" t="s">
        <v>111</v>
      </c>
      <c r="K298" t="s">
        <v>111</v>
      </c>
      <c r="L298" t="s">
        <v>46</v>
      </c>
      <c r="M298" t="s">
        <v>89</v>
      </c>
      <c r="N298">
        <v>4</v>
      </c>
      <c r="O298" s="4">
        <v>1244.6300000000001</v>
      </c>
      <c r="P298" s="5">
        <v>0.25</v>
      </c>
      <c r="Q298" s="4">
        <v>213.92</v>
      </c>
      <c r="R298" s="4">
        <f t="shared" si="8"/>
        <v>3733.8900000000003</v>
      </c>
      <c r="S298" s="4">
        <f>R298*_xlfn.XLOOKUP(I298,Lookup_Lists!$A$2:$A$5,Lookup_Lists!$B$2:$B$5)-Q298-IF(T298="Yes",R298*0.2,0)</f>
        <v>458.18020000000013</v>
      </c>
      <c r="T298" t="s">
        <v>32</v>
      </c>
      <c r="U298" s="6">
        <v>5</v>
      </c>
      <c r="V298" s="7">
        <f t="shared" si="9"/>
        <v>6</v>
      </c>
      <c r="W298">
        <f>IF(SalesDataTable[[#This Row],[Returned]]="Yes",1,0)</f>
        <v>0</v>
      </c>
    </row>
    <row r="299" spans="1:23">
      <c r="A299" t="s">
        <v>542</v>
      </c>
      <c r="B299" s="3">
        <v>45857</v>
      </c>
      <c r="C299" s="3">
        <v>45860</v>
      </c>
      <c r="D299" t="s">
        <v>349</v>
      </c>
      <c r="E299" t="s">
        <v>35</v>
      </c>
      <c r="F299" t="s">
        <v>25</v>
      </c>
      <c r="G299" t="s">
        <v>43</v>
      </c>
      <c r="H299" t="s">
        <v>102</v>
      </c>
      <c r="I299" t="s">
        <v>38</v>
      </c>
      <c r="J299" t="s">
        <v>108</v>
      </c>
      <c r="K299" t="s">
        <v>108</v>
      </c>
      <c r="L299" t="s">
        <v>46</v>
      </c>
      <c r="M299" t="s">
        <v>40</v>
      </c>
      <c r="N299">
        <v>1</v>
      </c>
      <c r="O299" s="4">
        <v>129.49</v>
      </c>
      <c r="P299" s="5">
        <v>0.15</v>
      </c>
      <c r="Q299" s="4">
        <v>267.31</v>
      </c>
      <c r="R299" s="4">
        <f t="shared" si="8"/>
        <v>110.0665</v>
      </c>
      <c r="S299" s="4">
        <f>R299*_xlfn.XLOOKUP(I299,Lookup_Lists!$A$2:$A$5,Lookup_Lists!$B$2:$B$5)-Q299-IF(T299="Yes",R299*0.2,0)</f>
        <v>-232.08872</v>
      </c>
      <c r="T299" t="s">
        <v>32</v>
      </c>
      <c r="U299" s="6">
        <v>4.9000000000000004</v>
      </c>
      <c r="V299" s="7">
        <f t="shared" si="9"/>
        <v>3</v>
      </c>
      <c r="W299">
        <f>IF(SalesDataTable[[#This Row],[Returned]]="Yes",1,0)</f>
        <v>0</v>
      </c>
    </row>
    <row r="300" spans="1:23">
      <c r="A300" t="s">
        <v>543</v>
      </c>
      <c r="B300" s="3">
        <v>45934</v>
      </c>
      <c r="C300" s="3">
        <v>45937</v>
      </c>
      <c r="D300" t="s">
        <v>304</v>
      </c>
      <c r="E300" t="s">
        <v>35</v>
      </c>
      <c r="F300" t="s">
        <v>25</v>
      </c>
      <c r="G300" t="s">
        <v>26</v>
      </c>
      <c r="H300" t="s">
        <v>67</v>
      </c>
      <c r="I300" t="s">
        <v>38</v>
      </c>
      <c r="J300" t="s">
        <v>130</v>
      </c>
      <c r="K300" t="s">
        <v>130</v>
      </c>
      <c r="L300" t="s">
        <v>46</v>
      </c>
      <c r="M300" t="s">
        <v>31</v>
      </c>
      <c r="N300">
        <v>2</v>
      </c>
      <c r="O300" s="4">
        <v>688.91</v>
      </c>
      <c r="P300" s="5">
        <v>0.05</v>
      </c>
      <c r="Q300" s="4">
        <v>559.35</v>
      </c>
      <c r="R300" s="4">
        <f t="shared" si="8"/>
        <v>1308.9289999999999</v>
      </c>
      <c r="S300" s="4">
        <f>R300*_xlfn.XLOOKUP(I300,Lookup_Lists!$A$2:$A$5,Lookup_Lists!$B$2:$B$5)-Q300-IF(T300="Yes",R300*0.2,0)</f>
        <v>-140.49272000000008</v>
      </c>
      <c r="T300" t="s">
        <v>32</v>
      </c>
      <c r="U300" s="6">
        <v>4.0999999999999996</v>
      </c>
      <c r="V300" s="7">
        <f t="shared" si="9"/>
        <v>3</v>
      </c>
      <c r="W300">
        <f>IF(SalesDataTable[[#This Row],[Returned]]="Yes",1,0)</f>
        <v>0</v>
      </c>
    </row>
    <row r="301" spans="1:23">
      <c r="A301" t="s">
        <v>544</v>
      </c>
      <c r="B301" s="3">
        <v>45813</v>
      </c>
      <c r="C301" s="3">
        <v>45814</v>
      </c>
      <c r="D301" t="s">
        <v>110</v>
      </c>
      <c r="E301" t="s">
        <v>70</v>
      </c>
      <c r="F301" t="s">
        <v>25</v>
      </c>
      <c r="G301" t="s">
        <v>26</v>
      </c>
      <c r="H301" t="s">
        <v>82</v>
      </c>
      <c r="I301" t="s">
        <v>28</v>
      </c>
      <c r="J301" t="s">
        <v>99</v>
      </c>
      <c r="K301" t="s">
        <v>99</v>
      </c>
      <c r="L301" t="s">
        <v>54</v>
      </c>
      <c r="M301" t="s">
        <v>47</v>
      </c>
      <c r="N301">
        <v>6</v>
      </c>
      <c r="O301" s="4">
        <v>3580.92</v>
      </c>
      <c r="P301" s="5">
        <v>0</v>
      </c>
      <c r="Q301" s="4">
        <v>647.63</v>
      </c>
      <c r="R301" s="4">
        <f t="shared" si="8"/>
        <v>21485.52</v>
      </c>
      <c r="S301" s="4">
        <f>R301*_xlfn.XLOOKUP(I301,Lookup_Lists!$A$2:$A$5,Lookup_Lists!$B$2:$B$5)-Q301-IF(T301="Yes",R301*0.2,0)</f>
        <v>3219.7635999999998</v>
      </c>
      <c r="T301" t="s">
        <v>32</v>
      </c>
      <c r="U301" s="6">
        <v>4.5999999999999996</v>
      </c>
      <c r="V301" s="7">
        <f t="shared" si="9"/>
        <v>1</v>
      </c>
      <c r="W301">
        <f>IF(SalesDataTable[[#This Row],[Returned]]="Yes",1,0)</f>
        <v>0</v>
      </c>
    </row>
    <row r="302" spans="1:23">
      <c r="A302" t="s">
        <v>545</v>
      </c>
      <c r="B302" s="3">
        <v>45776</v>
      </c>
      <c r="C302" s="3">
        <v>45783</v>
      </c>
      <c r="D302" t="s">
        <v>508</v>
      </c>
      <c r="E302" t="s">
        <v>70</v>
      </c>
      <c r="F302" t="s">
        <v>25</v>
      </c>
      <c r="G302" t="s">
        <v>26</v>
      </c>
      <c r="H302" t="s">
        <v>67</v>
      </c>
      <c r="I302" t="s">
        <v>52</v>
      </c>
      <c r="J302" t="s">
        <v>53</v>
      </c>
      <c r="K302" t="s">
        <v>53</v>
      </c>
      <c r="L302" t="s">
        <v>46</v>
      </c>
      <c r="M302" t="s">
        <v>40</v>
      </c>
      <c r="N302">
        <v>3</v>
      </c>
      <c r="O302" s="4">
        <v>590.59</v>
      </c>
      <c r="P302" s="5">
        <v>0.15</v>
      </c>
      <c r="Q302" s="4">
        <v>232.31</v>
      </c>
      <c r="R302" s="4">
        <f t="shared" si="8"/>
        <v>1506.0045</v>
      </c>
      <c r="S302" s="4">
        <f>R302*_xlfn.XLOOKUP(I302,Lookup_Lists!$A$2:$A$5,Lookup_Lists!$B$2:$B$5)-Q302-IF(T302="Yes",R302*0.2,0)</f>
        <v>159.25117</v>
      </c>
      <c r="T302" t="s">
        <v>32</v>
      </c>
      <c r="U302" s="6">
        <v>3.9</v>
      </c>
      <c r="V302" s="7">
        <f t="shared" si="9"/>
        <v>7</v>
      </c>
      <c r="W302">
        <f>IF(SalesDataTable[[#This Row],[Returned]]="Yes",1,0)</f>
        <v>0</v>
      </c>
    </row>
    <row r="303" spans="1:23">
      <c r="A303" t="s">
        <v>546</v>
      </c>
      <c r="B303" s="3">
        <v>45971</v>
      </c>
      <c r="C303" s="3">
        <v>45978</v>
      </c>
      <c r="D303" t="s">
        <v>344</v>
      </c>
      <c r="E303" t="s">
        <v>70</v>
      </c>
      <c r="F303" t="s">
        <v>25</v>
      </c>
      <c r="G303" t="s">
        <v>43</v>
      </c>
      <c r="H303" t="s">
        <v>44</v>
      </c>
      <c r="I303" t="s">
        <v>58</v>
      </c>
      <c r="J303" t="s">
        <v>92</v>
      </c>
      <c r="K303" t="s">
        <v>92</v>
      </c>
      <c r="L303" t="s">
        <v>54</v>
      </c>
      <c r="M303" t="s">
        <v>55</v>
      </c>
      <c r="N303">
        <v>1</v>
      </c>
      <c r="O303" s="4">
        <v>8641.1200000000008</v>
      </c>
      <c r="P303" s="5">
        <v>0.05</v>
      </c>
      <c r="Q303" s="4">
        <v>608.89</v>
      </c>
      <c r="R303" s="4">
        <f t="shared" si="8"/>
        <v>8209.0640000000003</v>
      </c>
      <c r="S303" s="4">
        <f>R303*_xlfn.XLOOKUP(I303,Lookup_Lists!$A$2:$A$5,Lookup_Lists!$B$2:$B$5)-Q303-IF(T303="Yes",R303*0.2,0)</f>
        <v>1361.2853599999999</v>
      </c>
      <c r="T303" t="s">
        <v>32</v>
      </c>
      <c r="U303" s="6">
        <v>3.9</v>
      </c>
      <c r="V303" s="7">
        <f t="shared" si="9"/>
        <v>7</v>
      </c>
      <c r="W303">
        <f>IF(SalesDataTable[[#This Row],[Returned]]="Yes",1,0)</f>
        <v>0</v>
      </c>
    </row>
    <row r="304" spans="1:23">
      <c r="A304" t="s">
        <v>547</v>
      </c>
      <c r="B304" s="3">
        <v>45822</v>
      </c>
      <c r="C304" s="3">
        <v>45823</v>
      </c>
      <c r="D304" t="s">
        <v>242</v>
      </c>
      <c r="E304" t="s">
        <v>35</v>
      </c>
      <c r="F304" t="s">
        <v>25</v>
      </c>
      <c r="G304" t="s">
        <v>50</v>
      </c>
      <c r="H304" t="s">
        <v>51</v>
      </c>
      <c r="I304" t="s">
        <v>52</v>
      </c>
      <c r="J304" t="s">
        <v>105</v>
      </c>
      <c r="K304" t="s">
        <v>105</v>
      </c>
      <c r="L304" t="s">
        <v>54</v>
      </c>
      <c r="M304" t="s">
        <v>47</v>
      </c>
      <c r="N304">
        <v>4</v>
      </c>
      <c r="O304" s="4">
        <v>1234.8</v>
      </c>
      <c r="P304" s="5">
        <v>0</v>
      </c>
      <c r="Q304" s="4">
        <v>435.43</v>
      </c>
      <c r="R304" s="4">
        <f t="shared" si="8"/>
        <v>4939.2</v>
      </c>
      <c r="S304" s="4">
        <f>R304*_xlfn.XLOOKUP(I304,Lookup_Lists!$A$2:$A$5,Lookup_Lists!$B$2:$B$5)-Q304-IF(T304="Yes",R304*0.2,0)</f>
        <v>848.76199999999994</v>
      </c>
      <c r="T304" t="s">
        <v>32</v>
      </c>
      <c r="U304" s="6">
        <v>4</v>
      </c>
      <c r="V304" s="7">
        <f t="shared" si="9"/>
        <v>1</v>
      </c>
      <c r="W304">
        <f>IF(SalesDataTable[[#This Row],[Returned]]="Yes",1,0)</f>
        <v>0</v>
      </c>
    </row>
    <row r="305" spans="1:23">
      <c r="A305" t="s">
        <v>548</v>
      </c>
      <c r="B305" s="3">
        <v>45848</v>
      </c>
      <c r="C305" s="3">
        <v>45852</v>
      </c>
      <c r="D305" t="s">
        <v>549</v>
      </c>
      <c r="E305" t="s">
        <v>24</v>
      </c>
      <c r="F305" t="s">
        <v>25</v>
      </c>
      <c r="G305" t="s">
        <v>43</v>
      </c>
      <c r="H305" t="s">
        <v>122</v>
      </c>
      <c r="I305" t="s">
        <v>52</v>
      </c>
      <c r="J305" t="s">
        <v>94</v>
      </c>
      <c r="K305" t="s">
        <v>94</v>
      </c>
      <c r="L305" t="s">
        <v>54</v>
      </c>
      <c r="M305" t="s">
        <v>47</v>
      </c>
      <c r="N305">
        <v>1</v>
      </c>
      <c r="O305" s="4">
        <v>4901.01</v>
      </c>
      <c r="P305" s="5">
        <v>0</v>
      </c>
      <c r="Q305" s="4">
        <v>633.19000000000005</v>
      </c>
      <c r="R305" s="4">
        <f t="shared" si="8"/>
        <v>4901.01</v>
      </c>
      <c r="S305" s="4">
        <f>R305*_xlfn.XLOOKUP(I305,Lookup_Lists!$A$2:$A$5,Lookup_Lists!$B$2:$B$5)-Q305-IF(T305="Yes",R305*0.2,0)</f>
        <v>641.07259999999997</v>
      </c>
      <c r="T305" t="s">
        <v>32</v>
      </c>
      <c r="U305" s="6">
        <v>5</v>
      </c>
      <c r="V305" s="7">
        <f t="shared" si="9"/>
        <v>4</v>
      </c>
      <c r="W305">
        <f>IF(SalesDataTable[[#This Row],[Returned]]="Yes",1,0)</f>
        <v>0</v>
      </c>
    </row>
    <row r="306" spans="1:23">
      <c r="A306" t="s">
        <v>550</v>
      </c>
      <c r="B306" s="3">
        <v>45664</v>
      </c>
      <c r="C306" s="3">
        <v>45665</v>
      </c>
      <c r="D306" t="s">
        <v>250</v>
      </c>
      <c r="E306" t="s">
        <v>24</v>
      </c>
      <c r="F306" t="s">
        <v>25</v>
      </c>
      <c r="G306" t="s">
        <v>36</v>
      </c>
      <c r="H306" t="s">
        <v>138</v>
      </c>
      <c r="I306" t="s">
        <v>28</v>
      </c>
      <c r="J306" t="s">
        <v>29</v>
      </c>
      <c r="K306" t="s">
        <v>29</v>
      </c>
      <c r="L306" t="s">
        <v>54</v>
      </c>
      <c r="M306" t="s">
        <v>89</v>
      </c>
      <c r="N306">
        <v>2</v>
      </c>
      <c r="O306" s="4">
        <v>61081.01</v>
      </c>
      <c r="P306" s="5">
        <v>0.05</v>
      </c>
      <c r="Q306" s="4">
        <v>2300.85</v>
      </c>
      <c r="R306" s="4">
        <f t="shared" si="8"/>
        <v>116053.91899999999</v>
      </c>
      <c r="S306" s="4">
        <f>R306*_xlfn.XLOOKUP(I306,Lookup_Lists!$A$2:$A$5,Lookup_Lists!$B$2:$B$5)-Q306-IF(T306="Yes",R306*0.2,0)</f>
        <v>18588.85542</v>
      </c>
      <c r="T306" t="s">
        <v>32</v>
      </c>
      <c r="U306" s="6">
        <v>4.0999999999999996</v>
      </c>
      <c r="V306" s="7">
        <f t="shared" si="9"/>
        <v>1</v>
      </c>
      <c r="W306">
        <f>IF(SalesDataTable[[#This Row],[Returned]]="Yes",1,0)</f>
        <v>0</v>
      </c>
    </row>
    <row r="307" spans="1:23">
      <c r="A307" t="s">
        <v>551</v>
      </c>
      <c r="B307" s="3">
        <v>45679</v>
      </c>
      <c r="C307" s="3">
        <v>45685</v>
      </c>
      <c r="D307" t="s">
        <v>304</v>
      </c>
      <c r="E307" t="s">
        <v>70</v>
      </c>
      <c r="F307" t="s">
        <v>25</v>
      </c>
      <c r="G307" t="s">
        <v>43</v>
      </c>
      <c r="H307" t="s">
        <v>102</v>
      </c>
      <c r="I307" t="s">
        <v>38</v>
      </c>
      <c r="J307" t="s">
        <v>108</v>
      </c>
      <c r="K307" t="s">
        <v>108</v>
      </c>
      <c r="L307" t="s">
        <v>46</v>
      </c>
      <c r="M307" t="s">
        <v>89</v>
      </c>
      <c r="N307">
        <v>5</v>
      </c>
      <c r="O307" s="4">
        <v>113.44</v>
      </c>
      <c r="P307" s="5">
        <v>0</v>
      </c>
      <c r="Q307" s="4">
        <v>449.27</v>
      </c>
      <c r="R307" s="4">
        <f t="shared" si="8"/>
        <v>567.20000000000005</v>
      </c>
      <c r="S307" s="4">
        <f>R307*_xlfn.XLOOKUP(I307,Lookup_Lists!$A$2:$A$5,Lookup_Lists!$B$2:$B$5)-Q307-IF(T307="Yes",R307*0.2,0)</f>
        <v>-267.76599999999996</v>
      </c>
      <c r="T307" t="s">
        <v>32</v>
      </c>
      <c r="U307" s="6">
        <v>4.8</v>
      </c>
      <c r="V307" s="7">
        <f t="shared" si="9"/>
        <v>6</v>
      </c>
      <c r="W307">
        <f>IF(SalesDataTable[[#This Row],[Returned]]="Yes",1,0)</f>
        <v>0</v>
      </c>
    </row>
    <row r="308" spans="1:23">
      <c r="A308" t="s">
        <v>552</v>
      </c>
      <c r="B308" s="3">
        <v>45743</v>
      </c>
      <c r="C308" s="3">
        <v>45750</v>
      </c>
      <c r="D308" t="s">
        <v>553</v>
      </c>
      <c r="E308" t="s">
        <v>70</v>
      </c>
      <c r="F308" t="s">
        <v>25</v>
      </c>
      <c r="G308" t="s">
        <v>36</v>
      </c>
      <c r="H308" t="s">
        <v>145</v>
      </c>
      <c r="I308" t="s">
        <v>28</v>
      </c>
      <c r="J308" t="s">
        <v>29</v>
      </c>
      <c r="K308" t="s">
        <v>29</v>
      </c>
      <c r="L308" t="s">
        <v>46</v>
      </c>
      <c r="M308" t="s">
        <v>47</v>
      </c>
      <c r="N308">
        <v>3</v>
      </c>
      <c r="O308" s="4">
        <v>48177.87</v>
      </c>
      <c r="P308" s="5">
        <v>0.1</v>
      </c>
      <c r="Q308" s="4">
        <v>2389.7800000000002</v>
      </c>
      <c r="R308" s="4">
        <f t="shared" si="8"/>
        <v>130080.24900000001</v>
      </c>
      <c r="S308" s="4">
        <f>R308*_xlfn.XLOOKUP(I308,Lookup_Lists!$A$2:$A$5,Lookup_Lists!$B$2:$B$5)-Q308-IF(T308="Yes",R308*0.2,0)</f>
        <v>21024.664820000002</v>
      </c>
      <c r="T308" t="s">
        <v>32</v>
      </c>
      <c r="U308" s="6">
        <v>4.0999999999999996</v>
      </c>
      <c r="V308" s="7">
        <f t="shared" si="9"/>
        <v>7</v>
      </c>
      <c r="W308">
        <f>IF(SalesDataTable[[#This Row],[Returned]]="Yes",1,0)</f>
        <v>0</v>
      </c>
    </row>
    <row r="309" spans="1:23">
      <c r="A309" t="s">
        <v>554</v>
      </c>
      <c r="B309" s="3">
        <v>45978</v>
      </c>
      <c r="C309" s="3">
        <v>45979</v>
      </c>
      <c r="D309" t="s">
        <v>84</v>
      </c>
      <c r="E309" t="s">
        <v>35</v>
      </c>
      <c r="F309" t="s">
        <v>25</v>
      </c>
      <c r="G309" t="s">
        <v>26</v>
      </c>
      <c r="H309" t="s">
        <v>153</v>
      </c>
      <c r="I309" t="s">
        <v>28</v>
      </c>
      <c r="J309" t="s">
        <v>75</v>
      </c>
      <c r="K309" t="s">
        <v>75</v>
      </c>
      <c r="L309" t="s">
        <v>54</v>
      </c>
      <c r="M309" t="s">
        <v>31</v>
      </c>
      <c r="N309">
        <v>4</v>
      </c>
      <c r="O309" s="4">
        <v>12177.1</v>
      </c>
      <c r="P309" s="5">
        <v>0.15</v>
      </c>
      <c r="Q309" s="4">
        <v>1060.7</v>
      </c>
      <c r="R309" s="4">
        <f t="shared" si="8"/>
        <v>41402.14</v>
      </c>
      <c r="S309" s="4">
        <f>R309*_xlfn.XLOOKUP(I309,Lookup_Lists!$A$2:$A$5,Lookup_Lists!$B$2:$B$5)-Q309-IF(T309="Yes",R309*0.2,0)</f>
        <v>6391.6851999999999</v>
      </c>
      <c r="T309" t="s">
        <v>32</v>
      </c>
      <c r="U309" s="6">
        <v>4</v>
      </c>
      <c r="V309" s="7">
        <f t="shared" si="9"/>
        <v>1</v>
      </c>
      <c r="W309">
        <f>IF(SalesDataTable[[#This Row],[Returned]]="Yes",1,0)</f>
        <v>0</v>
      </c>
    </row>
    <row r="310" spans="1:23">
      <c r="A310" t="s">
        <v>555</v>
      </c>
      <c r="B310" s="3">
        <v>46010</v>
      </c>
      <c r="C310" s="3">
        <v>46014</v>
      </c>
      <c r="D310" t="s">
        <v>214</v>
      </c>
      <c r="E310" t="s">
        <v>24</v>
      </c>
      <c r="F310" t="s">
        <v>25</v>
      </c>
      <c r="G310" t="s">
        <v>43</v>
      </c>
      <c r="H310" t="s">
        <v>122</v>
      </c>
      <c r="I310" t="s">
        <v>58</v>
      </c>
      <c r="J310" t="s">
        <v>88</v>
      </c>
      <c r="K310" t="s">
        <v>88</v>
      </c>
      <c r="L310" t="s">
        <v>46</v>
      </c>
      <c r="M310" t="s">
        <v>31</v>
      </c>
      <c r="N310">
        <v>3</v>
      </c>
      <c r="O310" s="4">
        <v>6745.92</v>
      </c>
      <c r="P310" s="5">
        <v>0</v>
      </c>
      <c r="Q310" s="4">
        <v>581.74</v>
      </c>
      <c r="R310" s="4">
        <f t="shared" si="8"/>
        <v>20237.760000000002</v>
      </c>
      <c r="S310" s="4">
        <f>R310*_xlfn.XLOOKUP(I310,Lookup_Lists!$A$2:$A$5,Lookup_Lists!$B$2:$B$5)-Q310-IF(T310="Yes",R310*0.2,0)</f>
        <v>4275.3224000000009</v>
      </c>
      <c r="T310" t="s">
        <v>32</v>
      </c>
      <c r="U310" s="6">
        <v>4.2</v>
      </c>
      <c r="V310" s="7">
        <f t="shared" si="9"/>
        <v>4</v>
      </c>
      <c r="W310">
        <f>IF(SalesDataTable[[#This Row],[Returned]]="Yes",1,0)</f>
        <v>0</v>
      </c>
    </row>
    <row r="311" spans="1:23">
      <c r="A311" t="s">
        <v>556</v>
      </c>
      <c r="B311" s="3">
        <v>45941</v>
      </c>
      <c r="C311" s="3">
        <v>45943</v>
      </c>
      <c r="D311" t="s">
        <v>557</v>
      </c>
      <c r="E311" t="s">
        <v>70</v>
      </c>
      <c r="F311" t="s">
        <v>25</v>
      </c>
      <c r="G311" t="s">
        <v>36</v>
      </c>
      <c r="H311" t="s">
        <v>37</v>
      </c>
      <c r="I311" t="s">
        <v>38</v>
      </c>
      <c r="J311" t="s">
        <v>130</v>
      </c>
      <c r="K311" t="s">
        <v>130</v>
      </c>
      <c r="L311" t="s">
        <v>46</v>
      </c>
      <c r="M311" t="s">
        <v>89</v>
      </c>
      <c r="N311">
        <v>4</v>
      </c>
      <c r="O311" s="4">
        <v>722.25</v>
      </c>
      <c r="P311" s="5">
        <v>0.1</v>
      </c>
      <c r="Q311" s="4">
        <v>626.61</v>
      </c>
      <c r="R311" s="4">
        <f t="shared" si="8"/>
        <v>2600.1</v>
      </c>
      <c r="S311" s="4">
        <f>R311*_xlfn.XLOOKUP(I311,Lookup_Lists!$A$2:$A$5,Lookup_Lists!$B$2:$B$5)-Q311-IF(T311="Yes",R311*0.2,0)</f>
        <v>205.42200000000003</v>
      </c>
      <c r="T311" t="s">
        <v>32</v>
      </c>
      <c r="U311" s="6">
        <v>5</v>
      </c>
      <c r="V311" s="7">
        <f t="shared" si="9"/>
        <v>2</v>
      </c>
      <c r="W311">
        <f>IF(SalesDataTable[[#This Row],[Returned]]="Yes",1,0)</f>
        <v>0</v>
      </c>
    </row>
    <row r="312" spans="1:23">
      <c r="A312" t="s">
        <v>558</v>
      </c>
      <c r="B312" s="3">
        <v>45844</v>
      </c>
      <c r="C312" s="3">
        <v>45851</v>
      </c>
      <c r="D312" t="s">
        <v>232</v>
      </c>
      <c r="E312" t="s">
        <v>35</v>
      </c>
      <c r="F312" t="s">
        <v>25</v>
      </c>
      <c r="G312" t="s">
        <v>50</v>
      </c>
      <c r="H312" t="s">
        <v>87</v>
      </c>
      <c r="I312" t="s">
        <v>28</v>
      </c>
      <c r="J312" t="s">
        <v>111</v>
      </c>
      <c r="K312" t="s">
        <v>111</v>
      </c>
      <c r="L312" t="s">
        <v>30</v>
      </c>
      <c r="M312" t="s">
        <v>40</v>
      </c>
      <c r="N312">
        <v>3</v>
      </c>
      <c r="O312" s="4">
        <v>1172.1400000000001</v>
      </c>
      <c r="P312" s="5">
        <v>0.1</v>
      </c>
      <c r="Q312" s="4">
        <v>195.71</v>
      </c>
      <c r="R312" s="4">
        <f t="shared" si="8"/>
        <v>3164.7780000000002</v>
      </c>
      <c r="S312" s="4">
        <f>R312*_xlfn.XLOOKUP(I312,Lookup_Lists!$A$2:$A$5,Lookup_Lists!$B$2:$B$5)-Q312-IF(T312="Yes",R312*0.2,0)</f>
        <v>373.95003999999994</v>
      </c>
      <c r="T312" t="s">
        <v>32</v>
      </c>
      <c r="U312" s="6">
        <v>5</v>
      </c>
      <c r="V312" s="7">
        <f t="shared" si="9"/>
        <v>7</v>
      </c>
      <c r="W312">
        <f>IF(SalesDataTable[[#This Row],[Returned]]="Yes",1,0)</f>
        <v>0</v>
      </c>
    </row>
    <row r="313" spans="1:23">
      <c r="A313" t="s">
        <v>559</v>
      </c>
      <c r="B313" s="3">
        <v>45724</v>
      </c>
      <c r="C313" s="3">
        <v>45726</v>
      </c>
      <c r="D313" t="s">
        <v>318</v>
      </c>
      <c r="E313" t="s">
        <v>35</v>
      </c>
      <c r="F313" t="s">
        <v>25</v>
      </c>
      <c r="G313" t="s">
        <v>36</v>
      </c>
      <c r="H313" t="s">
        <v>145</v>
      </c>
      <c r="I313" t="s">
        <v>28</v>
      </c>
      <c r="J313" t="s">
        <v>99</v>
      </c>
      <c r="K313" t="s">
        <v>99</v>
      </c>
      <c r="L313" t="s">
        <v>30</v>
      </c>
      <c r="M313" t="s">
        <v>47</v>
      </c>
      <c r="N313">
        <v>3</v>
      </c>
      <c r="O313" s="4">
        <v>3632.11</v>
      </c>
      <c r="P313" s="5">
        <v>0.1</v>
      </c>
      <c r="Q313" s="4">
        <v>389.33</v>
      </c>
      <c r="R313" s="4">
        <f t="shared" si="8"/>
        <v>9806.6970000000001</v>
      </c>
      <c r="S313" s="4">
        <f>R313*_xlfn.XLOOKUP(I313,Lookup_Lists!$A$2:$A$5,Lookup_Lists!$B$2:$B$5)-Q313-IF(T313="Yes",R313*0.2,0)</f>
        <v>1375.87546</v>
      </c>
      <c r="T313" t="s">
        <v>32</v>
      </c>
      <c r="U313" s="6">
        <v>4.7</v>
      </c>
      <c r="V313" s="7">
        <f t="shared" si="9"/>
        <v>2</v>
      </c>
      <c r="W313">
        <f>IF(SalesDataTable[[#This Row],[Returned]]="Yes",1,0)</f>
        <v>0</v>
      </c>
    </row>
    <row r="314" spans="1:23">
      <c r="A314" t="s">
        <v>560</v>
      </c>
      <c r="B314" s="3">
        <v>45968</v>
      </c>
      <c r="C314" s="3">
        <v>45974</v>
      </c>
      <c r="D314" t="s">
        <v>286</v>
      </c>
      <c r="E314" t="s">
        <v>35</v>
      </c>
      <c r="F314" t="s">
        <v>25</v>
      </c>
      <c r="G314" t="s">
        <v>26</v>
      </c>
      <c r="H314" t="s">
        <v>67</v>
      </c>
      <c r="I314" t="s">
        <v>52</v>
      </c>
      <c r="J314" t="s">
        <v>114</v>
      </c>
      <c r="K314" t="s">
        <v>114</v>
      </c>
      <c r="L314" t="s">
        <v>46</v>
      </c>
      <c r="M314" t="s">
        <v>89</v>
      </c>
      <c r="N314">
        <v>2</v>
      </c>
      <c r="O314" s="4">
        <v>10478.91</v>
      </c>
      <c r="P314" s="5">
        <v>0.2</v>
      </c>
      <c r="Q314" s="4">
        <v>862.92</v>
      </c>
      <c r="R314" s="4">
        <f t="shared" si="8"/>
        <v>16766.256000000001</v>
      </c>
      <c r="S314" s="4">
        <f>R314*_xlfn.XLOOKUP(I314,Lookup_Lists!$A$2:$A$5,Lookup_Lists!$B$2:$B$5)-Q314-IF(T314="Yes",R314*0.2,0)</f>
        <v>3496.30656</v>
      </c>
      <c r="T314" t="s">
        <v>32</v>
      </c>
      <c r="U314" s="6">
        <v>4.8</v>
      </c>
      <c r="V314" s="7">
        <f t="shared" si="9"/>
        <v>6</v>
      </c>
      <c r="W314">
        <f>IF(SalesDataTable[[#This Row],[Returned]]="Yes",1,0)</f>
        <v>0</v>
      </c>
    </row>
    <row r="315" spans="1:23">
      <c r="A315" t="s">
        <v>561</v>
      </c>
      <c r="B315" s="3">
        <v>45928</v>
      </c>
      <c r="C315" s="3">
        <v>45929</v>
      </c>
      <c r="D315" t="s">
        <v>335</v>
      </c>
      <c r="E315" t="s">
        <v>35</v>
      </c>
      <c r="F315" t="s">
        <v>25</v>
      </c>
      <c r="G315" t="s">
        <v>43</v>
      </c>
      <c r="H315" t="s">
        <v>122</v>
      </c>
      <c r="I315" t="s">
        <v>52</v>
      </c>
      <c r="J315" t="s">
        <v>114</v>
      </c>
      <c r="K315" t="s">
        <v>114</v>
      </c>
      <c r="L315" t="s">
        <v>54</v>
      </c>
      <c r="M315" t="s">
        <v>40</v>
      </c>
      <c r="N315">
        <v>2</v>
      </c>
      <c r="O315" s="4">
        <v>8899.9599999999991</v>
      </c>
      <c r="P315" s="5">
        <v>0.05</v>
      </c>
      <c r="Q315" s="4">
        <v>488.79</v>
      </c>
      <c r="R315" s="4">
        <f t="shared" si="8"/>
        <v>16909.923999999999</v>
      </c>
      <c r="S315" s="4">
        <f>R315*_xlfn.XLOOKUP(I315,Lookup_Lists!$A$2:$A$5,Lookup_Lists!$B$2:$B$5)-Q315-IF(T315="Yes",R315*0.2,0)</f>
        <v>3907.7902400000003</v>
      </c>
      <c r="T315" t="s">
        <v>32</v>
      </c>
      <c r="U315" s="6">
        <v>4.5999999999999996</v>
      </c>
      <c r="V315" s="7">
        <f t="shared" si="9"/>
        <v>1</v>
      </c>
      <c r="W315">
        <f>IF(SalesDataTable[[#This Row],[Returned]]="Yes",1,0)</f>
        <v>0</v>
      </c>
    </row>
    <row r="316" spans="1:23">
      <c r="A316" t="s">
        <v>562</v>
      </c>
      <c r="B316" s="3">
        <v>45749</v>
      </c>
      <c r="C316" s="3">
        <v>45754</v>
      </c>
      <c r="D316" t="s">
        <v>204</v>
      </c>
      <c r="E316" t="s">
        <v>70</v>
      </c>
      <c r="F316" t="s">
        <v>25</v>
      </c>
      <c r="G316" t="s">
        <v>50</v>
      </c>
      <c r="H316" t="s">
        <v>71</v>
      </c>
      <c r="I316" t="s">
        <v>38</v>
      </c>
      <c r="J316" t="s">
        <v>45</v>
      </c>
      <c r="K316" t="s">
        <v>45</v>
      </c>
      <c r="L316" t="s">
        <v>64</v>
      </c>
      <c r="M316" t="s">
        <v>40</v>
      </c>
      <c r="N316">
        <v>4</v>
      </c>
      <c r="O316" s="4">
        <v>271.7</v>
      </c>
      <c r="P316" s="5">
        <v>0.05</v>
      </c>
      <c r="Q316" s="4">
        <v>471.1</v>
      </c>
      <c r="R316" s="4">
        <f t="shared" si="8"/>
        <v>1032.4599999999998</v>
      </c>
      <c r="S316" s="4">
        <f>R316*_xlfn.XLOOKUP(I316,Lookup_Lists!$A$2:$A$5,Lookup_Lists!$B$2:$B$5)-Q316-IF(T316="Yes",R316*0.2,0)</f>
        <v>-140.71280000000007</v>
      </c>
      <c r="T316" t="s">
        <v>32</v>
      </c>
      <c r="U316" s="6">
        <v>3.5</v>
      </c>
      <c r="V316" s="7">
        <f t="shared" si="9"/>
        <v>5</v>
      </c>
      <c r="W316">
        <f>IF(SalesDataTable[[#This Row],[Returned]]="Yes",1,0)</f>
        <v>0</v>
      </c>
    </row>
    <row r="317" spans="1:23">
      <c r="A317" t="s">
        <v>563</v>
      </c>
      <c r="B317" s="3">
        <v>45819</v>
      </c>
      <c r="C317" s="3">
        <v>45824</v>
      </c>
      <c r="D317" t="s">
        <v>289</v>
      </c>
      <c r="E317" t="s">
        <v>24</v>
      </c>
      <c r="F317" t="s">
        <v>25</v>
      </c>
      <c r="G317" t="s">
        <v>36</v>
      </c>
      <c r="H317" t="s">
        <v>138</v>
      </c>
      <c r="I317" t="s">
        <v>52</v>
      </c>
      <c r="J317" t="s">
        <v>105</v>
      </c>
      <c r="K317" t="s">
        <v>105</v>
      </c>
      <c r="L317" t="s">
        <v>30</v>
      </c>
      <c r="M317" t="s">
        <v>31</v>
      </c>
      <c r="N317">
        <v>3</v>
      </c>
      <c r="O317" s="4">
        <v>1290.27</v>
      </c>
      <c r="P317" s="5">
        <v>0.05</v>
      </c>
      <c r="Q317" s="4">
        <v>562.47</v>
      </c>
      <c r="R317" s="4">
        <f t="shared" si="8"/>
        <v>3677.2694999999999</v>
      </c>
      <c r="S317" s="4">
        <f>R317*_xlfn.XLOOKUP(I317,Lookup_Lists!$A$2:$A$5,Lookup_Lists!$B$2:$B$5)-Q317-IF(T317="Yes",R317*0.2,0)</f>
        <v>393.62006999999994</v>
      </c>
      <c r="T317" t="s">
        <v>32</v>
      </c>
      <c r="U317" s="6">
        <v>3.7</v>
      </c>
      <c r="V317" s="7">
        <f t="shared" si="9"/>
        <v>5</v>
      </c>
      <c r="W317">
        <f>IF(SalesDataTable[[#This Row],[Returned]]="Yes",1,0)</f>
        <v>0</v>
      </c>
    </row>
    <row r="318" spans="1:23">
      <c r="A318" t="s">
        <v>564</v>
      </c>
      <c r="B318" s="3">
        <v>45889</v>
      </c>
      <c r="C318" s="3">
        <v>45893</v>
      </c>
      <c r="D318" t="s">
        <v>346</v>
      </c>
      <c r="E318" t="s">
        <v>35</v>
      </c>
      <c r="F318" t="s">
        <v>25</v>
      </c>
      <c r="G318" t="s">
        <v>50</v>
      </c>
      <c r="H318" t="s">
        <v>71</v>
      </c>
      <c r="I318" t="s">
        <v>38</v>
      </c>
      <c r="J318" t="s">
        <v>130</v>
      </c>
      <c r="K318" t="s">
        <v>130</v>
      </c>
      <c r="L318" t="s">
        <v>54</v>
      </c>
      <c r="M318" t="s">
        <v>55</v>
      </c>
      <c r="N318">
        <v>1</v>
      </c>
      <c r="O318" s="4">
        <v>822.72</v>
      </c>
      <c r="P318" s="5">
        <v>0</v>
      </c>
      <c r="Q318" s="4">
        <v>271.83999999999997</v>
      </c>
      <c r="R318" s="4">
        <f t="shared" si="8"/>
        <v>822.72</v>
      </c>
      <c r="S318" s="4">
        <f>R318*_xlfn.XLOOKUP(I318,Lookup_Lists!$A$2:$A$5,Lookup_Lists!$B$2:$B$5)-Q318-IF(T318="Yes",R318*0.2,0)</f>
        <v>-8.5695999999999799</v>
      </c>
      <c r="T318" t="s">
        <v>32</v>
      </c>
      <c r="U318" s="6">
        <v>5</v>
      </c>
      <c r="V318" s="7">
        <f t="shared" si="9"/>
        <v>4</v>
      </c>
      <c r="W318">
        <f>IF(SalesDataTable[[#This Row],[Returned]]="Yes",1,0)</f>
        <v>0</v>
      </c>
    </row>
    <row r="319" spans="1:23">
      <c r="A319" t="s">
        <v>565</v>
      </c>
      <c r="B319" s="3">
        <v>45941</v>
      </c>
      <c r="C319" s="3">
        <v>45946</v>
      </c>
      <c r="D319" t="s">
        <v>161</v>
      </c>
      <c r="E319" t="s">
        <v>70</v>
      </c>
      <c r="F319" t="s">
        <v>25</v>
      </c>
      <c r="G319" t="s">
        <v>26</v>
      </c>
      <c r="H319" t="s">
        <v>153</v>
      </c>
      <c r="I319" t="s">
        <v>28</v>
      </c>
      <c r="J319" t="s">
        <v>123</v>
      </c>
      <c r="K319" t="s">
        <v>123</v>
      </c>
      <c r="L319" t="s">
        <v>54</v>
      </c>
      <c r="M319" t="s">
        <v>55</v>
      </c>
      <c r="N319">
        <v>2</v>
      </c>
      <c r="O319" s="4">
        <v>1898.36</v>
      </c>
      <c r="P319" s="5">
        <v>0</v>
      </c>
      <c r="Q319" s="4">
        <v>599.26</v>
      </c>
      <c r="R319" s="4">
        <f t="shared" si="8"/>
        <v>3796.72</v>
      </c>
      <c r="S319" s="4">
        <f>R319*_xlfn.XLOOKUP(I319,Lookup_Lists!$A$2:$A$5,Lookup_Lists!$B$2:$B$5)-Q319-IF(T319="Yes",R319*0.2,0)</f>
        <v>84.149599999999964</v>
      </c>
      <c r="T319" t="s">
        <v>32</v>
      </c>
      <c r="U319" s="6">
        <v>4.0999999999999996</v>
      </c>
      <c r="V319" s="7">
        <f t="shared" si="9"/>
        <v>5</v>
      </c>
      <c r="W319">
        <f>IF(SalesDataTable[[#This Row],[Returned]]="Yes",1,0)</f>
        <v>0</v>
      </c>
    </row>
    <row r="320" spans="1:23">
      <c r="A320" t="s">
        <v>566</v>
      </c>
      <c r="B320" s="3">
        <v>45862</v>
      </c>
      <c r="C320" s="3">
        <v>45867</v>
      </c>
      <c r="D320" t="s">
        <v>444</v>
      </c>
      <c r="E320" t="s">
        <v>24</v>
      </c>
      <c r="F320" t="s">
        <v>25</v>
      </c>
      <c r="G320" t="s">
        <v>43</v>
      </c>
      <c r="H320" t="s">
        <v>102</v>
      </c>
      <c r="I320" t="s">
        <v>28</v>
      </c>
      <c r="J320" t="s">
        <v>99</v>
      </c>
      <c r="K320" t="s">
        <v>99</v>
      </c>
      <c r="L320" t="s">
        <v>64</v>
      </c>
      <c r="M320" t="s">
        <v>89</v>
      </c>
      <c r="N320">
        <v>3</v>
      </c>
      <c r="O320" s="4">
        <v>3395.41</v>
      </c>
      <c r="P320" s="5">
        <v>0.1</v>
      </c>
      <c r="Q320" s="4">
        <v>561.28</v>
      </c>
      <c r="R320" s="4">
        <f t="shared" si="8"/>
        <v>9167.607</v>
      </c>
      <c r="S320" s="4">
        <f>R320*_xlfn.XLOOKUP(I320,Lookup_Lists!$A$2:$A$5,Lookup_Lists!$B$2:$B$5)-Q320-IF(T320="Yes",R320*0.2,0)</f>
        <v>-744.63214000000016</v>
      </c>
      <c r="T320" t="s">
        <v>119</v>
      </c>
      <c r="U320" s="6">
        <v>4.3</v>
      </c>
      <c r="V320" s="7">
        <f t="shared" si="9"/>
        <v>5</v>
      </c>
      <c r="W320">
        <f>IF(SalesDataTable[[#This Row],[Returned]]="Yes",1,0)</f>
        <v>1</v>
      </c>
    </row>
    <row r="321" spans="1:23">
      <c r="A321" t="s">
        <v>567</v>
      </c>
      <c r="B321" s="3">
        <v>45836</v>
      </c>
      <c r="C321" s="3">
        <v>45843</v>
      </c>
      <c r="D321" t="s">
        <v>568</v>
      </c>
      <c r="E321" t="s">
        <v>35</v>
      </c>
      <c r="F321" t="s">
        <v>25</v>
      </c>
      <c r="G321" t="s">
        <v>50</v>
      </c>
      <c r="H321" t="s">
        <v>51</v>
      </c>
      <c r="I321" t="s">
        <v>38</v>
      </c>
      <c r="J321" t="s">
        <v>130</v>
      </c>
      <c r="K321" t="s">
        <v>130</v>
      </c>
      <c r="L321" t="s">
        <v>60</v>
      </c>
      <c r="M321" t="s">
        <v>47</v>
      </c>
      <c r="N321">
        <v>1</v>
      </c>
      <c r="O321" s="4">
        <v>726.12</v>
      </c>
      <c r="P321" s="5">
        <v>0</v>
      </c>
      <c r="Q321" s="4">
        <v>412.89</v>
      </c>
      <c r="R321" s="4">
        <f t="shared" si="8"/>
        <v>726.12</v>
      </c>
      <c r="S321" s="4">
        <f>R321*_xlfn.XLOOKUP(I321,Lookup_Lists!$A$2:$A$5,Lookup_Lists!$B$2:$B$5)-Q321-IF(T321="Yes",R321*0.2,0)</f>
        <v>-180.53159999999997</v>
      </c>
      <c r="T321" t="s">
        <v>32</v>
      </c>
      <c r="U321" s="6">
        <v>4.5</v>
      </c>
      <c r="V321" s="7">
        <f t="shared" si="9"/>
        <v>7</v>
      </c>
      <c r="W321">
        <f>IF(SalesDataTable[[#This Row],[Returned]]="Yes",1,0)</f>
        <v>0</v>
      </c>
    </row>
    <row r="322" spans="1:23">
      <c r="A322" t="s">
        <v>569</v>
      </c>
      <c r="B322" s="3">
        <v>46015</v>
      </c>
      <c r="C322" s="3">
        <v>46017</v>
      </c>
      <c r="D322" t="s">
        <v>116</v>
      </c>
      <c r="E322" t="s">
        <v>35</v>
      </c>
      <c r="F322" t="s">
        <v>25</v>
      </c>
      <c r="G322" t="s">
        <v>36</v>
      </c>
      <c r="H322" t="s">
        <v>138</v>
      </c>
      <c r="I322" t="s">
        <v>38</v>
      </c>
      <c r="J322" t="s">
        <v>130</v>
      </c>
      <c r="K322" t="s">
        <v>130</v>
      </c>
      <c r="L322" t="s">
        <v>46</v>
      </c>
      <c r="M322" t="s">
        <v>40</v>
      </c>
      <c r="N322">
        <v>2</v>
      </c>
      <c r="O322" s="4">
        <v>781.14</v>
      </c>
      <c r="P322" s="5">
        <v>0</v>
      </c>
      <c r="Q322" s="4">
        <v>295.05</v>
      </c>
      <c r="R322" s="4">
        <f t="shared" ref="R322:R385" si="10">N322*O322*(1-P322)</f>
        <v>1562.28</v>
      </c>
      <c r="S322" s="4">
        <f>R322*_xlfn.XLOOKUP(I322,Lookup_Lists!$A$2:$A$5,Lookup_Lists!$B$2:$B$5)-Q322-IF(T322="Yes",R322*0.2,0)</f>
        <v>204.87959999999998</v>
      </c>
      <c r="T322" t="s">
        <v>32</v>
      </c>
      <c r="U322" s="6">
        <v>4.3</v>
      </c>
      <c r="V322" s="7">
        <f t="shared" ref="V322:V385" si="11">C322-B322</f>
        <v>2</v>
      </c>
      <c r="W322">
        <f>IF(SalesDataTable[[#This Row],[Returned]]="Yes",1,0)</f>
        <v>0</v>
      </c>
    </row>
    <row r="323" spans="1:23">
      <c r="A323" t="s">
        <v>570</v>
      </c>
      <c r="B323" s="3">
        <v>45792</v>
      </c>
      <c r="C323" s="3">
        <v>45793</v>
      </c>
      <c r="D323" t="s">
        <v>66</v>
      </c>
      <c r="E323" t="s">
        <v>70</v>
      </c>
      <c r="F323" t="s">
        <v>25</v>
      </c>
      <c r="G323" t="s">
        <v>26</v>
      </c>
      <c r="H323" t="s">
        <v>27</v>
      </c>
      <c r="I323" t="s">
        <v>58</v>
      </c>
      <c r="J323" t="s">
        <v>127</v>
      </c>
      <c r="K323" t="s">
        <v>127</v>
      </c>
      <c r="L323" t="s">
        <v>46</v>
      </c>
      <c r="M323" t="s">
        <v>31</v>
      </c>
      <c r="N323">
        <v>1</v>
      </c>
      <c r="O323" s="4">
        <v>19166.38</v>
      </c>
      <c r="P323" s="5">
        <v>0.1</v>
      </c>
      <c r="Q323" s="4">
        <v>507.86</v>
      </c>
      <c r="R323" s="4">
        <f t="shared" si="10"/>
        <v>17249.742000000002</v>
      </c>
      <c r="S323" s="4">
        <f>R323*_xlfn.XLOOKUP(I323,Lookup_Lists!$A$2:$A$5,Lookup_Lists!$B$2:$B$5)-Q323-IF(T323="Yes",R323*0.2,0)</f>
        <v>3632.0780799999998</v>
      </c>
      <c r="T323" t="s">
        <v>32</v>
      </c>
      <c r="U323" s="6">
        <v>3.8</v>
      </c>
      <c r="V323" s="7">
        <f t="shared" si="11"/>
        <v>1</v>
      </c>
      <c r="W323">
        <f>IF(SalesDataTable[[#This Row],[Returned]]="Yes",1,0)</f>
        <v>0</v>
      </c>
    </row>
    <row r="324" spans="1:23">
      <c r="A324" t="s">
        <v>571</v>
      </c>
      <c r="B324" s="3">
        <v>45878</v>
      </c>
      <c r="C324" s="3">
        <v>45881</v>
      </c>
      <c r="D324" t="s">
        <v>355</v>
      </c>
      <c r="E324" t="s">
        <v>81</v>
      </c>
      <c r="F324" t="s">
        <v>25</v>
      </c>
      <c r="G324" t="s">
        <v>50</v>
      </c>
      <c r="H324" t="s">
        <v>78</v>
      </c>
      <c r="I324" t="s">
        <v>38</v>
      </c>
      <c r="J324" t="s">
        <v>45</v>
      </c>
      <c r="K324" t="s">
        <v>45</v>
      </c>
      <c r="L324" t="s">
        <v>46</v>
      </c>
      <c r="M324" t="s">
        <v>40</v>
      </c>
      <c r="N324">
        <v>2</v>
      </c>
      <c r="O324" s="4">
        <v>275.12</v>
      </c>
      <c r="P324" s="5">
        <v>0</v>
      </c>
      <c r="Q324" s="4">
        <v>262</v>
      </c>
      <c r="R324" s="4">
        <f t="shared" si="10"/>
        <v>550.24</v>
      </c>
      <c r="S324" s="4">
        <f>R324*_xlfn.XLOOKUP(I324,Lookup_Lists!$A$2:$A$5,Lookup_Lists!$B$2:$B$5)-Q324-IF(T324="Yes",R324*0.2,0)</f>
        <v>-85.92319999999998</v>
      </c>
      <c r="T324" t="s">
        <v>32</v>
      </c>
      <c r="U324" s="6">
        <v>3.3</v>
      </c>
      <c r="V324" s="7">
        <f t="shared" si="11"/>
        <v>3</v>
      </c>
      <c r="W324">
        <f>IF(SalesDataTable[[#This Row],[Returned]]="Yes",1,0)</f>
        <v>0</v>
      </c>
    </row>
    <row r="325" spans="1:23">
      <c r="A325" t="s">
        <v>572</v>
      </c>
      <c r="B325" s="3">
        <v>45884</v>
      </c>
      <c r="C325" s="3">
        <v>45889</v>
      </c>
      <c r="D325" t="s">
        <v>480</v>
      </c>
      <c r="E325" t="s">
        <v>35</v>
      </c>
      <c r="F325" t="s">
        <v>25</v>
      </c>
      <c r="G325" t="s">
        <v>26</v>
      </c>
      <c r="H325" t="s">
        <v>27</v>
      </c>
      <c r="I325" t="s">
        <v>38</v>
      </c>
      <c r="J325" t="s">
        <v>108</v>
      </c>
      <c r="K325" t="s">
        <v>108</v>
      </c>
      <c r="L325" t="s">
        <v>30</v>
      </c>
      <c r="M325" t="s">
        <v>89</v>
      </c>
      <c r="N325">
        <v>1</v>
      </c>
      <c r="O325" s="4">
        <v>107.56</v>
      </c>
      <c r="P325" s="5">
        <v>0.2</v>
      </c>
      <c r="Q325" s="4">
        <v>609.85</v>
      </c>
      <c r="R325" s="4">
        <f t="shared" si="10"/>
        <v>86.048000000000002</v>
      </c>
      <c r="S325" s="4">
        <f>R325*_xlfn.XLOOKUP(I325,Lookup_Lists!$A$2:$A$5,Lookup_Lists!$B$2:$B$5)-Q325-IF(T325="Yes",R325*0.2,0)</f>
        <v>-582.31464000000005</v>
      </c>
      <c r="T325" t="s">
        <v>32</v>
      </c>
      <c r="U325" s="6">
        <v>3.4</v>
      </c>
      <c r="V325" s="7">
        <f t="shared" si="11"/>
        <v>5</v>
      </c>
      <c r="W325">
        <f>IF(SalesDataTable[[#This Row],[Returned]]="Yes",1,0)</f>
        <v>0</v>
      </c>
    </row>
    <row r="326" spans="1:23">
      <c r="A326" t="s">
        <v>573</v>
      </c>
      <c r="B326" s="3">
        <v>45805</v>
      </c>
      <c r="C326" s="3">
        <v>45806</v>
      </c>
      <c r="D326" t="s">
        <v>426</v>
      </c>
      <c r="E326" t="s">
        <v>70</v>
      </c>
      <c r="F326" t="s">
        <v>25</v>
      </c>
      <c r="G326" t="s">
        <v>50</v>
      </c>
      <c r="H326" t="s">
        <v>71</v>
      </c>
      <c r="I326" t="s">
        <v>58</v>
      </c>
      <c r="J326" t="s">
        <v>92</v>
      </c>
      <c r="K326" t="s">
        <v>92</v>
      </c>
      <c r="L326" t="s">
        <v>54</v>
      </c>
      <c r="M326" t="s">
        <v>31</v>
      </c>
      <c r="N326">
        <v>1</v>
      </c>
      <c r="O326" s="4">
        <v>8873.3799999999992</v>
      </c>
      <c r="P326" s="5">
        <v>0.1</v>
      </c>
      <c r="Q326" s="4">
        <v>525.91999999999996</v>
      </c>
      <c r="R326" s="4">
        <f t="shared" si="10"/>
        <v>7986.0419999999995</v>
      </c>
      <c r="S326" s="4">
        <f>R326*_xlfn.XLOOKUP(I326,Lookup_Lists!$A$2:$A$5,Lookup_Lists!$B$2:$B$5)-Q326-IF(T326="Yes",R326*0.2,0)</f>
        <v>1390.7300799999998</v>
      </c>
      <c r="T326" t="s">
        <v>32</v>
      </c>
      <c r="U326" s="6">
        <v>5</v>
      </c>
      <c r="V326" s="7">
        <f t="shared" si="11"/>
        <v>1</v>
      </c>
      <c r="W326">
        <f>IF(SalesDataTable[[#This Row],[Returned]]="Yes",1,0)</f>
        <v>0</v>
      </c>
    </row>
    <row r="327" spans="1:23">
      <c r="A327" t="s">
        <v>574</v>
      </c>
      <c r="B327" s="3">
        <v>46000</v>
      </c>
      <c r="C327" s="3">
        <v>46001</v>
      </c>
      <c r="D327" t="s">
        <v>152</v>
      </c>
      <c r="E327" t="s">
        <v>70</v>
      </c>
      <c r="F327" t="s">
        <v>25</v>
      </c>
      <c r="G327" t="s">
        <v>50</v>
      </c>
      <c r="H327" t="s">
        <v>71</v>
      </c>
      <c r="I327" t="s">
        <v>28</v>
      </c>
      <c r="J327" t="s">
        <v>123</v>
      </c>
      <c r="K327" t="s">
        <v>123</v>
      </c>
      <c r="L327" t="s">
        <v>54</v>
      </c>
      <c r="M327" t="s">
        <v>31</v>
      </c>
      <c r="N327">
        <v>1</v>
      </c>
      <c r="O327" s="4">
        <v>1835.08</v>
      </c>
      <c r="P327" s="5">
        <v>0.2</v>
      </c>
      <c r="Q327" s="4">
        <v>145.49</v>
      </c>
      <c r="R327" s="4">
        <f t="shared" si="10"/>
        <v>1468.0640000000001</v>
      </c>
      <c r="S327" s="4">
        <f>R327*_xlfn.XLOOKUP(I327,Lookup_Lists!$A$2:$A$5,Lookup_Lists!$B$2:$B$5)-Q327-IF(T327="Yes",R327*0.2,0)</f>
        <v>118.76152000000002</v>
      </c>
      <c r="T327" t="s">
        <v>32</v>
      </c>
      <c r="U327" s="6">
        <v>4.3</v>
      </c>
      <c r="V327" s="7">
        <f t="shared" si="11"/>
        <v>1</v>
      </c>
      <c r="W327">
        <f>IF(SalesDataTable[[#This Row],[Returned]]="Yes",1,0)</f>
        <v>0</v>
      </c>
    </row>
    <row r="328" spans="1:23">
      <c r="A328" t="s">
        <v>575</v>
      </c>
      <c r="B328" s="3">
        <v>45997</v>
      </c>
      <c r="C328" s="3">
        <v>46004</v>
      </c>
      <c r="D328" t="s">
        <v>576</v>
      </c>
      <c r="E328" t="s">
        <v>35</v>
      </c>
      <c r="F328" t="s">
        <v>25</v>
      </c>
      <c r="G328" t="s">
        <v>50</v>
      </c>
      <c r="H328" t="s">
        <v>78</v>
      </c>
      <c r="I328" t="s">
        <v>28</v>
      </c>
      <c r="J328" t="s">
        <v>111</v>
      </c>
      <c r="K328" t="s">
        <v>111</v>
      </c>
      <c r="L328" t="s">
        <v>54</v>
      </c>
      <c r="M328" t="s">
        <v>47</v>
      </c>
      <c r="N328">
        <v>2</v>
      </c>
      <c r="O328" s="4">
        <v>1311.49</v>
      </c>
      <c r="P328" s="5">
        <v>0.2</v>
      </c>
      <c r="Q328" s="4">
        <v>395.6</v>
      </c>
      <c r="R328" s="4">
        <f t="shared" si="10"/>
        <v>2098.384</v>
      </c>
      <c r="S328" s="4">
        <f>R328*_xlfn.XLOOKUP(I328,Lookup_Lists!$A$2:$A$5,Lookup_Lists!$B$2:$B$5)-Q328-IF(T328="Yes",R328*0.2,0)</f>
        <v>-17.890880000000038</v>
      </c>
      <c r="T328" t="s">
        <v>32</v>
      </c>
      <c r="U328" s="6">
        <v>4.5</v>
      </c>
      <c r="V328" s="7">
        <f t="shared" si="11"/>
        <v>7</v>
      </c>
      <c r="W328">
        <f>IF(SalesDataTable[[#This Row],[Returned]]="Yes",1,0)</f>
        <v>0</v>
      </c>
    </row>
    <row r="329" spans="1:23">
      <c r="A329" t="s">
        <v>577</v>
      </c>
      <c r="B329" s="3">
        <v>45892</v>
      </c>
      <c r="C329" s="3">
        <v>45897</v>
      </c>
      <c r="D329" t="s">
        <v>140</v>
      </c>
      <c r="E329" t="s">
        <v>35</v>
      </c>
      <c r="F329" t="s">
        <v>25</v>
      </c>
      <c r="G329" t="s">
        <v>26</v>
      </c>
      <c r="H329" t="s">
        <v>82</v>
      </c>
      <c r="I329" t="s">
        <v>58</v>
      </c>
      <c r="J329" t="s">
        <v>88</v>
      </c>
      <c r="K329" t="s">
        <v>88</v>
      </c>
      <c r="L329" t="s">
        <v>30</v>
      </c>
      <c r="M329" t="s">
        <v>89</v>
      </c>
      <c r="N329">
        <v>2</v>
      </c>
      <c r="O329" s="4">
        <v>7096.13</v>
      </c>
      <c r="P329" s="5">
        <v>0.05</v>
      </c>
      <c r="Q329" s="4">
        <v>427.52</v>
      </c>
      <c r="R329" s="4">
        <f t="shared" si="10"/>
        <v>13482.646999999999</v>
      </c>
      <c r="S329" s="4">
        <f>R329*_xlfn.XLOOKUP(I329,Lookup_Lists!$A$2:$A$5,Lookup_Lists!$B$2:$B$5)-Q329-IF(T329="Yes",R329*0.2,0)</f>
        <v>2808.3152799999998</v>
      </c>
      <c r="T329" t="s">
        <v>32</v>
      </c>
      <c r="U329" s="6">
        <v>4.5</v>
      </c>
      <c r="V329" s="7">
        <f t="shared" si="11"/>
        <v>5</v>
      </c>
      <c r="W329">
        <f>IF(SalesDataTable[[#This Row],[Returned]]="Yes",1,0)</f>
        <v>0</v>
      </c>
    </row>
    <row r="330" spans="1:23">
      <c r="A330" t="s">
        <v>578</v>
      </c>
      <c r="B330" s="3">
        <v>45914</v>
      </c>
      <c r="C330" s="3">
        <v>45917</v>
      </c>
      <c r="D330" t="s">
        <v>169</v>
      </c>
      <c r="E330" t="s">
        <v>35</v>
      </c>
      <c r="F330" t="s">
        <v>25</v>
      </c>
      <c r="G330" t="s">
        <v>43</v>
      </c>
      <c r="H330" t="s">
        <v>102</v>
      </c>
      <c r="I330" t="s">
        <v>52</v>
      </c>
      <c r="J330" t="s">
        <v>114</v>
      </c>
      <c r="K330" t="s">
        <v>114</v>
      </c>
      <c r="L330" t="s">
        <v>60</v>
      </c>
      <c r="M330" t="s">
        <v>55</v>
      </c>
      <c r="N330">
        <v>1</v>
      </c>
      <c r="O330" s="4">
        <v>9334.09</v>
      </c>
      <c r="P330" s="5">
        <v>0</v>
      </c>
      <c r="Q330" s="4">
        <v>298.25</v>
      </c>
      <c r="R330" s="4">
        <f t="shared" si="10"/>
        <v>9334.09</v>
      </c>
      <c r="S330" s="4">
        <f>R330*_xlfn.XLOOKUP(I330,Lookup_Lists!$A$2:$A$5,Lookup_Lists!$B$2:$B$5)-Q330-IF(T330="Yes",R330*0.2,0)</f>
        <v>2128.6134000000002</v>
      </c>
      <c r="T330" t="s">
        <v>32</v>
      </c>
      <c r="U330" s="6">
        <v>3.7</v>
      </c>
      <c r="V330" s="7">
        <f t="shared" si="11"/>
        <v>3</v>
      </c>
      <c r="W330">
        <f>IF(SalesDataTable[[#This Row],[Returned]]="Yes",1,0)</f>
        <v>0</v>
      </c>
    </row>
    <row r="331" spans="1:23">
      <c r="A331" t="s">
        <v>579</v>
      </c>
      <c r="B331" s="3">
        <v>45978</v>
      </c>
      <c r="C331" s="3">
        <v>45984</v>
      </c>
      <c r="D331" t="s">
        <v>349</v>
      </c>
      <c r="E331" t="s">
        <v>35</v>
      </c>
      <c r="F331" t="s">
        <v>25</v>
      </c>
      <c r="G331" t="s">
        <v>26</v>
      </c>
      <c r="H331" t="s">
        <v>67</v>
      </c>
      <c r="I331" t="s">
        <v>52</v>
      </c>
      <c r="J331" t="s">
        <v>105</v>
      </c>
      <c r="K331" t="s">
        <v>105</v>
      </c>
      <c r="L331" t="s">
        <v>46</v>
      </c>
      <c r="M331" t="s">
        <v>40</v>
      </c>
      <c r="N331">
        <v>1</v>
      </c>
      <c r="O331" s="4">
        <v>1198.04</v>
      </c>
      <c r="P331" s="5">
        <v>0.05</v>
      </c>
      <c r="Q331" s="4">
        <v>554.03</v>
      </c>
      <c r="R331" s="4">
        <f t="shared" si="10"/>
        <v>1138.1379999999999</v>
      </c>
      <c r="S331" s="4">
        <f>R331*_xlfn.XLOOKUP(I331,Lookup_Lists!$A$2:$A$5,Lookup_Lists!$B$2:$B$5)-Q331-IF(T331="Yes",R331*0.2,0)</f>
        <v>-258.11411999999996</v>
      </c>
      <c r="T331" t="s">
        <v>32</v>
      </c>
      <c r="U331" s="6">
        <v>4.2</v>
      </c>
      <c r="V331" s="7">
        <f t="shared" si="11"/>
        <v>6</v>
      </c>
      <c r="W331">
        <f>IF(SalesDataTable[[#This Row],[Returned]]="Yes",1,0)</f>
        <v>0</v>
      </c>
    </row>
    <row r="332" spans="1:23">
      <c r="A332" t="s">
        <v>580</v>
      </c>
      <c r="B332" s="3">
        <v>45816</v>
      </c>
      <c r="C332" s="3">
        <v>45822</v>
      </c>
      <c r="D332" t="s">
        <v>484</v>
      </c>
      <c r="E332" t="s">
        <v>81</v>
      </c>
      <c r="F332" t="s">
        <v>25</v>
      </c>
      <c r="G332" t="s">
        <v>26</v>
      </c>
      <c r="H332" t="s">
        <v>67</v>
      </c>
      <c r="I332" t="s">
        <v>52</v>
      </c>
      <c r="J332" t="s">
        <v>94</v>
      </c>
      <c r="K332" t="s">
        <v>94</v>
      </c>
      <c r="L332" t="s">
        <v>30</v>
      </c>
      <c r="M332" t="s">
        <v>31</v>
      </c>
      <c r="N332">
        <v>5</v>
      </c>
      <c r="O332" s="4">
        <v>4681.1899999999996</v>
      </c>
      <c r="P332" s="5">
        <v>0.05</v>
      </c>
      <c r="Q332" s="4">
        <v>971.79</v>
      </c>
      <c r="R332" s="4">
        <f t="shared" si="10"/>
        <v>22235.652499999997</v>
      </c>
      <c r="S332" s="4">
        <f>R332*_xlfn.XLOOKUP(I332,Lookup_Lists!$A$2:$A$5,Lookup_Lists!$B$2:$B$5)-Q332-IF(T332="Yes",R332*0.2,0)</f>
        <v>4809.4796499999993</v>
      </c>
      <c r="T332" t="s">
        <v>32</v>
      </c>
      <c r="U332" s="6">
        <v>3.9</v>
      </c>
      <c r="V332" s="7">
        <f t="shared" si="11"/>
        <v>6</v>
      </c>
      <c r="W332">
        <f>IF(SalesDataTable[[#This Row],[Returned]]="Yes",1,0)</f>
        <v>0</v>
      </c>
    </row>
    <row r="333" spans="1:23">
      <c r="A333" t="s">
        <v>581</v>
      </c>
      <c r="B333" s="3">
        <v>45673</v>
      </c>
      <c r="C333" s="3">
        <v>45680</v>
      </c>
      <c r="D333" t="s">
        <v>137</v>
      </c>
      <c r="E333" t="s">
        <v>81</v>
      </c>
      <c r="F333" t="s">
        <v>25</v>
      </c>
      <c r="G333" t="s">
        <v>36</v>
      </c>
      <c r="H333" t="s">
        <v>138</v>
      </c>
      <c r="I333" t="s">
        <v>28</v>
      </c>
      <c r="J333" t="s">
        <v>123</v>
      </c>
      <c r="K333" t="s">
        <v>123</v>
      </c>
      <c r="L333" t="s">
        <v>54</v>
      </c>
      <c r="M333" t="s">
        <v>40</v>
      </c>
      <c r="N333">
        <v>1</v>
      </c>
      <c r="O333" s="4">
        <v>1683.76</v>
      </c>
      <c r="P333" s="5">
        <v>0.1</v>
      </c>
      <c r="Q333" s="4">
        <v>454.09</v>
      </c>
      <c r="R333" s="4">
        <f t="shared" si="10"/>
        <v>1515.384</v>
      </c>
      <c r="S333" s="4">
        <f>R333*_xlfn.XLOOKUP(I333,Lookup_Lists!$A$2:$A$5,Lookup_Lists!$B$2:$B$5)-Q333-IF(T333="Yes",R333*0.2,0)</f>
        <v>-181.32087999999999</v>
      </c>
      <c r="T333" t="s">
        <v>32</v>
      </c>
      <c r="U333" s="6">
        <v>5</v>
      </c>
      <c r="V333" s="7">
        <f t="shared" si="11"/>
        <v>7</v>
      </c>
      <c r="W333">
        <f>IF(SalesDataTable[[#This Row],[Returned]]="Yes",1,0)</f>
        <v>0</v>
      </c>
    </row>
    <row r="334" spans="1:23">
      <c r="A334" t="s">
        <v>582</v>
      </c>
      <c r="B334" s="3">
        <v>45948</v>
      </c>
      <c r="C334" s="3">
        <v>45953</v>
      </c>
      <c r="D334" t="s">
        <v>306</v>
      </c>
      <c r="E334" t="s">
        <v>70</v>
      </c>
      <c r="F334" t="s">
        <v>25</v>
      </c>
      <c r="G334" t="s">
        <v>26</v>
      </c>
      <c r="H334" t="s">
        <v>153</v>
      </c>
      <c r="I334" t="s">
        <v>58</v>
      </c>
      <c r="J334" t="s">
        <v>88</v>
      </c>
      <c r="K334" t="s">
        <v>88</v>
      </c>
      <c r="L334" t="s">
        <v>54</v>
      </c>
      <c r="M334" t="s">
        <v>31</v>
      </c>
      <c r="N334">
        <v>2</v>
      </c>
      <c r="O334" s="4">
        <v>7739.07</v>
      </c>
      <c r="P334" s="5">
        <v>0</v>
      </c>
      <c r="Q334" s="4">
        <v>533.02</v>
      </c>
      <c r="R334" s="4">
        <f t="shared" si="10"/>
        <v>15478.14</v>
      </c>
      <c r="S334" s="4">
        <f>R334*_xlfn.XLOOKUP(I334,Lookup_Lists!$A$2:$A$5,Lookup_Lists!$B$2:$B$5)-Q334-IF(T334="Yes",R334*0.2,0)</f>
        <v>3181.7335999999996</v>
      </c>
      <c r="T334" t="s">
        <v>32</v>
      </c>
      <c r="U334" s="6">
        <v>4.5</v>
      </c>
      <c r="V334" s="7">
        <f t="shared" si="11"/>
        <v>5</v>
      </c>
      <c r="W334">
        <f>IF(SalesDataTable[[#This Row],[Returned]]="Yes",1,0)</f>
        <v>0</v>
      </c>
    </row>
    <row r="335" spans="1:23">
      <c r="A335" t="s">
        <v>583</v>
      </c>
      <c r="B335" s="3">
        <v>45867</v>
      </c>
      <c r="C335" s="3">
        <v>45874</v>
      </c>
      <c r="D335" t="s">
        <v>410</v>
      </c>
      <c r="E335" t="s">
        <v>81</v>
      </c>
      <c r="F335" t="s">
        <v>25</v>
      </c>
      <c r="G335" t="s">
        <v>36</v>
      </c>
      <c r="H335" t="s">
        <v>145</v>
      </c>
      <c r="I335" t="s">
        <v>38</v>
      </c>
      <c r="J335" t="s">
        <v>108</v>
      </c>
      <c r="K335" t="s">
        <v>108</v>
      </c>
      <c r="L335" t="s">
        <v>30</v>
      </c>
      <c r="M335" t="s">
        <v>89</v>
      </c>
      <c r="N335">
        <v>1</v>
      </c>
      <c r="O335" s="4">
        <v>139.97</v>
      </c>
      <c r="P335" s="5">
        <v>0</v>
      </c>
      <c r="Q335" s="4">
        <v>433.82</v>
      </c>
      <c r="R335" s="4">
        <f t="shared" si="10"/>
        <v>139.97</v>
      </c>
      <c r="S335" s="4">
        <f>R335*_xlfn.XLOOKUP(I335,Lookup_Lists!$A$2:$A$5,Lookup_Lists!$B$2:$B$5)-Q335-IF(T335="Yes",R335*0.2,0)</f>
        <v>-389.02960000000002</v>
      </c>
      <c r="T335" t="s">
        <v>32</v>
      </c>
      <c r="U335" s="6">
        <v>4.5</v>
      </c>
      <c r="V335" s="7">
        <f t="shared" si="11"/>
        <v>7</v>
      </c>
      <c r="W335">
        <f>IF(SalesDataTable[[#This Row],[Returned]]="Yes",1,0)</f>
        <v>0</v>
      </c>
    </row>
    <row r="336" spans="1:23">
      <c r="A336" t="s">
        <v>584</v>
      </c>
      <c r="B336" s="3">
        <v>45892</v>
      </c>
      <c r="C336" s="3">
        <v>45894</v>
      </c>
      <c r="D336" t="s">
        <v>155</v>
      </c>
      <c r="E336" t="s">
        <v>35</v>
      </c>
      <c r="F336" t="s">
        <v>25</v>
      </c>
      <c r="G336" t="s">
        <v>50</v>
      </c>
      <c r="H336" t="s">
        <v>87</v>
      </c>
      <c r="I336" t="s">
        <v>38</v>
      </c>
      <c r="J336" t="s">
        <v>45</v>
      </c>
      <c r="K336" t="s">
        <v>45</v>
      </c>
      <c r="L336" t="s">
        <v>30</v>
      </c>
      <c r="M336" t="s">
        <v>31</v>
      </c>
      <c r="N336">
        <v>3</v>
      </c>
      <c r="O336" s="4">
        <v>269.77</v>
      </c>
      <c r="P336" s="5">
        <v>0.15</v>
      </c>
      <c r="Q336" s="4">
        <v>540.67999999999995</v>
      </c>
      <c r="R336" s="4">
        <f t="shared" si="10"/>
        <v>687.91349999999989</v>
      </c>
      <c r="S336" s="4">
        <f>R336*_xlfn.XLOOKUP(I336,Lookup_Lists!$A$2:$A$5,Lookup_Lists!$B$2:$B$5)-Q336-IF(T336="Yes",R336*0.2,0)</f>
        <v>-320.54768000000001</v>
      </c>
      <c r="T336" t="s">
        <v>32</v>
      </c>
      <c r="U336" s="6">
        <v>3.5</v>
      </c>
      <c r="V336" s="7">
        <f t="shared" si="11"/>
        <v>2</v>
      </c>
      <c r="W336">
        <f>IF(SalesDataTable[[#This Row],[Returned]]="Yes",1,0)</f>
        <v>0</v>
      </c>
    </row>
    <row r="337" spans="1:23">
      <c r="A337" t="s">
        <v>585</v>
      </c>
      <c r="B337" s="3">
        <v>45679</v>
      </c>
      <c r="C337" s="3">
        <v>45681</v>
      </c>
      <c r="D337" t="s">
        <v>397</v>
      </c>
      <c r="E337" t="s">
        <v>70</v>
      </c>
      <c r="F337" t="s">
        <v>25</v>
      </c>
      <c r="G337" t="s">
        <v>50</v>
      </c>
      <c r="H337" t="s">
        <v>87</v>
      </c>
      <c r="I337" t="s">
        <v>58</v>
      </c>
      <c r="J337" t="s">
        <v>92</v>
      </c>
      <c r="K337" t="s">
        <v>92</v>
      </c>
      <c r="L337" t="s">
        <v>54</v>
      </c>
      <c r="M337" t="s">
        <v>47</v>
      </c>
      <c r="N337">
        <v>2</v>
      </c>
      <c r="O337" s="4">
        <v>8256.61</v>
      </c>
      <c r="P337" s="5">
        <v>0.15</v>
      </c>
      <c r="Q337" s="4">
        <v>590.66999999999996</v>
      </c>
      <c r="R337" s="4">
        <f t="shared" si="10"/>
        <v>14036.237000000001</v>
      </c>
      <c r="S337" s="4">
        <f>R337*_xlfn.XLOOKUP(I337,Lookup_Lists!$A$2:$A$5,Lookup_Lists!$B$2:$B$5)-Q337-IF(T337="Yes",R337*0.2,0)</f>
        <v>2778.0268799999999</v>
      </c>
      <c r="T337" t="s">
        <v>32</v>
      </c>
      <c r="U337" s="6">
        <v>4.5999999999999996</v>
      </c>
      <c r="V337" s="7">
        <f t="shared" si="11"/>
        <v>2</v>
      </c>
      <c r="W337">
        <f>IF(SalesDataTable[[#This Row],[Returned]]="Yes",1,0)</f>
        <v>0</v>
      </c>
    </row>
    <row r="338" spans="1:23">
      <c r="A338" t="s">
        <v>586</v>
      </c>
      <c r="B338" s="3">
        <v>45971</v>
      </c>
      <c r="C338" s="3">
        <v>45972</v>
      </c>
      <c r="D338" t="s">
        <v>457</v>
      </c>
      <c r="E338" t="s">
        <v>70</v>
      </c>
      <c r="F338" t="s">
        <v>25</v>
      </c>
      <c r="G338" t="s">
        <v>26</v>
      </c>
      <c r="H338" t="s">
        <v>67</v>
      </c>
      <c r="I338" t="s">
        <v>52</v>
      </c>
      <c r="J338" t="s">
        <v>53</v>
      </c>
      <c r="K338" t="s">
        <v>53</v>
      </c>
      <c r="L338" t="s">
        <v>54</v>
      </c>
      <c r="M338" t="s">
        <v>31</v>
      </c>
      <c r="N338">
        <v>1</v>
      </c>
      <c r="O338" s="4">
        <v>612.49</v>
      </c>
      <c r="P338" s="5">
        <v>0.2</v>
      </c>
      <c r="Q338" s="4">
        <v>485.97</v>
      </c>
      <c r="R338" s="4">
        <f t="shared" si="10"/>
        <v>489.99200000000002</v>
      </c>
      <c r="S338" s="4">
        <f>R338*_xlfn.XLOOKUP(I338,Lookup_Lists!$A$2:$A$5,Lookup_Lists!$B$2:$B$5)-Q338-IF(T338="Yes",R338*0.2,0)</f>
        <v>-358.57208000000003</v>
      </c>
      <c r="T338" t="s">
        <v>32</v>
      </c>
      <c r="U338" s="6">
        <v>3.9</v>
      </c>
      <c r="V338" s="7">
        <f t="shared" si="11"/>
        <v>1</v>
      </c>
      <c r="W338">
        <f>IF(SalesDataTable[[#This Row],[Returned]]="Yes",1,0)</f>
        <v>0</v>
      </c>
    </row>
    <row r="339" spans="1:23">
      <c r="A339" t="s">
        <v>587</v>
      </c>
      <c r="B339" s="3">
        <v>45749</v>
      </c>
      <c r="C339" s="3">
        <v>45753</v>
      </c>
      <c r="D339" t="s">
        <v>219</v>
      </c>
      <c r="E339" t="s">
        <v>81</v>
      </c>
      <c r="F339" t="s">
        <v>25</v>
      </c>
      <c r="G339" t="s">
        <v>26</v>
      </c>
      <c r="H339" t="s">
        <v>67</v>
      </c>
      <c r="I339" t="s">
        <v>28</v>
      </c>
      <c r="J339" t="s">
        <v>123</v>
      </c>
      <c r="K339" t="s">
        <v>123</v>
      </c>
      <c r="L339" t="s">
        <v>30</v>
      </c>
      <c r="M339" t="s">
        <v>40</v>
      </c>
      <c r="N339">
        <v>3</v>
      </c>
      <c r="O339" s="4">
        <v>1650.71</v>
      </c>
      <c r="P339" s="5">
        <v>0</v>
      </c>
      <c r="Q339" s="4">
        <v>410.44</v>
      </c>
      <c r="R339" s="4">
        <f t="shared" si="10"/>
        <v>4952.13</v>
      </c>
      <c r="S339" s="4">
        <f>R339*_xlfn.XLOOKUP(I339,Lookup_Lists!$A$2:$A$5,Lookup_Lists!$B$2:$B$5)-Q339-IF(T339="Yes",R339*0.2,0)</f>
        <v>480.94339999999994</v>
      </c>
      <c r="T339" t="s">
        <v>32</v>
      </c>
      <c r="U339" s="6">
        <v>4.5999999999999996</v>
      </c>
      <c r="V339" s="7">
        <f t="shared" si="11"/>
        <v>4</v>
      </c>
      <c r="W339">
        <f>IF(SalesDataTable[[#This Row],[Returned]]="Yes",1,0)</f>
        <v>0</v>
      </c>
    </row>
    <row r="340" spans="1:23">
      <c r="A340" t="s">
        <v>588</v>
      </c>
      <c r="B340" s="3">
        <v>45926</v>
      </c>
      <c r="C340" s="3">
        <v>45932</v>
      </c>
      <c r="D340" t="s">
        <v>589</v>
      </c>
      <c r="E340" t="s">
        <v>24</v>
      </c>
      <c r="F340" t="s">
        <v>25</v>
      </c>
      <c r="G340" t="s">
        <v>26</v>
      </c>
      <c r="H340" t="s">
        <v>67</v>
      </c>
      <c r="I340" t="s">
        <v>38</v>
      </c>
      <c r="J340" t="s">
        <v>39</v>
      </c>
      <c r="K340" t="s">
        <v>39</v>
      </c>
      <c r="L340" t="s">
        <v>30</v>
      </c>
      <c r="M340" t="s">
        <v>55</v>
      </c>
      <c r="N340">
        <v>3</v>
      </c>
      <c r="O340" s="4">
        <v>452.7</v>
      </c>
      <c r="P340" s="5">
        <v>0</v>
      </c>
      <c r="Q340" s="4">
        <v>595.6</v>
      </c>
      <c r="R340" s="4">
        <f t="shared" si="10"/>
        <v>1358.1</v>
      </c>
      <c r="S340" s="4">
        <f>R340*_xlfn.XLOOKUP(I340,Lookup_Lists!$A$2:$A$5,Lookup_Lists!$B$2:$B$5)-Q340-IF(T340="Yes",R340*0.2,0)</f>
        <v>-161.00800000000004</v>
      </c>
      <c r="T340" t="s">
        <v>32</v>
      </c>
      <c r="U340" s="6">
        <v>4.0999999999999996</v>
      </c>
      <c r="V340" s="7">
        <f t="shared" si="11"/>
        <v>6</v>
      </c>
      <c r="W340">
        <f>IF(SalesDataTable[[#This Row],[Returned]]="Yes",1,0)</f>
        <v>0</v>
      </c>
    </row>
    <row r="341" spans="1:23">
      <c r="A341" t="s">
        <v>590</v>
      </c>
      <c r="B341" s="3">
        <v>45816</v>
      </c>
      <c r="C341" s="3">
        <v>45822</v>
      </c>
      <c r="D341" t="s">
        <v>250</v>
      </c>
      <c r="E341" t="s">
        <v>81</v>
      </c>
      <c r="F341" t="s">
        <v>25</v>
      </c>
      <c r="G341" t="s">
        <v>43</v>
      </c>
      <c r="H341" t="s">
        <v>63</v>
      </c>
      <c r="I341" t="s">
        <v>28</v>
      </c>
      <c r="J341" t="s">
        <v>75</v>
      </c>
      <c r="K341" t="s">
        <v>75</v>
      </c>
      <c r="L341" t="s">
        <v>60</v>
      </c>
      <c r="M341" t="s">
        <v>89</v>
      </c>
      <c r="N341">
        <v>3</v>
      </c>
      <c r="O341" s="4">
        <v>10515.27</v>
      </c>
      <c r="P341" s="5">
        <v>0.05</v>
      </c>
      <c r="Q341" s="4">
        <v>1040.77</v>
      </c>
      <c r="R341" s="4">
        <f t="shared" si="10"/>
        <v>29968.519499999999</v>
      </c>
      <c r="S341" s="4">
        <f>R341*_xlfn.XLOOKUP(I341,Lookup_Lists!$A$2:$A$5,Lookup_Lists!$B$2:$B$5)-Q341-IF(T341="Yes",R341*0.2,0)</f>
        <v>4353.56351</v>
      </c>
      <c r="T341" t="s">
        <v>32</v>
      </c>
      <c r="U341" s="6">
        <v>3.8</v>
      </c>
      <c r="V341" s="7">
        <f t="shared" si="11"/>
        <v>6</v>
      </c>
      <c r="W341">
        <f>IF(SalesDataTable[[#This Row],[Returned]]="Yes",1,0)</f>
        <v>0</v>
      </c>
    </row>
    <row r="342" spans="1:23">
      <c r="A342" t="s">
        <v>591</v>
      </c>
      <c r="B342" s="3">
        <v>45660</v>
      </c>
      <c r="C342" s="3">
        <v>45665</v>
      </c>
      <c r="D342" t="s">
        <v>326</v>
      </c>
      <c r="E342" t="s">
        <v>35</v>
      </c>
      <c r="F342" t="s">
        <v>25</v>
      </c>
      <c r="G342" t="s">
        <v>36</v>
      </c>
      <c r="H342" t="s">
        <v>138</v>
      </c>
      <c r="I342" t="s">
        <v>58</v>
      </c>
      <c r="J342" t="s">
        <v>92</v>
      </c>
      <c r="K342" t="s">
        <v>92</v>
      </c>
      <c r="L342" t="s">
        <v>30</v>
      </c>
      <c r="M342" t="s">
        <v>89</v>
      </c>
      <c r="N342">
        <v>1</v>
      </c>
      <c r="O342" s="4">
        <v>8875.7199999999993</v>
      </c>
      <c r="P342" s="5">
        <v>0.05</v>
      </c>
      <c r="Q342" s="4">
        <v>530.94000000000005</v>
      </c>
      <c r="R342" s="4">
        <f t="shared" si="10"/>
        <v>8431.9339999999993</v>
      </c>
      <c r="S342" s="4">
        <f>R342*_xlfn.XLOOKUP(I342,Lookup_Lists!$A$2:$A$5,Lookup_Lists!$B$2:$B$5)-Q342-IF(T342="Yes",R342*0.2,0)</f>
        <v>1492.7241599999998</v>
      </c>
      <c r="T342" t="s">
        <v>32</v>
      </c>
      <c r="U342" s="6">
        <v>4.5999999999999996</v>
      </c>
      <c r="V342" s="7">
        <f t="shared" si="11"/>
        <v>5</v>
      </c>
      <c r="W342">
        <f>IF(SalesDataTable[[#This Row],[Returned]]="Yes",1,0)</f>
        <v>0</v>
      </c>
    </row>
    <row r="343" spans="1:23">
      <c r="A343" t="s">
        <v>592</v>
      </c>
      <c r="B343" s="3">
        <v>45992</v>
      </c>
      <c r="C343" s="3">
        <v>45995</v>
      </c>
      <c r="D343" t="s">
        <v>257</v>
      </c>
      <c r="E343" t="s">
        <v>35</v>
      </c>
      <c r="F343" t="s">
        <v>25</v>
      </c>
      <c r="G343" t="s">
        <v>50</v>
      </c>
      <c r="H343" t="s">
        <v>71</v>
      </c>
      <c r="I343" t="s">
        <v>58</v>
      </c>
      <c r="J343" t="s">
        <v>92</v>
      </c>
      <c r="K343" t="s">
        <v>92</v>
      </c>
      <c r="L343" t="s">
        <v>54</v>
      </c>
      <c r="M343" t="s">
        <v>47</v>
      </c>
      <c r="N343">
        <v>8</v>
      </c>
      <c r="O343" s="4">
        <v>7891.4</v>
      </c>
      <c r="P343" s="5">
        <v>0</v>
      </c>
      <c r="Q343" s="4">
        <v>1403.7</v>
      </c>
      <c r="R343" s="4">
        <f t="shared" si="10"/>
        <v>63131.199999999997</v>
      </c>
      <c r="S343" s="4">
        <f>R343*_xlfn.XLOOKUP(I343,Lookup_Lists!$A$2:$A$5,Lookup_Lists!$B$2:$B$5)-Q343-IF(T343="Yes",R343*0.2,0)</f>
        <v>13747.787999999999</v>
      </c>
      <c r="T343" t="s">
        <v>32</v>
      </c>
      <c r="U343" s="6">
        <v>4.4000000000000004</v>
      </c>
      <c r="V343" s="7">
        <f t="shared" si="11"/>
        <v>3</v>
      </c>
      <c r="W343">
        <f>IF(SalesDataTable[[#This Row],[Returned]]="Yes",1,0)</f>
        <v>0</v>
      </c>
    </row>
    <row r="344" spans="1:23">
      <c r="A344" t="s">
        <v>593</v>
      </c>
      <c r="B344" s="3">
        <v>45951</v>
      </c>
      <c r="C344" s="3">
        <v>45958</v>
      </c>
      <c r="D344" t="s">
        <v>316</v>
      </c>
      <c r="E344" t="s">
        <v>35</v>
      </c>
      <c r="F344" t="s">
        <v>25</v>
      </c>
      <c r="G344" t="s">
        <v>36</v>
      </c>
      <c r="H344" t="s">
        <v>37</v>
      </c>
      <c r="I344" t="s">
        <v>52</v>
      </c>
      <c r="J344" t="s">
        <v>114</v>
      </c>
      <c r="K344" t="s">
        <v>114</v>
      </c>
      <c r="L344" t="s">
        <v>30</v>
      </c>
      <c r="M344" t="s">
        <v>55</v>
      </c>
      <c r="N344">
        <v>2</v>
      </c>
      <c r="O344" s="4">
        <v>9439.98</v>
      </c>
      <c r="P344" s="5">
        <v>0</v>
      </c>
      <c r="Q344" s="4">
        <v>606.77</v>
      </c>
      <c r="R344" s="4">
        <f t="shared" si="10"/>
        <v>18879.96</v>
      </c>
      <c r="S344" s="4">
        <f>R344*_xlfn.XLOOKUP(I344,Lookup_Lists!$A$2:$A$5,Lookup_Lists!$B$2:$B$5)-Q344-IF(T344="Yes",R344*0.2,0)</f>
        <v>4302.0195999999996</v>
      </c>
      <c r="T344" t="s">
        <v>32</v>
      </c>
      <c r="U344" s="6">
        <v>4.2</v>
      </c>
      <c r="V344" s="7">
        <f t="shared" si="11"/>
        <v>7</v>
      </c>
      <c r="W344">
        <f>IF(SalesDataTable[[#This Row],[Returned]]="Yes",1,0)</f>
        <v>0</v>
      </c>
    </row>
    <row r="345" spans="1:23">
      <c r="A345" t="s">
        <v>594</v>
      </c>
      <c r="B345" s="3">
        <v>46013</v>
      </c>
      <c r="C345" s="3">
        <v>46020</v>
      </c>
      <c r="D345" t="s">
        <v>553</v>
      </c>
      <c r="E345" t="s">
        <v>35</v>
      </c>
      <c r="F345" t="s">
        <v>25</v>
      </c>
      <c r="G345" t="s">
        <v>36</v>
      </c>
      <c r="H345" t="s">
        <v>145</v>
      </c>
      <c r="I345" t="s">
        <v>38</v>
      </c>
      <c r="J345" t="s">
        <v>130</v>
      </c>
      <c r="K345" t="s">
        <v>130</v>
      </c>
      <c r="L345" t="s">
        <v>54</v>
      </c>
      <c r="M345" t="s">
        <v>31</v>
      </c>
      <c r="N345">
        <v>4</v>
      </c>
      <c r="O345" s="4">
        <v>748.09</v>
      </c>
      <c r="P345" s="5">
        <v>0.25</v>
      </c>
      <c r="Q345" s="4">
        <v>400.57</v>
      </c>
      <c r="R345" s="4">
        <f t="shared" si="10"/>
        <v>2244.27</v>
      </c>
      <c r="S345" s="4">
        <f>R345*_xlfn.XLOOKUP(I345,Lookup_Lists!$A$2:$A$5,Lookup_Lists!$B$2:$B$5)-Q345-IF(T345="Yes",R345*0.2,0)</f>
        <v>317.59639999999996</v>
      </c>
      <c r="T345" t="s">
        <v>32</v>
      </c>
      <c r="U345" s="6">
        <v>4.5</v>
      </c>
      <c r="V345" s="7">
        <f t="shared" si="11"/>
        <v>7</v>
      </c>
      <c r="W345">
        <f>IF(SalesDataTable[[#This Row],[Returned]]="Yes",1,0)</f>
        <v>0</v>
      </c>
    </row>
    <row r="346" spans="1:23">
      <c r="A346" t="s">
        <v>595</v>
      </c>
      <c r="B346" s="3">
        <v>46019</v>
      </c>
      <c r="C346" s="3">
        <v>46022</v>
      </c>
      <c r="D346" t="s">
        <v>155</v>
      </c>
      <c r="E346" t="s">
        <v>70</v>
      </c>
      <c r="F346" t="s">
        <v>25</v>
      </c>
      <c r="G346" t="s">
        <v>43</v>
      </c>
      <c r="H346" t="s">
        <v>44</v>
      </c>
      <c r="I346" t="s">
        <v>58</v>
      </c>
      <c r="J346" t="s">
        <v>59</v>
      </c>
      <c r="K346" t="s">
        <v>59</v>
      </c>
      <c r="L346" t="s">
        <v>60</v>
      </c>
      <c r="M346" t="s">
        <v>31</v>
      </c>
      <c r="N346">
        <v>3</v>
      </c>
      <c r="O346" s="4">
        <v>6733.43</v>
      </c>
      <c r="P346" s="5">
        <v>0.1</v>
      </c>
      <c r="Q346" s="4">
        <v>663.73</v>
      </c>
      <c r="R346" s="4">
        <f t="shared" si="10"/>
        <v>18180.261000000002</v>
      </c>
      <c r="S346" s="4">
        <f>R346*_xlfn.XLOOKUP(I346,Lookup_Lists!$A$2:$A$5,Lookup_Lists!$B$2:$B$5)-Q346-IF(T346="Yes",R346*0.2,0)</f>
        <v>3699.5326400000008</v>
      </c>
      <c r="T346" t="s">
        <v>32</v>
      </c>
      <c r="U346" s="6">
        <v>3.8</v>
      </c>
      <c r="V346" s="7">
        <f t="shared" si="11"/>
        <v>3</v>
      </c>
      <c r="W346">
        <f>IF(SalesDataTable[[#This Row],[Returned]]="Yes",1,0)</f>
        <v>0</v>
      </c>
    </row>
    <row r="347" spans="1:23">
      <c r="A347" t="s">
        <v>596</v>
      </c>
      <c r="B347" s="3">
        <v>45757</v>
      </c>
      <c r="C347" s="3">
        <v>45758</v>
      </c>
      <c r="D347" t="s">
        <v>402</v>
      </c>
      <c r="E347" t="s">
        <v>35</v>
      </c>
      <c r="F347" t="s">
        <v>25</v>
      </c>
      <c r="G347" t="s">
        <v>50</v>
      </c>
      <c r="H347" t="s">
        <v>51</v>
      </c>
      <c r="I347" t="s">
        <v>38</v>
      </c>
      <c r="J347" t="s">
        <v>45</v>
      </c>
      <c r="K347" t="s">
        <v>45</v>
      </c>
      <c r="L347" t="s">
        <v>46</v>
      </c>
      <c r="M347" t="s">
        <v>55</v>
      </c>
      <c r="N347">
        <v>2</v>
      </c>
      <c r="O347" s="4">
        <v>291.67</v>
      </c>
      <c r="P347" s="5">
        <v>0</v>
      </c>
      <c r="Q347" s="4">
        <v>453.9</v>
      </c>
      <c r="R347" s="4">
        <f t="shared" si="10"/>
        <v>583.34</v>
      </c>
      <c r="S347" s="4">
        <f>R347*_xlfn.XLOOKUP(I347,Lookup_Lists!$A$2:$A$5,Lookup_Lists!$B$2:$B$5)-Q347-IF(T347="Yes",R347*0.2,0)</f>
        <v>-267.23119999999994</v>
      </c>
      <c r="T347" t="s">
        <v>32</v>
      </c>
      <c r="U347" s="6">
        <v>3.9</v>
      </c>
      <c r="V347" s="7">
        <f t="shared" si="11"/>
        <v>1</v>
      </c>
      <c r="W347">
        <f>IF(SalesDataTable[[#This Row],[Returned]]="Yes",1,0)</f>
        <v>0</v>
      </c>
    </row>
    <row r="348" spans="1:23">
      <c r="A348" t="s">
        <v>597</v>
      </c>
      <c r="B348" s="3">
        <v>45788</v>
      </c>
      <c r="C348" s="3">
        <v>45795</v>
      </c>
      <c r="D348" t="s">
        <v>557</v>
      </c>
      <c r="E348" t="s">
        <v>35</v>
      </c>
      <c r="F348" t="s">
        <v>25</v>
      </c>
      <c r="G348" t="s">
        <v>43</v>
      </c>
      <c r="H348" t="s">
        <v>122</v>
      </c>
      <c r="I348" t="s">
        <v>28</v>
      </c>
      <c r="J348" t="s">
        <v>123</v>
      </c>
      <c r="K348" t="s">
        <v>123</v>
      </c>
      <c r="L348" t="s">
        <v>54</v>
      </c>
      <c r="M348" t="s">
        <v>31</v>
      </c>
      <c r="N348">
        <v>3</v>
      </c>
      <c r="O348" s="4">
        <v>1599.72</v>
      </c>
      <c r="P348" s="5">
        <v>0</v>
      </c>
      <c r="Q348" s="4">
        <v>340.38</v>
      </c>
      <c r="R348" s="4">
        <f t="shared" si="10"/>
        <v>4799.16</v>
      </c>
      <c r="S348" s="4">
        <f>R348*_xlfn.XLOOKUP(I348,Lookup_Lists!$A$2:$A$5,Lookup_Lists!$B$2:$B$5)-Q348-IF(T348="Yes",R348*0.2,0)</f>
        <v>523.46879999999999</v>
      </c>
      <c r="T348" t="s">
        <v>32</v>
      </c>
      <c r="U348" s="6">
        <v>3.8</v>
      </c>
      <c r="V348" s="7">
        <f t="shared" si="11"/>
        <v>7</v>
      </c>
      <c r="W348">
        <f>IF(SalesDataTable[[#This Row],[Returned]]="Yes",1,0)</f>
        <v>0</v>
      </c>
    </row>
    <row r="349" spans="1:23">
      <c r="A349" t="s">
        <v>598</v>
      </c>
      <c r="B349" s="3">
        <v>45676</v>
      </c>
      <c r="C349" s="3">
        <v>45682</v>
      </c>
      <c r="D349" t="s">
        <v>359</v>
      </c>
      <c r="E349" t="s">
        <v>70</v>
      </c>
      <c r="F349" t="s">
        <v>25</v>
      </c>
      <c r="G349" t="s">
        <v>36</v>
      </c>
      <c r="H349" t="s">
        <v>37</v>
      </c>
      <c r="I349" t="s">
        <v>58</v>
      </c>
      <c r="J349" t="s">
        <v>88</v>
      </c>
      <c r="K349" t="s">
        <v>88</v>
      </c>
      <c r="L349" t="s">
        <v>60</v>
      </c>
      <c r="M349" t="s">
        <v>89</v>
      </c>
      <c r="N349">
        <v>4</v>
      </c>
      <c r="O349" s="4">
        <v>6982.58</v>
      </c>
      <c r="P349" s="5">
        <v>0.1</v>
      </c>
      <c r="Q349" s="4">
        <v>678.79</v>
      </c>
      <c r="R349" s="4">
        <f t="shared" si="10"/>
        <v>25137.288</v>
      </c>
      <c r="S349" s="4">
        <f>R349*_xlfn.XLOOKUP(I349,Lookup_Lists!$A$2:$A$5,Lookup_Lists!$B$2:$B$5)-Q349-IF(T349="Yes",R349*0.2,0)</f>
        <v>5354.1591200000003</v>
      </c>
      <c r="T349" t="s">
        <v>32</v>
      </c>
      <c r="U349" s="6">
        <v>3.4</v>
      </c>
      <c r="V349" s="7">
        <f t="shared" si="11"/>
        <v>6</v>
      </c>
      <c r="W349">
        <f>IF(SalesDataTable[[#This Row],[Returned]]="Yes",1,0)</f>
        <v>0</v>
      </c>
    </row>
    <row r="350" spans="1:23">
      <c r="A350" t="s">
        <v>599</v>
      </c>
      <c r="B350" s="3">
        <v>45764</v>
      </c>
      <c r="C350" s="3">
        <v>45769</v>
      </c>
      <c r="D350" t="s">
        <v>355</v>
      </c>
      <c r="E350" t="s">
        <v>35</v>
      </c>
      <c r="F350" t="s">
        <v>25</v>
      </c>
      <c r="G350" t="s">
        <v>43</v>
      </c>
      <c r="H350" t="s">
        <v>122</v>
      </c>
      <c r="I350" t="s">
        <v>52</v>
      </c>
      <c r="J350" t="s">
        <v>105</v>
      </c>
      <c r="K350" t="s">
        <v>105</v>
      </c>
      <c r="L350" t="s">
        <v>64</v>
      </c>
      <c r="M350" t="s">
        <v>55</v>
      </c>
      <c r="N350">
        <v>7</v>
      </c>
      <c r="O350" s="4">
        <v>1388.34</v>
      </c>
      <c r="P350" s="5">
        <v>0.15</v>
      </c>
      <c r="Q350" s="4">
        <v>551.24</v>
      </c>
      <c r="R350" s="4">
        <f t="shared" si="10"/>
        <v>8260.6229999999996</v>
      </c>
      <c r="S350" s="4">
        <f>R350*_xlfn.XLOOKUP(I350,Lookup_Lists!$A$2:$A$5,Lookup_Lists!$B$2:$B$5)-Q350-IF(T350="Yes",R350*0.2,0)</f>
        <v>1596.5219799999998</v>
      </c>
      <c r="T350" t="s">
        <v>32</v>
      </c>
      <c r="U350" s="6">
        <v>3.6</v>
      </c>
      <c r="V350" s="7">
        <f t="shared" si="11"/>
        <v>5</v>
      </c>
      <c r="W350">
        <f>IF(SalesDataTable[[#This Row],[Returned]]="Yes",1,0)</f>
        <v>0</v>
      </c>
    </row>
    <row r="351" spans="1:23">
      <c r="A351" t="s">
        <v>600</v>
      </c>
      <c r="B351" s="3">
        <v>45815</v>
      </c>
      <c r="C351" s="3">
        <v>45821</v>
      </c>
      <c r="D351" t="s">
        <v>265</v>
      </c>
      <c r="E351" t="s">
        <v>24</v>
      </c>
      <c r="F351" t="s">
        <v>25</v>
      </c>
      <c r="G351" t="s">
        <v>43</v>
      </c>
      <c r="H351" t="s">
        <v>102</v>
      </c>
      <c r="I351" t="s">
        <v>28</v>
      </c>
      <c r="J351" t="s">
        <v>75</v>
      </c>
      <c r="K351" t="s">
        <v>75</v>
      </c>
      <c r="L351" t="s">
        <v>46</v>
      </c>
      <c r="M351" t="s">
        <v>55</v>
      </c>
      <c r="N351">
        <v>1</v>
      </c>
      <c r="O351" s="4">
        <v>10677.65</v>
      </c>
      <c r="P351" s="5">
        <v>0</v>
      </c>
      <c r="Q351" s="4">
        <v>687.58</v>
      </c>
      <c r="R351" s="4">
        <f t="shared" si="10"/>
        <v>10677.65</v>
      </c>
      <c r="S351" s="4">
        <f>R351*_xlfn.XLOOKUP(I351,Lookup_Lists!$A$2:$A$5,Lookup_Lists!$B$2:$B$5)-Q351-IF(T351="Yes",R351*0.2,0)</f>
        <v>1234.3969999999999</v>
      </c>
      <c r="T351" t="s">
        <v>32</v>
      </c>
      <c r="U351" s="6">
        <v>3.7</v>
      </c>
      <c r="V351" s="7">
        <f t="shared" si="11"/>
        <v>6</v>
      </c>
      <c r="W351">
        <f>IF(SalesDataTable[[#This Row],[Returned]]="Yes",1,0)</f>
        <v>0</v>
      </c>
    </row>
    <row r="352" spans="1:23">
      <c r="A352" t="s">
        <v>601</v>
      </c>
      <c r="B352" s="3">
        <v>45705</v>
      </c>
      <c r="C352" s="3">
        <v>45709</v>
      </c>
      <c r="D352" t="s">
        <v>602</v>
      </c>
      <c r="E352" t="s">
        <v>35</v>
      </c>
      <c r="F352" t="s">
        <v>25</v>
      </c>
      <c r="G352" t="s">
        <v>36</v>
      </c>
      <c r="H352" t="s">
        <v>145</v>
      </c>
      <c r="I352" t="s">
        <v>28</v>
      </c>
      <c r="J352" t="s">
        <v>111</v>
      </c>
      <c r="K352" t="s">
        <v>111</v>
      </c>
      <c r="L352" t="s">
        <v>30</v>
      </c>
      <c r="M352" t="s">
        <v>31</v>
      </c>
      <c r="N352">
        <v>2</v>
      </c>
      <c r="O352" s="4">
        <v>1173.8399999999999</v>
      </c>
      <c r="P352" s="5">
        <v>0.1</v>
      </c>
      <c r="Q352" s="4">
        <v>171.22</v>
      </c>
      <c r="R352" s="4">
        <f t="shared" si="10"/>
        <v>2112.9119999999998</v>
      </c>
      <c r="S352" s="4">
        <f>R352*_xlfn.XLOOKUP(I352,Lookup_Lists!$A$2:$A$5,Lookup_Lists!$B$2:$B$5)-Q352-IF(T352="Yes",R352*0.2,0)</f>
        <v>209.10415999999995</v>
      </c>
      <c r="T352" t="s">
        <v>32</v>
      </c>
      <c r="U352" s="6">
        <v>2.9</v>
      </c>
      <c r="V352" s="7">
        <f t="shared" si="11"/>
        <v>4</v>
      </c>
      <c r="W352">
        <f>IF(SalesDataTable[[#This Row],[Returned]]="Yes",1,0)</f>
        <v>0</v>
      </c>
    </row>
    <row r="353" spans="1:23">
      <c r="A353" t="s">
        <v>603</v>
      </c>
      <c r="B353" s="3">
        <v>45763</v>
      </c>
      <c r="C353" s="3">
        <v>45769</v>
      </c>
      <c r="D353" t="s">
        <v>257</v>
      </c>
      <c r="E353" t="s">
        <v>70</v>
      </c>
      <c r="F353" t="s">
        <v>25</v>
      </c>
      <c r="G353" t="s">
        <v>50</v>
      </c>
      <c r="H353" t="s">
        <v>78</v>
      </c>
      <c r="I353" t="s">
        <v>28</v>
      </c>
      <c r="J353" t="s">
        <v>29</v>
      </c>
      <c r="K353" t="s">
        <v>29</v>
      </c>
      <c r="L353" t="s">
        <v>30</v>
      </c>
      <c r="M353" t="s">
        <v>31</v>
      </c>
      <c r="N353">
        <v>5</v>
      </c>
      <c r="O353" s="4">
        <v>50959.32</v>
      </c>
      <c r="P353" s="5">
        <v>0.15</v>
      </c>
      <c r="Q353" s="4">
        <v>3960.72</v>
      </c>
      <c r="R353" s="4">
        <f t="shared" si="10"/>
        <v>216577.11</v>
      </c>
      <c r="S353" s="4">
        <f>R353*_xlfn.XLOOKUP(I353,Lookup_Lists!$A$2:$A$5,Lookup_Lists!$B$2:$B$5)-Q353-IF(T353="Yes",R353*0.2,0)</f>
        <v>35023.159799999994</v>
      </c>
      <c r="T353" t="s">
        <v>32</v>
      </c>
      <c r="U353" s="6">
        <v>4.0999999999999996</v>
      </c>
      <c r="V353" s="7">
        <f t="shared" si="11"/>
        <v>6</v>
      </c>
      <c r="W353">
        <f>IF(SalesDataTable[[#This Row],[Returned]]="Yes",1,0)</f>
        <v>0</v>
      </c>
    </row>
    <row r="354" spans="1:23">
      <c r="A354" t="s">
        <v>604</v>
      </c>
      <c r="B354" s="3">
        <v>45817</v>
      </c>
      <c r="C354" s="3">
        <v>45818</v>
      </c>
      <c r="D354" t="s">
        <v>284</v>
      </c>
      <c r="E354" t="s">
        <v>24</v>
      </c>
      <c r="F354" t="s">
        <v>25</v>
      </c>
      <c r="G354" t="s">
        <v>26</v>
      </c>
      <c r="H354" t="s">
        <v>82</v>
      </c>
      <c r="I354" t="s">
        <v>28</v>
      </c>
      <c r="J354" t="s">
        <v>123</v>
      </c>
      <c r="K354" t="s">
        <v>123</v>
      </c>
      <c r="L354" t="s">
        <v>54</v>
      </c>
      <c r="M354" t="s">
        <v>55</v>
      </c>
      <c r="N354">
        <v>4</v>
      </c>
      <c r="O354" s="4">
        <v>1946.41</v>
      </c>
      <c r="P354" s="5">
        <v>0</v>
      </c>
      <c r="Q354" s="4">
        <v>286.56</v>
      </c>
      <c r="R354" s="4">
        <f t="shared" si="10"/>
        <v>7785.64</v>
      </c>
      <c r="S354" s="4">
        <f>R354*_xlfn.XLOOKUP(I354,Lookup_Lists!$A$2:$A$5,Lookup_Lists!$B$2:$B$5)-Q354-IF(T354="Yes",R354*0.2,0)</f>
        <v>1114.8552</v>
      </c>
      <c r="T354" t="s">
        <v>32</v>
      </c>
      <c r="U354" s="6">
        <v>4.9000000000000004</v>
      </c>
      <c r="V354" s="7">
        <f t="shared" si="11"/>
        <v>1</v>
      </c>
      <c r="W354">
        <f>IF(SalesDataTable[[#This Row],[Returned]]="Yes",1,0)</f>
        <v>0</v>
      </c>
    </row>
    <row r="355" spans="1:23">
      <c r="A355" t="s">
        <v>605</v>
      </c>
      <c r="B355" s="3">
        <v>45710</v>
      </c>
      <c r="C355" s="3">
        <v>45712</v>
      </c>
      <c r="D355" t="s">
        <v>176</v>
      </c>
      <c r="E355" t="s">
        <v>35</v>
      </c>
      <c r="F355" t="s">
        <v>25</v>
      </c>
      <c r="G355" t="s">
        <v>43</v>
      </c>
      <c r="H355" t="s">
        <v>44</v>
      </c>
      <c r="I355" t="s">
        <v>28</v>
      </c>
      <c r="J355" t="s">
        <v>123</v>
      </c>
      <c r="K355" t="s">
        <v>123</v>
      </c>
      <c r="L355" t="s">
        <v>46</v>
      </c>
      <c r="M355" t="s">
        <v>40</v>
      </c>
      <c r="N355">
        <v>1</v>
      </c>
      <c r="O355" s="4">
        <v>1915.16</v>
      </c>
      <c r="P355" s="5">
        <v>0</v>
      </c>
      <c r="Q355" s="4">
        <v>361.61</v>
      </c>
      <c r="R355" s="4">
        <f t="shared" si="10"/>
        <v>1915.16</v>
      </c>
      <c r="S355" s="4">
        <f>R355*_xlfn.XLOOKUP(I355,Lookup_Lists!$A$2:$A$5,Lookup_Lists!$B$2:$B$5)-Q355-IF(T355="Yes",R355*0.2,0)</f>
        <v>-16.881200000000035</v>
      </c>
      <c r="T355" t="s">
        <v>32</v>
      </c>
      <c r="U355" s="6">
        <v>4.2</v>
      </c>
      <c r="V355" s="7">
        <f t="shared" si="11"/>
        <v>2</v>
      </c>
      <c r="W355">
        <f>IF(SalesDataTable[[#This Row],[Returned]]="Yes",1,0)</f>
        <v>0</v>
      </c>
    </row>
    <row r="356" spans="1:23">
      <c r="A356" t="s">
        <v>606</v>
      </c>
      <c r="B356" s="3">
        <v>45899</v>
      </c>
      <c r="C356" s="3">
        <v>45905</v>
      </c>
      <c r="D356" t="s">
        <v>291</v>
      </c>
      <c r="E356" t="s">
        <v>35</v>
      </c>
      <c r="F356" t="s">
        <v>25</v>
      </c>
      <c r="G356" t="s">
        <v>50</v>
      </c>
      <c r="H356" t="s">
        <v>78</v>
      </c>
      <c r="I356" t="s">
        <v>58</v>
      </c>
      <c r="J356" t="s">
        <v>127</v>
      </c>
      <c r="K356" t="s">
        <v>127</v>
      </c>
      <c r="L356" t="s">
        <v>30</v>
      </c>
      <c r="M356" t="s">
        <v>31</v>
      </c>
      <c r="N356">
        <v>3</v>
      </c>
      <c r="O356" s="4">
        <v>19566.669999999998</v>
      </c>
      <c r="P356" s="5">
        <v>0</v>
      </c>
      <c r="Q356" s="4">
        <v>1163.21</v>
      </c>
      <c r="R356" s="4">
        <f t="shared" si="10"/>
        <v>58700.009999999995</v>
      </c>
      <c r="S356" s="4">
        <f>R356*_xlfn.XLOOKUP(I356,Lookup_Lists!$A$2:$A$5,Lookup_Lists!$B$2:$B$5)-Q356-IF(T356="Yes",R356*0.2,0)</f>
        <v>12924.792399999998</v>
      </c>
      <c r="T356" t="s">
        <v>32</v>
      </c>
      <c r="U356" s="6">
        <v>4.5</v>
      </c>
      <c r="V356" s="7">
        <f t="shared" si="11"/>
        <v>6</v>
      </c>
      <c r="W356">
        <f>IF(SalesDataTable[[#This Row],[Returned]]="Yes",1,0)</f>
        <v>0</v>
      </c>
    </row>
    <row r="357" spans="1:23">
      <c r="A357" t="s">
        <v>607</v>
      </c>
      <c r="B357" s="3">
        <v>45931</v>
      </c>
      <c r="C357" s="3">
        <v>45932</v>
      </c>
      <c r="D357" t="s">
        <v>608</v>
      </c>
      <c r="E357" t="s">
        <v>24</v>
      </c>
      <c r="F357" t="s">
        <v>25</v>
      </c>
      <c r="G357" t="s">
        <v>26</v>
      </c>
      <c r="H357" t="s">
        <v>153</v>
      </c>
      <c r="I357" t="s">
        <v>38</v>
      </c>
      <c r="J357" t="s">
        <v>45</v>
      </c>
      <c r="K357" t="s">
        <v>45</v>
      </c>
      <c r="L357" t="s">
        <v>54</v>
      </c>
      <c r="M357" t="s">
        <v>55</v>
      </c>
      <c r="N357">
        <v>3</v>
      </c>
      <c r="O357" s="4">
        <v>284.2</v>
      </c>
      <c r="P357" s="5">
        <v>0.05</v>
      </c>
      <c r="Q357" s="4">
        <v>224.85</v>
      </c>
      <c r="R357" s="4">
        <f t="shared" si="10"/>
        <v>809.96999999999991</v>
      </c>
      <c r="S357" s="4">
        <f>R357*_xlfn.XLOOKUP(I357,Lookup_Lists!$A$2:$A$5,Lookup_Lists!$B$2:$B$5)-Q357-IF(T357="Yes",R357*0.2,0)</f>
        <v>34.34039999999996</v>
      </c>
      <c r="T357" t="s">
        <v>32</v>
      </c>
      <c r="U357" s="6">
        <v>5</v>
      </c>
      <c r="V357" s="7">
        <f t="shared" si="11"/>
        <v>1</v>
      </c>
      <c r="W357">
        <f>IF(SalesDataTable[[#This Row],[Returned]]="Yes",1,0)</f>
        <v>0</v>
      </c>
    </row>
    <row r="358" spans="1:23">
      <c r="A358" t="s">
        <v>609</v>
      </c>
      <c r="B358" s="3">
        <v>45973</v>
      </c>
      <c r="C358" s="3">
        <v>45976</v>
      </c>
      <c r="D358" t="s">
        <v>534</v>
      </c>
      <c r="E358" t="s">
        <v>35</v>
      </c>
      <c r="F358" t="s">
        <v>25</v>
      </c>
      <c r="G358" t="s">
        <v>43</v>
      </c>
      <c r="H358" t="s">
        <v>44</v>
      </c>
      <c r="I358" t="s">
        <v>58</v>
      </c>
      <c r="J358" t="s">
        <v>92</v>
      </c>
      <c r="K358" t="s">
        <v>92</v>
      </c>
      <c r="L358" t="s">
        <v>54</v>
      </c>
      <c r="M358" t="s">
        <v>89</v>
      </c>
      <c r="N358">
        <v>2</v>
      </c>
      <c r="O358" s="4">
        <v>8656.17</v>
      </c>
      <c r="P358" s="5">
        <v>0</v>
      </c>
      <c r="Q358" s="4">
        <v>777.41</v>
      </c>
      <c r="R358" s="4">
        <f t="shared" si="10"/>
        <v>17312.34</v>
      </c>
      <c r="S358" s="4">
        <f>R358*_xlfn.XLOOKUP(I358,Lookup_Lists!$A$2:$A$5,Lookup_Lists!$B$2:$B$5)-Q358-IF(T358="Yes",R358*0.2,0)</f>
        <v>3377.5515999999998</v>
      </c>
      <c r="T358" t="s">
        <v>32</v>
      </c>
      <c r="U358" s="6">
        <v>4.5</v>
      </c>
      <c r="V358" s="7">
        <f t="shared" si="11"/>
        <v>3</v>
      </c>
      <c r="W358">
        <f>IF(SalesDataTable[[#This Row],[Returned]]="Yes",1,0)</f>
        <v>0</v>
      </c>
    </row>
    <row r="359" spans="1:23">
      <c r="A359" t="s">
        <v>610</v>
      </c>
      <c r="B359" s="3">
        <v>45712</v>
      </c>
      <c r="C359" s="3">
        <v>45715</v>
      </c>
      <c r="D359" t="s">
        <v>161</v>
      </c>
      <c r="E359" t="s">
        <v>70</v>
      </c>
      <c r="F359" t="s">
        <v>25</v>
      </c>
      <c r="G359" t="s">
        <v>43</v>
      </c>
      <c r="H359" t="s">
        <v>102</v>
      </c>
      <c r="I359" t="s">
        <v>58</v>
      </c>
      <c r="J359" t="s">
        <v>88</v>
      </c>
      <c r="K359" t="s">
        <v>88</v>
      </c>
      <c r="L359" t="s">
        <v>54</v>
      </c>
      <c r="M359" t="s">
        <v>40</v>
      </c>
      <c r="N359">
        <v>3</v>
      </c>
      <c r="O359" s="4">
        <v>8439.61</v>
      </c>
      <c r="P359" s="5">
        <v>0</v>
      </c>
      <c r="Q359" s="4">
        <v>653.99</v>
      </c>
      <c r="R359" s="4">
        <f t="shared" si="10"/>
        <v>25318.83</v>
      </c>
      <c r="S359" s="4">
        <f>R359*_xlfn.XLOOKUP(I359,Lookup_Lists!$A$2:$A$5,Lookup_Lists!$B$2:$B$5)-Q359-IF(T359="Yes",R359*0.2,0)</f>
        <v>5422.5292000000009</v>
      </c>
      <c r="T359" t="s">
        <v>32</v>
      </c>
      <c r="U359" s="6">
        <v>4.5</v>
      </c>
      <c r="V359" s="7">
        <f t="shared" si="11"/>
        <v>3</v>
      </c>
      <c r="W359">
        <f>IF(SalesDataTable[[#This Row],[Returned]]="Yes",1,0)</f>
        <v>0</v>
      </c>
    </row>
    <row r="360" spans="1:23">
      <c r="A360" t="s">
        <v>611</v>
      </c>
      <c r="B360" s="3">
        <v>45960</v>
      </c>
      <c r="C360" s="3">
        <v>45964</v>
      </c>
      <c r="D360" t="s">
        <v>351</v>
      </c>
      <c r="E360" t="s">
        <v>81</v>
      </c>
      <c r="F360" t="s">
        <v>25</v>
      </c>
      <c r="G360" t="s">
        <v>43</v>
      </c>
      <c r="H360" t="s">
        <v>63</v>
      </c>
      <c r="I360" t="s">
        <v>28</v>
      </c>
      <c r="J360" t="s">
        <v>29</v>
      </c>
      <c r="K360" t="s">
        <v>29</v>
      </c>
      <c r="L360" t="s">
        <v>30</v>
      </c>
      <c r="M360" t="s">
        <v>31</v>
      </c>
      <c r="N360">
        <v>4</v>
      </c>
      <c r="O360" s="4">
        <v>47543.44</v>
      </c>
      <c r="P360" s="5">
        <v>0.05</v>
      </c>
      <c r="Q360" s="4">
        <v>3118.07</v>
      </c>
      <c r="R360" s="4">
        <f t="shared" si="10"/>
        <v>180665.07200000001</v>
      </c>
      <c r="S360" s="4">
        <f>R360*_xlfn.XLOOKUP(I360,Lookup_Lists!$A$2:$A$5,Lookup_Lists!$B$2:$B$5)-Q360-IF(T360="Yes",R360*0.2,0)</f>
        <v>29401.642960000001</v>
      </c>
      <c r="T360" t="s">
        <v>32</v>
      </c>
      <c r="U360" s="6">
        <v>4</v>
      </c>
      <c r="V360" s="7">
        <f t="shared" si="11"/>
        <v>4</v>
      </c>
      <c r="W360">
        <f>IF(SalesDataTable[[#This Row],[Returned]]="Yes",1,0)</f>
        <v>0</v>
      </c>
    </row>
    <row r="361" spans="1:23">
      <c r="A361" t="s">
        <v>612</v>
      </c>
      <c r="B361" s="3">
        <v>45865</v>
      </c>
      <c r="C361" s="3">
        <v>45866</v>
      </c>
      <c r="D361" t="s">
        <v>247</v>
      </c>
      <c r="E361" t="s">
        <v>35</v>
      </c>
      <c r="F361" t="s">
        <v>25</v>
      </c>
      <c r="G361" t="s">
        <v>36</v>
      </c>
      <c r="H361" t="s">
        <v>37</v>
      </c>
      <c r="I361" t="s">
        <v>58</v>
      </c>
      <c r="J361" t="s">
        <v>92</v>
      </c>
      <c r="K361" t="s">
        <v>92</v>
      </c>
      <c r="L361" t="s">
        <v>54</v>
      </c>
      <c r="M361" t="s">
        <v>40</v>
      </c>
      <c r="N361">
        <v>5</v>
      </c>
      <c r="O361" s="4">
        <v>9783.2999999999993</v>
      </c>
      <c r="P361" s="5">
        <v>0.1</v>
      </c>
      <c r="Q361" s="4">
        <v>813.85</v>
      </c>
      <c r="R361" s="4">
        <f t="shared" si="10"/>
        <v>44024.85</v>
      </c>
      <c r="S361" s="4">
        <f>R361*_xlfn.XLOOKUP(I361,Lookup_Lists!$A$2:$A$5,Lookup_Lists!$B$2:$B$5)-Q361-IF(T361="Yes",R361*0.2,0)</f>
        <v>9752.1139999999996</v>
      </c>
      <c r="T361" t="s">
        <v>32</v>
      </c>
      <c r="U361" s="6">
        <v>4.5</v>
      </c>
      <c r="V361" s="7">
        <f t="shared" si="11"/>
        <v>1</v>
      </c>
      <c r="W361">
        <f>IF(SalesDataTable[[#This Row],[Returned]]="Yes",1,0)</f>
        <v>0</v>
      </c>
    </row>
    <row r="362" spans="1:23">
      <c r="A362" t="s">
        <v>613</v>
      </c>
      <c r="B362" s="3">
        <v>45734</v>
      </c>
      <c r="C362" s="3">
        <v>45738</v>
      </c>
      <c r="D362" t="s">
        <v>614</v>
      </c>
      <c r="E362" t="s">
        <v>35</v>
      </c>
      <c r="F362" t="s">
        <v>25</v>
      </c>
      <c r="G362" t="s">
        <v>36</v>
      </c>
      <c r="H362" t="s">
        <v>145</v>
      </c>
      <c r="I362" t="s">
        <v>28</v>
      </c>
      <c r="J362" t="s">
        <v>123</v>
      </c>
      <c r="K362" t="s">
        <v>123</v>
      </c>
      <c r="L362" t="s">
        <v>54</v>
      </c>
      <c r="M362" t="s">
        <v>55</v>
      </c>
      <c r="N362">
        <v>5</v>
      </c>
      <c r="O362" s="4">
        <v>2089.81</v>
      </c>
      <c r="P362" s="5">
        <v>0.1</v>
      </c>
      <c r="Q362" s="4">
        <v>758.35</v>
      </c>
      <c r="R362" s="4">
        <f t="shared" si="10"/>
        <v>9404.1450000000004</v>
      </c>
      <c r="S362" s="4">
        <f>R362*_xlfn.XLOOKUP(I362,Lookup_Lists!$A$2:$A$5,Lookup_Lists!$B$2:$B$5)-Q362-IF(T362="Yes",R362*0.2,0)</f>
        <v>934.39610000000005</v>
      </c>
      <c r="T362" t="s">
        <v>32</v>
      </c>
      <c r="U362" s="6">
        <v>3.8</v>
      </c>
      <c r="V362" s="7">
        <f t="shared" si="11"/>
        <v>4</v>
      </c>
      <c r="W362">
        <f>IF(SalesDataTable[[#This Row],[Returned]]="Yes",1,0)</f>
        <v>0</v>
      </c>
    </row>
    <row r="363" spans="1:23">
      <c r="A363" t="s">
        <v>615</v>
      </c>
      <c r="B363" s="3">
        <v>45919</v>
      </c>
      <c r="C363" s="3">
        <v>45923</v>
      </c>
      <c r="D363" t="s">
        <v>422</v>
      </c>
      <c r="E363" t="s">
        <v>24</v>
      </c>
      <c r="F363" t="s">
        <v>25</v>
      </c>
      <c r="G363" t="s">
        <v>50</v>
      </c>
      <c r="H363" t="s">
        <v>71</v>
      </c>
      <c r="I363" t="s">
        <v>52</v>
      </c>
      <c r="J363" t="s">
        <v>114</v>
      </c>
      <c r="K363" t="s">
        <v>114</v>
      </c>
      <c r="L363" t="s">
        <v>54</v>
      </c>
      <c r="M363" t="s">
        <v>31</v>
      </c>
      <c r="N363">
        <v>4</v>
      </c>
      <c r="O363" s="4">
        <v>9383.85</v>
      </c>
      <c r="P363" s="5">
        <v>0.15</v>
      </c>
      <c r="Q363" s="4">
        <v>1136.47</v>
      </c>
      <c r="R363" s="4">
        <f t="shared" si="10"/>
        <v>31905.09</v>
      </c>
      <c r="S363" s="4">
        <f>R363*_xlfn.XLOOKUP(I363,Lookup_Lists!$A$2:$A$5,Lookup_Lists!$B$2:$B$5)-Q363-IF(T363="Yes",R363*0.2,0)</f>
        <v>7158.8534000000009</v>
      </c>
      <c r="T363" t="s">
        <v>32</v>
      </c>
      <c r="U363" s="6">
        <v>4</v>
      </c>
      <c r="V363" s="7">
        <f t="shared" si="11"/>
        <v>4</v>
      </c>
      <c r="W363">
        <f>IF(SalesDataTable[[#This Row],[Returned]]="Yes",1,0)</f>
        <v>0</v>
      </c>
    </row>
    <row r="364" spans="1:23">
      <c r="A364" t="s">
        <v>616</v>
      </c>
      <c r="B364" s="3">
        <v>46017</v>
      </c>
      <c r="C364" s="3">
        <v>46022</v>
      </c>
      <c r="D364" t="s">
        <v>473</v>
      </c>
      <c r="E364" t="s">
        <v>70</v>
      </c>
      <c r="F364" t="s">
        <v>25</v>
      </c>
      <c r="G364" t="s">
        <v>36</v>
      </c>
      <c r="H364" t="s">
        <v>138</v>
      </c>
      <c r="I364" t="s">
        <v>58</v>
      </c>
      <c r="J364" t="s">
        <v>127</v>
      </c>
      <c r="K364" t="s">
        <v>127</v>
      </c>
      <c r="L364" t="s">
        <v>30</v>
      </c>
      <c r="M364" t="s">
        <v>47</v>
      </c>
      <c r="N364">
        <v>1</v>
      </c>
      <c r="O364" s="4">
        <v>18839.28</v>
      </c>
      <c r="P364" s="5">
        <v>0.15</v>
      </c>
      <c r="Q364" s="4">
        <v>567.95000000000005</v>
      </c>
      <c r="R364" s="4">
        <f t="shared" si="10"/>
        <v>16013.387999999999</v>
      </c>
      <c r="S364" s="4">
        <f>R364*_xlfn.XLOOKUP(I364,Lookup_Lists!$A$2:$A$5,Lookup_Lists!$B$2:$B$5)-Q364-IF(T364="Yes",R364*0.2,0)</f>
        <v>3275.2631199999996</v>
      </c>
      <c r="T364" t="s">
        <v>32</v>
      </c>
      <c r="U364" s="6">
        <v>4.0999999999999996</v>
      </c>
      <c r="V364" s="7">
        <f t="shared" si="11"/>
        <v>5</v>
      </c>
      <c r="W364">
        <f>IF(SalesDataTable[[#This Row],[Returned]]="Yes",1,0)</f>
        <v>0</v>
      </c>
    </row>
    <row r="365" spans="1:23">
      <c r="A365" t="s">
        <v>617</v>
      </c>
      <c r="B365" s="3">
        <v>45722</v>
      </c>
      <c r="C365" s="3">
        <v>45724</v>
      </c>
      <c r="D365" t="s">
        <v>69</v>
      </c>
      <c r="E365" t="s">
        <v>35</v>
      </c>
      <c r="F365" t="s">
        <v>25</v>
      </c>
      <c r="G365" t="s">
        <v>50</v>
      </c>
      <c r="H365" t="s">
        <v>51</v>
      </c>
      <c r="I365" t="s">
        <v>38</v>
      </c>
      <c r="J365" t="s">
        <v>45</v>
      </c>
      <c r="K365" t="s">
        <v>45</v>
      </c>
      <c r="L365" t="s">
        <v>30</v>
      </c>
      <c r="M365" t="s">
        <v>40</v>
      </c>
      <c r="N365">
        <v>1</v>
      </c>
      <c r="O365" s="4">
        <v>278.89</v>
      </c>
      <c r="P365" s="5">
        <v>0</v>
      </c>
      <c r="Q365" s="4">
        <v>344.12</v>
      </c>
      <c r="R365" s="4">
        <f t="shared" si="10"/>
        <v>278.89</v>
      </c>
      <c r="S365" s="4">
        <f>R365*_xlfn.XLOOKUP(I365,Lookup_Lists!$A$2:$A$5,Lookup_Lists!$B$2:$B$5)-Q365-IF(T365="Yes",R365*0.2,0)</f>
        <v>-254.87520000000001</v>
      </c>
      <c r="T365" t="s">
        <v>32</v>
      </c>
      <c r="U365" s="6">
        <v>5</v>
      </c>
      <c r="V365" s="7">
        <f t="shared" si="11"/>
        <v>2</v>
      </c>
      <c r="W365">
        <f>IF(SalesDataTable[[#This Row],[Returned]]="Yes",1,0)</f>
        <v>0</v>
      </c>
    </row>
    <row r="366" spans="1:23">
      <c r="A366" t="s">
        <v>618</v>
      </c>
      <c r="B366" s="3">
        <v>45967</v>
      </c>
      <c r="C366" s="3">
        <v>45971</v>
      </c>
      <c r="D366" t="s">
        <v>193</v>
      </c>
      <c r="E366" t="s">
        <v>35</v>
      </c>
      <c r="F366" t="s">
        <v>25</v>
      </c>
      <c r="G366" t="s">
        <v>36</v>
      </c>
      <c r="H366" t="s">
        <v>138</v>
      </c>
      <c r="I366" t="s">
        <v>58</v>
      </c>
      <c r="J366" t="s">
        <v>127</v>
      </c>
      <c r="K366" t="s">
        <v>127</v>
      </c>
      <c r="L366" t="s">
        <v>54</v>
      </c>
      <c r="M366" t="s">
        <v>31</v>
      </c>
      <c r="N366">
        <v>1</v>
      </c>
      <c r="O366" s="4">
        <v>18530.05</v>
      </c>
      <c r="P366" s="5">
        <v>0.1</v>
      </c>
      <c r="Q366" s="4">
        <v>763.86</v>
      </c>
      <c r="R366" s="4">
        <f t="shared" si="10"/>
        <v>16677.044999999998</v>
      </c>
      <c r="S366" s="4">
        <f>R366*_xlfn.XLOOKUP(I366,Lookup_Lists!$A$2:$A$5,Lookup_Lists!$B$2:$B$5)-Q366-IF(T366="Yes",R366*0.2,0)</f>
        <v>3238.6307999999995</v>
      </c>
      <c r="T366" t="s">
        <v>32</v>
      </c>
      <c r="U366" s="6">
        <v>4.9000000000000004</v>
      </c>
      <c r="V366" s="7">
        <f t="shared" si="11"/>
        <v>4</v>
      </c>
      <c r="W366">
        <f>IF(SalesDataTable[[#This Row],[Returned]]="Yes",1,0)</f>
        <v>0</v>
      </c>
    </row>
    <row r="367" spans="1:23">
      <c r="A367" t="s">
        <v>619</v>
      </c>
      <c r="B367" s="3">
        <v>45675</v>
      </c>
      <c r="C367" s="3">
        <v>45676</v>
      </c>
      <c r="D367" t="s">
        <v>62</v>
      </c>
      <c r="E367" t="s">
        <v>70</v>
      </c>
      <c r="F367" t="s">
        <v>25</v>
      </c>
      <c r="G367" t="s">
        <v>43</v>
      </c>
      <c r="H367" t="s">
        <v>122</v>
      </c>
      <c r="I367" t="s">
        <v>38</v>
      </c>
      <c r="J367" t="s">
        <v>39</v>
      </c>
      <c r="K367" t="s">
        <v>39</v>
      </c>
      <c r="L367" t="s">
        <v>54</v>
      </c>
      <c r="M367" t="s">
        <v>31</v>
      </c>
      <c r="N367">
        <v>7</v>
      </c>
      <c r="O367" s="4">
        <v>493.54</v>
      </c>
      <c r="P367" s="5">
        <v>0.1</v>
      </c>
      <c r="Q367" s="4">
        <v>396.84</v>
      </c>
      <c r="R367" s="4">
        <f t="shared" si="10"/>
        <v>3109.3020000000001</v>
      </c>
      <c r="S367" s="4">
        <f>R367*_xlfn.XLOOKUP(I367,Lookup_Lists!$A$2:$A$5,Lookup_Lists!$B$2:$B$5)-Q367-IF(T367="Yes",R367*0.2,0)</f>
        <v>598.13664000000017</v>
      </c>
      <c r="T367" t="s">
        <v>32</v>
      </c>
      <c r="U367" s="6">
        <v>4.0999999999999996</v>
      </c>
      <c r="V367" s="7">
        <f t="shared" si="11"/>
        <v>1</v>
      </c>
      <c r="W367">
        <f>IF(SalesDataTable[[#This Row],[Returned]]="Yes",1,0)</f>
        <v>0</v>
      </c>
    </row>
    <row r="368" spans="1:23">
      <c r="A368" t="s">
        <v>620</v>
      </c>
      <c r="B368" s="3">
        <v>45970</v>
      </c>
      <c r="C368" s="3">
        <v>45971</v>
      </c>
      <c r="D368" t="s">
        <v>104</v>
      </c>
      <c r="E368" t="s">
        <v>70</v>
      </c>
      <c r="F368" t="s">
        <v>25</v>
      </c>
      <c r="G368" t="s">
        <v>50</v>
      </c>
      <c r="H368" t="s">
        <v>71</v>
      </c>
      <c r="I368" t="s">
        <v>38</v>
      </c>
      <c r="J368" t="s">
        <v>72</v>
      </c>
      <c r="K368" t="s">
        <v>72</v>
      </c>
      <c r="L368" t="s">
        <v>46</v>
      </c>
      <c r="M368" t="s">
        <v>89</v>
      </c>
      <c r="N368">
        <v>2</v>
      </c>
      <c r="O368" s="4">
        <v>186.08</v>
      </c>
      <c r="P368" s="5">
        <v>0.05</v>
      </c>
      <c r="Q368" s="4">
        <v>503.86</v>
      </c>
      <c r="R368" s="4">
        <f t="shared" si="10"/>
        <v>353.55200000000002</v>
      </c>
      <c r="S368" s="4">
        <f>R368*_xlfn.XLOOKUP(I368,Lookup_Lists!$A$2:$A$5,Lookup_Lists!$B$2:$B$5)-Q368-IF(T368="Yes",R368*0.2,0)</f>
        <v>-390.72336000000001</v>
      </c>
      <c r="T368" t="s">
        <v>32</v>
      </c>
      <c r="U368" s="6">
        <v>5</v>
      </c>
      <c r="V368" s="7">
        <f t="shared" si="11"/>
        <v>1</v>
      </c>
      <c r="W368">
        <f>IF(SalesDataTable[[#This Row],[Returned]]="Yes",1,0)</f>
        <v>0</v>
      </c>
    </row>
    <row r="369" spans="1:23">
      <c r="A369" t="s">
        <v>621</v>
      </c>
      <c r="B369" s="3">
        <v>45806</v>
      </c>
      <c r="C369" s="3">
        <v>45808</v>
      </c>
      <c r="D369" t="s">
        <v>257</v>
      </c>
      <c r="E369" t="s">
        <v>70</v>
      </c>
      <c r="F369" t="s">
        <v>25</v>
      </c>
      <c r="G369" t="s">
        <v>43</v>
      </c>
      <c r="H369" t="s">
        <v>44</v>
      </c>
      <c r="I369" t="s">
        <v>28</v>
      </c>
      <c r="J369" t="s">
        <v>111</v>
      </c>
      <c r="K369" t="s">
        <v>111</v>
      </c>
      <c r="L369" t="s">
        <v>46</v>
      </c>
      <c r="M369" t="s">
        <v>31</v>
      </c>
      <c r="N369">
        <v>1</v>
      </c>
      <c r="O369" s="4">
        <v>1412.53</v>
      </c>
      <c r="P369" s="5">
        <v>0.15</v>
      </c>
      <c r="Q369" s="4">
        <v>457.05</v>
      </c>
      <c r="R369" s="4">
        <f t="shared" si="10"/>
        <v>1200.6505</v>
      </c>
      <c r="S369" s="4">
        <f>R369*_xlfn.XLOOKUP(I369,Lookup_Lists!$A$2:$A$5,Lookup_Lists!$B$2:$B$5)-Q369-IF(T369="Yes",R369*0.2,0)</f>
        <v>-240.93291000000002</v>
      </c>
      <c r="T369" t="s">
        <v>32</v>
      </c>
      <c r="U369" s="6">
        <v>4.2</v>
      </c>
      <c r="V369" s="7">
        <f t="shared" si="11"/>
        <v>2</v>
      </c>
      <c r="W369">
        <f>IF(SalesDataTable[[#This Row],[Returned]]="Yes",1,0)</f>
        <v>0</v>
      </c>
    </row>
    <row r="370" spans="1:23">
      <c r="A370" t="s">
        <v>622</v>
      </c>
      <c r="B370" s="3">
        <v>45700</v>
      </c>
      <c r="C370" s="3">
        <v>45702</v>
      </c>
      <c r="D370" t="s">
        <v>602</v>
      </c>
      <c r="E370" t="s">
        <v>35</v>
      </c>
      <c r="F370" t="s">
        <v>25</v>
      </c>
      <c r="G370" t="s">
        <v>43</v>
      </c>
      <c r="H370" t="s">
        <v>44</v>
      </c>
      <c r="I370" t="s">
        <v>28</v>
      </c>
      <c r="J370" t="s">
        <v>123</v>
      </c>
      <c r="K370" t="s">
        <v>123</v>
      </c>
      <c r="L370" t="s">
        <v>54</v>
      </c>
      <c r="M370" t="s">
        <v>55</v>
      </c>
      <c r="N370">
        <v>1</v>
      </c>
      <c r="O370" s="4">
        <v>1644.24</v>
      </c>
      <c r="P370" s="5">
        <v>0</v>
      </c>
      <c r="Q370" s="4">
        <v>441.97</v>
      </c>
      <c r="R370" s="4">
        <f t="shared" si="10"/>
        <v>1644.24</v>
      </c>
      <c r="S370" s="4">
        <f>R370*_xlfn.XLOOKUP(I370,Lookup_Lists!$A$2:$A$5,Lookup_Lists!$B$2:$B$5)-Q370-IF(T370="Yes",R370*0.2,0)</f>
        <v>-146.00680000000006</v>
      </c>
      <c r="T370" t="s">
        <v>32</v>
      </c>
      <c r="U370" s="6">
        <v>3.6</v>
      </c>
      <c r="V370" s="7">
        <f t="shared" si="11"/>
        <v>2</v>
      </c>
      <c r="W370">
        <f>IF(SalesDataTable[[#This Row],[Returned]]="Yes",1,0)</f>
        <v>0</v>
      </c>
    </row>
    <row r="371" spans="1:23">
      <c r="A371" t="s">
        <v>623</v>
      </c>
      <c r="B371" s="3">
        <v>45791</v>
      </c>
      <c r="C371" s="3">
        <v>45798</v>
      </c>
      <c r="D371" t="s">
        <v>118</v>
      </c>
      <c r="E371" t="s">
        <v>35</v>
      </c>
      <c r="F371" t="s">
        <v>25</v>
      </c>
      <c r="G371" t="s">
        <v>26</v>
      </c>
      <c r="H371" t="s">
        <v>153</v>
      </c>
      <c r="I371" t="s">
        <v>58</v>
      </c>
      <c r="J371" t="s">
        <v>92</v>
      </c>
      <c r="K371" t="s">
        <v>92</v>
      </c>
      <c r="L371" t="s">
        <v>60</v>
      </c>
      <c r="M371" t="s">
        <v>31</v>
      </c>
      <c r="N371">
        <v>6</v>
      </c>
      <c r="O371" s="4">
        <v>7873.08</v>
      </c>
      <c r="P371" s="5">
        <v>0.05</v>
      </c>
      <c r="Q371" s="4">
        <v>1354.92</v>
      </c>
      <c r="R371" s="4">
        <f t="shared" si="10"/>
        <v>44876.555999999997</v>
      </c>
      <c r="S371" s="4">
        <f>R371*_xlfn.XLOOKUP(I371,Lookup_Lists!$A$2:$A$5,Lookup_Lists!$B$2:$B$5)-Q371-IF(T371="Yes",R371*0.2,0)</f>
        <v>9415.4534399999993</v>
      </c>
      <c r="T371" t="s">
        <v>32</v>
      </c>
      <c r="U371" s="6">
        <v>4.5</v>
      </c>
      <c r="V371" s="7">
        <f t="shared" si="11"/>
        <v>7</v>
      </c>
      <c r="W371">
        <f>IF(SalesDataTable[[#This Row],[Returned]]="Yes",1,0)</f>
        <v>0</v>
      </c>
    </row>
    <row r="372" spans="1:23">
      <c r="A372" t="s">
        <v>624</v>
      </c>
      <c r="B372" s="3">
        <v>45779</v>
      </c>
      <c r="C372" s="3">
        <v>45785</v>
      </c>
      <c r="D372" t="s">
        <v>625</v>
      </c>
      <c r="E372" t="s">
        <v>24</v>
      </c>
      <c r="F372" t="s">
        <v>25</v>
      </c>
      <c r="G372" t="s">
        <v>26</v>
      </c>
      <c r="H372" t="s">
        <v>27</v>
      </c>
      <c r="I372" t="s">
        <v>38</v>
      </c>
      <c r="J372" t="s">
        <v>72</v>
      </c>
      <c r="K372" t="s">
        <v>72</v>
      </c>
      <c r="L372" t="s">
        <v>54</v>
      </c>
      <c r="M372" t="s">
        <v>55</v>
      </c>
      <c r="N372">
        <v>4</v>
      </c>
      <c r="O372" s="4">
        <v>164.66</v>
      </c>
      <c r="P372" s="5">
        <v>0</v>
      </c>
      <c r="Q372" s="4">
        <v>317.16000000000003</v>
      </c>
      <c r="R372" s="4">
        <f t="shared" si="10"/>
        <v>658.64</v>
      </c>
      <c r="S372" s="4">
        <f>R372*_xlfn.XLOOKUP(I372,Lookup_Lists!$A$2:$A$5,Lookup_Lists!$B$2:$B$5)-Q372-IF(T372="Yes",R372*0.2,0)</f>
        <v>-106.39520000000002</v>
      </c>
      <c r="T372" t="s">
        <v>32</v>
      </c>
      <c r="U372" s="6">
        <v>4.2</v>
      </c>
      <c r="V372" s="7">
        <f t="shared" si="11"/>
        <v>6</v>
      </c>
      <c r="W372">
        <f>IF(SalesDataTable[[#This Row],[Returned]]="Yes",1,0)</f>
        <v>0</v>
      </c>
    </row>
    <row r="373" spans="1:23">
      <c r="A373" t="s">
        <v>626</v>
      </c>
      <c r="B373" s="3">
        <v>45930</v>
      </c>
      <c r="C373" s="3">
        <v>45932</v>
      </c>
      <c r="D373" t="s">
        <v>159</v>
      </c>
      <c r="E373" t="s">
        <v>70</v>
      </c>
      <c r="F373" t="s">
        <v>25</v>
      </c>
      <c r="G373" t="s">
        <v>36</v>
      </c>
      <c r="H373" t="s">
        <v>138</v>
      </c>
      <c r="I373" t="s">
        <v>28</v>
      </c>
      <c r="J373" t="s">
        <v>99</v>
      </c>
      <c r="K373" t="s">
        <v>99</v>
      </c>
      <c r="L373" t="s">
        <v>64</v>
      </c>
      <c r="M373" t="s">
        <v>89</v>
      </c>
      <c r="N373">
        <v>1</v>
      </c>
      <c r="O373" s="4">
        <v>3917.17</v>
      </c>
      <c r="P373" s="5">
        <v>0</v>
      </c>
      <c r="Q373" s="4">
        <v>318.7</v>
      </c>
      <c r="R373" s="4">
        <f t="shared" si="10"/>
        <v>3917.17</v>
      </c>
      <c r="S373" s="4">
        <f>R373*_xlfn.XLOOKUP(I373,Lookup_Lists!$A$2:$A$5,Lookup_Lists!$B$2:$B$5)-Q373-IF(T373="Yes",R373*0.2,0)</f>
        <v>386.39060000000001</v>
      </c>
      <c r="T373" t="s">
        <v>32</v>
      </c>
      <c r="U373" s="6">
        <v>3.6</v>
      </c>
      <c r="V373" s="7">
        <f t="shared" si="11"/>
        <v>2</v>
      </c>
      <c r="W373">
        <f>IF(SalesDataTable[[#This Row],[Returned]]="Yes",1,0)</f>
        <v>0</v>
      </c>
    </row>
    <row r="374" spans="1:23">
      <c r="A374" t="s">
        <v>627</v>
      </c>
      <c r="B374" s="3">
        <v>45679</v>
      </c>
      <c r="C374" s="3">
        <v>45680</v>
      </c>
      <c r="D374" t="s">
        <v>614</v>
      </c>
      <c r="E374" t="s">
        <v>70</v>
      </c>
      <c r="F374" t="s">
        <v>25</v>
      </c>
      <c r="G374" t="s">
        <v>36</v>
      </c>
      <c r="H374" t="s">
        <v>37</v>
      </c>
      <c r="I374" t="s">
        <v>58</v>
      </c>
      <c r="J374" t="s">
        <v>59</v>
      </c>
      <c r="K374" t="s">
        <v>59</v>
      </c>
      <c r="L374" t="s">
        <v>64</v>
      </c>
      <c r="M374" t="s">
        <v>55</v>
      </c>
      <c r="N374">
        <v>3</v>
      </c>
      <c r="O374" s="4">
        <v>6482.75</v>
      </c>
      <c r="P374" s="5">
        <v>0.1</v>
      </c>
      <c r="Q374" s="4">
        <v>798.71</v>
      </c>
      <c r="R374" s="4">
        <f t="shared" si="10"/>
        <v>17503.424999999999</v>
      </c>
      <c r="S374" s="4">
        <f>R374*_xlfn.XLOOKUP(I374,Lookup_Lists!$A$2:$A$5,Lookup_Lists!$B$2:$B$5)-Q374-IF(T374="Yes",R374*0.2,0)</f>
        <v>3402.1120000000001</v>
      </c>
      <c r="T374" t="s">
        <v>32</v>
      </c>
      <c r="U374" s="6">
        <v>4.0999999999999996</v>
      </c>
      <c r="V374" s="7">
        <f t="shared" si="11"/>
        <v>1</v>
      </c>
      <c r="W374">
        <f>IF(SalesDataTable[[#This Row],[Returned]]="Yes",1,0)</f>
        <v>0</v>
      </c>
    </row>
    <row r="375" spans="1:23">
      <c r="A375" t="s">
        <v>628</v>
      </c>
      <c r="B375" s="3">
        <v>45830</v>
      </c>
      <c r="C375" s="3">
        <v>45836</v>
      </c>
      <c r="D375" t="s">
        <v>457</v>
      </c>
      <c r="E375" t="s">
        <v>81</v>
      </c>
      <c r="F375" t="s">
        <v>25</v>
      </c>
      <c r="G375" t="s">
        <v>43</v>
      </c>
      <c r="H375" t="s">
        <v>122</v>
      </c>
      <c r="I375" t="s">
        <v>38</v>
      </c>
      <c r="J375" t="s">
        <v>39</v>
      </c>
      <c r="K375" t="s">
        <v>39</v>
      </c>
      <c r="L375" t="s">
        <v>54</v>
      </c>
      <c r="M375" t="s">
        <v>89</v>
      </c>
      <c r="N375">
        <v>2</v>
      </c>
      <c r="O375" s="4">
        <v>455.97</v>
      </c>
      <c r="P375" s="5">
        <v>0</v>
      </c>
      <c r="Q375" s="4">
        <v>507.07</v>
      </c>
      <c r="R375" s="4">
        <f t="shared" si="10"/>
        <v>911.94</v>
      </c>
      <c r="S375" s="4">
        <f>R375*_xlfn.XLOOKUP(I375,Lookup_Lists!$A$2:$A$5,Lookup_Lists!$B$2:$B$5)-Q375-IF(T375="Yes",R375*0.2,0)</f>
        <v>-215.24919999999997</v>
      </c>
      <c r="T375" t="s">
        <v>32</v>
      </c>
      <c r="U375" s="6">
        <v>4.0999999999999996</v>
      </c>
      <c r="V375" s="7">
        <f t="shared" si="11"/>
        <v>6</v>
      </c>
      <c r="W375">
        <f>IF(SalesDataTable[[#This Row],[Returned]]="Yes",1,0)</f>
        <v>0</v>
      </c>
    </row>
    <row r="376" spans="1:23">
      <c r="A376" t="s">
        <v>629</v>
      </c>
      <c r="B376" s="3">
        <v>45675</v>
      </c>
      <c r="C376" s="3">
        <v>45676</v>
      </c>
      <c r="D376" t="s">
        <v>232</v>
      </c>
      <c r="E376" t="s">
        <v>35</v>
      </c>
      <c r="F376" t="s">
        <v>25</v>
      </c>
      <c r="G376" t="s">
        <v>26</v>
      </c>
      <c r="H376" t="s">
        <v>153</v>
      </c>
      <c r="I376" t="s">
        <v>38</v>
      </c>
      <c r="J376" t="s">
        <v>39</v>
      </c>
      <c r="K376" t="s">
        <v>39</v>
      </c>
      <c r="L376" t="s">
        <v>54</v>
      </c>
      <c r="M376" t="s">
        <v>31</v>
      </c>
      <c r="N376">
        <v>1</v>
      </c>
      <c r="O376" s="4">
        <v>452.31</v>
      </c>
      <c r="P376" s="5">
        <v>0.2</v>
      </c>
      <c r="Q376" s="4">
        <v>409.44</v>
      </c>
      <c r="R376" s="4">
        <f t="shared" si="10"/>
        <v>361.84800000000001</v>
      </c>
      <c r="S376" s="4">
        <f>R376*_xlfn.XLOOKUP(I376,Lookup_Lists!$A$2:$A$5,Lookup_Lists!$B$2:$B$5)-Q376-IF(T376="Yes",R376*0.2,0)</f>
        <v>-293.64864</v>
      </c>
      <c r="T376" t="s">
        <v>32</v>
      </c>
      <c r="U376" s="6">
        <v>4.9000000000000004</v>
      </c>
      <c r="V376" s="7">
        <f t="shared" si="11"/>
        <v>1</v>
      </c>
      <c r="W376">
        <f>IF(SalesDataTable[[#This Row],[Returned]]="Yes",1,0)</f>
        <v>0</v>
      </c>
    </row>
    <row r="377" spans="1:23">
      <c r="A377" t="s">
        <v>630</v>
      </c>
      <c r="B377" s="3">
        <v>45787</v>
      </c>
      <c r="C377" s="3">
        <v>45790</v>
      </c>
      <c r="D377" t="s">
        <v>631</v>
      </c>
      <c r="E377" t="s">
        <v>70</v>
      </c>
      <c r="F377" t="s">
        <v>25</v>
      </c>
      <c r="G377" t="s">
        <v>50</v>
      </c>
      <c r="H377" t="s">
        <v>87</v>
      </c>
      <c r="I377" t="s">
        <v>52</v>
      </c>
      <c r="J377" t="s">
        <v>105</v>
      </c>
      <c r="K377" t="s">
        <v>105</v>
      </c>
      <c r="L377" t="s">
        <v>30</v>
      </c>
      <c r="M377" t="s">
        <v>55</v>
      </c>
      <c r="N377">
        <v>1</v>
      </c>
      <c r="O377" s="4">
        <v>1448.49</v>
      </c>
      <c r="P377" s="5">
        <v>0</v>
      </c>
      <c r="Q377" s="4">
        <v>137.29</v>
      </c>
      <c r="R377" s="4">
        <f t="shared" si="10"/>
        <v>1448.49</v>
      </c>
      <c r="S377" s="4">
        <f>R377*_xlfn.XLOOKUP(I377,Lookup_Lists!$A$2:$A$5,Lookup_Lists!$B$2:$B$5)-Q377-IF(T377="Yes",R377*0.2,0)</f>
        <v>239.31740000000005</v>
      </c>
      <c r="T377" t="s">
        <v>32</v>
      </c>
      <c r="U377" s="6">
        <v>3.9</v>
      </c>
      <c r="V377" s="7">
        <f t="shared" si="11"/>
        <v>3</v>
      </c>
      <c r="W377">
        <f>IF(SalesDataTable[[#This Row],[Returned]]="Yes",1,0)</f>
        <v>0</v>
      </c>
    </row>
    <row r="378" spans="1:23">
      <c r="A378" t="s">
        <v>632</v>
      </c>
      <c r="B378" s="3">
        <v>45688</v>
      </c>
      <c r="C378" s="3">
        <v>45691</v>
      </c>
      <c r="D378" t="s">
        <v>633</v>
      </c>
      <c r="E378" t="s">
        <v>35</v>
      </c>
      <c r="F378" t="s">
        <v>25</v>
      </c>
      <c r="G378" t="s">
        <v>36</v>
      </c>
      <c r="H378" t="s">
        <v>126</v>
      </c>
      <c r="I378" t="s">
        <v>58</v>
      </c>
      <c r="J378" t="s">
        <v>127</v>
      </c>
      <c r="K378" t="s">
        <v>127</v>
      </c>
      <c r="L378" t="s">
        <v>30</v>
      </c>
      <c r="M378" t="s">
        <v>40</v>
      </c>
      <c r="N378">
        <v>3</v>
      </c>
      <c r="O378" s="4">
        <v>16425.52</v>
      </c>
      <c r="P378" s="5">
        <v>0.05</v>
      </c>
      <c r="Q378" s="4">
        <v>1064.96</v>
      </c>
      <c r="R378" s="4">
        <f t="shared" si="10"/>
        <v>46812.731999999996</v>
      </c>
      <c r="S378" s="4">
        <f>R378*_xlfn.XLOOKUP(I378,Lookup_Lists!$A$2:$A$5,Lookup_Lists!$B$2:$B$5)-Q378-IF(T378="Yes",R378*0.2,0)</f>
        <v>10170.095679999999</v>
      </c>
      <c r="T378" t="s">
        <v>32</v>
      </c>
      <c r="U378" s="6">
        <v>4.7</v>
      </c>
      <c r="V378" s="7">
        <f t="shared" si="11"/>
        <v>3</v>
      </c>
      <c r="W378">
        <f>IF(SalesDataTable[[#This Row],[Returned]]="Yes",1,0)</f>
        <v>0</v>
      </c>
    </row>
    <row r="379" spans="1:23">
      <c r="A379" t="s">
        <v>634</v>
      </c>
      <c r="B379" s="3">
        <v>45790</v>
      </c>
      <c r="C379" s="3">
        <v>45791</v>
      </c>
      <c r="D379" t="s">
        <v>318</v>
      </c>
      <c r="E379" t="s">
        <v>35</v>
      </c>
      <c r="F379" t="s">
        <v>25</v>
      </c>
      <c r="G379" t="s">
        <v>43</v>
      </c>
      <c r="H379" t="s">
        <v>102</v>
      </c>
      <c r="I379" t="s">
        <v>28</v>
      </c>
      <c r="J379" t="s">
        <v>111</v>
      </c>
      <c r="K379" t="s">
        <v>111</v>
      </c>
      <c r="L379" t="s">
        <v>54</v>
      </c>
      <c r="M379" t="s">
        <v>89</v>
      </c>
      <c r="N379">
        <v>6</v>
      </c>
      <c r="O379" s="4">
        <v>1295.26</v>
      </c>
      <c r="P379" s="5">
        <v>0</v>
      </c>
      <c r="Q379" s="4">
        <v>595.6</v>
      </c>
      <c r="R379" s="4">
        <f t="shared" si="10"/>
        <v>7771.5599999999995</v>
      </c>
      <c r="S379" s="4">
        <f>R379*_xlfn.XLOOKUP(I379,Lookup_Lists!$A$2:$A$5,Lookup_Lists!$B$2:$B$5)-Q379-IF(T379="Yes",R379*0.2,0)</f>
        <v>803.28079999999989</v>
      </c>
      <c r="T379" t="s">
        <v>32</v>
      </c>
      <c r="U379" s="6">
        <v>4.7</v>
      </c>
      <c r="V379" s="7">
        <f t="shared" si="11"/>
        <v>1</v>
      </c>
      <c r="W379">
        <f>IF(SalesDataTable[[#This Row],[Returned]]="Yes",1,0)</f>
        <v>0</v>
      </c>
    </row>
    <row r="380" spans="1:23">
      <c r="A380" t="s">
        <v>635</v>
      </c>
      <c r="B380" s="3">
        <v>45952</v>
      </c>
      <c r="C380" s="3">
        <v>45953</v>
      </c>
      <c r="D380" t="s">
        <v>636</v>
      </c>
      <c r="E380" t="s">
        <v>24</v>
      </c>
      <c r="F380" t="s">
        <v>25</v>
      </c>
      <c r="G380" t="s">
        <v>36</v>
      </c>
      <c r="H380" t="s">
        <v>138</v>
      </c>
      <c r="I380" t="s">
        <v>58</v>
      </c>
      <c r="J380" t="s">
        <v>92</v>
      </c>
      <c r="K380" t="s">
        <v>92</v>
      </c>
      <c r="L380" t="s">
        <v>46</v>
      </c>
      <c r="M380" t="s">
        <v>89</v>
      </c>
      <c r="N380">
        <v>2</v>
      </c>
      <c r="O380" s="4">
        <v>9237.6200000000008</v>
      </c>
      <c r="P380" s="5">
        <v>0.1</v>
      </c>
      <c r="Q380" s="4">
        <v>426.21</v>
      </c>
      <c r="R380" s="4">
        <f t="shared" si="10"/>
        <v>16627.716</v>
      </c>
      <c r="S380" s="4">
        <f>R380*_xlfn.XLOOKUP(I380,Lookup_Lists!$A$2:$A$5,Lookup_Lists!$B$2:$B$5)-Q380-IF(T380="Yes",R380*0.2,0)</f>
        <v>3564.44184</v>
      </c>
      <c r="T380" t="s">
        <v>32</v>
      </c>
      <c r="U380" s="6">
        <v>4.8</v>
      </c>
      <c r="V380" s="7">
        <f t="shared" si="11"/>
        <v>1</v>
      </c>
      <c r="W380">
        <f>IF(SalesDataTable[[#This Row],[Returned]]="Yes",1,0)</f>
        <v>0</v>
      </c>
    </row>
    <row r="381" spans="1:23">
      <c r="A381" t="s">
        <v>637</v>
      </c>
      <c r="B381" s="3">
        <v>45813</v>
      </c>
      <c r="C381" s="3">
        <v>45817</v>
      </c>
      <c r="D381" t="s">
        <v>439</v>
      </c>
      <c r="E381" t="s">
        <v>70</v>
      </c>
      <c r="F381" t="s">
        <v>25</v>
      </c>
      <c r="G381" t="s">
        <v>50</v>
      </c>
      <c r="H381" t="s">
        <v>71</v>
      </c>
      <c r="I381" t="s">
        <v>58</v>
      </c>
      <c r="J381" t="s">
        <v>59</v>
      </c>
      <c r="K381" t="s">
        <v>59</v>
      </c>
      <c r="L381" t="s">
        <v>54</v>
      </c>
      <c r="M381" t="s">
        <v>47</v>
      </c>
      <c r="N381">
        <v>4</v>
      </c>
      <c r="O381" s="4">
        <v>6285.42</v>
      </c>
      <c r="P381" s="5">
        <v>0</v>
      </c>
      <c r="Q381" s="4">
        <v>773.18</v>
      </c>
      <c r="R381" s="4">
        <f t="shared" si="10"/>
        <v>25141.68</v>
      </c>
      <c r="S381" s="4">
        <f>R381*_xlfn.XLOOKUP(I381,Lookup_Lists!$A$2:$A$5,Lookup_Lists!$B$2:$B$5)-Q381-IF(T381="Yes",R381*0.2,0)</f>
        <v>5260.8231999999998</v>
      </c>
      <c r="T381" t="s">
        <v>32</v>
      </c>
      <c r="U381" s="6">
        <v>4.3</v>
      </c>
      <c r="V381" s="7">
        <f t="shared" si="11"/>
        <v>4</v>
      </c>
      <c r="W381">
        <f>IF(SalesDataTable[[#This Row],[Returned]]="Yes",1,0)</f>
        <v>0</v>
      </c>
    </row>
    <row r="382" spans="1:23">
      <c r="A382" t="s">
        <v>638</v>
      </c>
      <c r="B382" s="3">
        <v>45996</v>
      </c>
      <c r="C382" s="3">
        <v>45998</v>
      </c>
      <c r="D382" t="s">
        <v>437</v>
      </c>
      <c r="E382" t="s">
        <v>70</v>
      </c>
      <c r="F382" t="s">
        <v>25</v>
      </c>
      <c r="G382" t="s">
        <v>50</v>
      </c>
      <c r="H382" t="s">
        <v>71</v>
      </c>
      <c r="I382" t="s">
        <v>58</v>
      </c>
      <c r="J382" t="s">
        <v>88</v>
      </c>
      <c r="K382" t="s">
        <v>88</v>
      </c>
      <c r="L382" t="s">
        <v>30</v>
      </c>
      <c r="M382" t="s">
        <v>40</v>
      </c>
      <c r="N382">
        <v>1</v>
      </c>
      <c r="O382" s="4">
        <v>6390.79</v>
      </c>
      <c r="P382" s="5">
        <v>0.25</v>
      </c>
      <c r="Q382" s="4">
        <v>311.8</v>
      </c>
      <c r="R382" s="4">
        <f t="shared" si="10"/>
        <v>4793.0924999999997</v>
      </c>
      <c r="S382" s="4">
        <f>R382*_xlfn.XLOOKUP(I382,Lookup_Lists!$A$2:$A$5,Lookup_Lists!$B$2:$B$5)-Q382-IF(T382="Yes",R382*0.2,0)</f>
        <v>838.54219999999987</v>
      </c>
      <c r="T382" t="s">
        <v>32</v>
      </c>
      <c r="U382" s="6">
        <v>4.5</v>
      </c>
      <c r="V382" s="7">
        <f t="shared" si="11"/>
        <v>2</v>
      </c>
      <c r="W382">
        <f>IF(SalesDataTable[[#This Row],[Returned]]="Yes",1,0)</f>
        <v>0</v>
      </c>
    </row>
    <row r="383" spans="1:23">
      <c r="A383" t="s">
        <v>639</v>
      </c>
      <c r="B383" s="3">
        <v>45913</v>
      </c>
      <c r="C383" s="3">
        <v>45918</v>
      </c>
      <c r="D383" t="s">
        <v>169</v>
      </c>
      <c r="E383" t="s">
        <v>35</v>
      </c>
      <c r="F383" t="s">
        <v>25</v>
      </c>
      <c r="G383" t="s">
        <v>50</v>
      </c>
      <c r="H383" t="s">
        <v>78</v>
      </c>
      <c r="I383" t="s">
        <v>58</v>
      </c>
      <c r="J383" t="s">
        <v>59</v>
      </c>
      <c r="K383" t="s">
        <v>59</v>
      </c>
      <c r="L383" t="s">
        <v>64</v>
      </c>
      <c r="M383" t="s">
        <v>89</v>
      </c>
      <c r="N383">
        <v>2</v>
      </c>
      <c r="O383" s="4">
        <v>6132.77</v>
      </c>
      <c r="P383" s="5">
        <v>0.1</v>
      </c>
      <c r="Q383" s="4">
        <v>562.16</v>
      </c>
      <c r="R383" s="4">
        <f t="shared" si="10"/>
        <v>11038.986000000001</v>
      </c>
      <c r="S383" s="4">
        <f>R383*_xlfn.XLOOKUP(I383,Lookup_Lists!$A$2:$A$5,Lookup_Lists!$B$2:$B$5)-Q383-IF(T383="Yes",R383*0.2,0)</f>
        <v>2087.1966400000001</v>
      </c>
      <c r="T383" t="s">
        <v>32</v>
      </c>
      <c r="U383" s="6">
        <v>3.7</v>
      </c>
      <c r="V383" s="7">
        <f t="shared" si="11"/>
        <v>5</v>
      </c>
      <c r="W383">
        <f>IF(SalesDataTable[[#This Row],[Returned]]="Yes",1,0)</f>
        <v>0</v>
      </c>
    </row>
    <row r="384" spans="1:23">
      <c r="A384" t="s">
        <v>640</v>
      </c>
      <c r="B384" s="3">
        <v>45932</v>
      </c>
      <c r="C384" s="3">
        <v>45934</v>
      </c>
      <c r="D384" t="s">
        <v>230</v>
      </c>
      <c r="E384" t="s">
        <v>70</v>
      </c>
      <c r="F384" t="s">
        <v>25</v>
      </c>
      <c r="G384" t="s">
        <v>50</v>
      </c>
      <c r="H384" t="s">
        <v>78</v>
      </c>
      <c r="I384" t="s">
        <v>38</v>
      </c>
      <c r="J384" t="s">
        <v>45</v>
      </c>
      <c r="K384" t="s">
        <v>45</v>
      </c>
      <c r="L384" t="s">
        <v>30</v>
      </c>
      <c r="M384" t="s">
        <v>47</v>
      </c>
      <c r="N384">
        <v>5</v>
      </c>
      <c r="O384" s="4">
        <v>277.02999999999997</v>
      </c>
      <c r="P384" s="5">
        <v>0</v>
      </c>
      <c r="Q384" s="4">
        <v>470.59</v>
      </c>
      <c r="R384" s="4">
        <f t="shared" si="10"/>
        <v>1385.1499999999999</v>
      </c>
      <c r="S384" s="4">
        <f>R384*_xlfn.XLOOKUP(I384,Lookup_Lists!$A$2:$A$5,Lookup_Lists!$B$2:$B$5)-Q384-IF(T384="Yes",R384*0.2,0)</f>
        <v>-304.37199999999996</v>
      </c>
      <c r="T384" t="s">
        <v>119</v>
      </c>
      <c r="U384" s="6">
        <v>2.9</v>
      </c>
      <c r="V384" s="7">
        <f t="shared" si="11"/>
        <v>2</v>
      </c>
      <c r="W384">
        <f>IF(SalesDataTable[[#This Row],[Returned]]="Yes",1,0)</f>
        <v>1</v>
      </c>
    </row>
    <row r="385" spans="1:23">
      <c r="A385" t="s">
        <v>641</v>
      </c>
      <c r="B385" s="3">
        <v>45707</v>
      </c>
      <c r="C385" s="3">
        <v>45711</v>
      </c>
      <c r="D385" t="s">
        <v>299</v>
      </c>
      <c r="E385" t="s">
        <v>35</v>
      </c>
      <c r="F385" t="s">
        <v>25</v>
      </c>
      <c r="G385" t="s">
        <v>50</v>
      </c>
      <c r="H385" t="s">
        <v>78</v>
      </c>
      <c r="I385" t="s">
        <v>28</v>
      </c>
      <c r="J385" t="s">
        <v>99</v>
      </c>
      <c r="K385" t="s">
        <v>99</v>
      </c>
      <c r="L385" t="s">
        <v>64</v>
      </c>
      <c r="M385" t="s">
        <v>40</v>
      </c>
      <c r="N385">
        <v>1</v>
      </c>
      <c r="O385" s="4">
        <v>3292.77</v>
      </c>
      <c r="P385" s="5">
        <v>0</v>
      </c>
      <c r="Q385" s="4">
        <v>605.85</v>
      </c>
      <c r="R385" s="4">
        <f t="shared" si="10"/>
        <v>3292.77</v>
      </c>
      <c r="S385" s="4">
        <f>R385*_xlfn.XLOOKUP(I385,Lookup_Lists!$A$2:$A$5,Lookup_Lists!$B$2:$B$5)-Q385-IF(T385="Yes",R385*0.2,0)</f>
        <v>-13.151400000000081</v>
      </c>
      <c r="T385" t="s">
        <v>32</v>
      </c>
      <c r="U385" s="6">
        <v>3.6</v>
      </c>
      <c r="V385" s="7">
        <f t="shared" si="11"/>
        <v>4</v>
      </c>
      <c r="W385">
        <f>IF(SalesDataTable[[#This Row],[Returned]]="Yes",1,0)</f>
        <v>0</v>
      </c>
    </row>
    <row r="386" spans="1:23">
      <c r="A386" t="s">
        <v>642</v>
      </c>
      <c r="B386" s="3">
        <v>45863</v>
      </c>
      <c r="C386" s="3">
        <v>45866</v>
      </c>
      <c r="D386" t="s">
        <v>402</v>
      </c>
      <c r="E386" t="s">
        <v>81</v>
      </c>
      <c r="F386" t="s">
        <v>25</v>
      </c>
      <c r="G386" t="s">
        <v>26</v>
      </c>
      <c r="H386" t="s">
        <v>82</v>
      </c>
      <c r="I386" t="s">
        <v>52</v>
      </c>
      <c r="J386" t="s">
        <v>94</v>
      </c>
      <c r="K386" t="s">
        <v>94</v>
      </c>
      <c r="L386" t="s">
        <v>30</v>
      </c>
      <c r="M386" t="s">
        <v>31</v>
      </c>
      <c r="N386">
        <v>1</v>
      </c>
      <c r="O386" s="4">
        <v>4315.04</v>
      </c>
      <c r="P386" s="5">
        <v>0</v>
      </c>
      <c r="Q386" s="4">
        <v>576.53</v>
      </c>
      <c r="R386" s="4">
        <f t="shared" ref="R386:R449" si="12">N386*O386*(1-P386)</f>
        <v>4315.04</v>
      </c>
      <c r="S386" s="4">
        <f>R386*_xlfn.XLOOKUP(I386,Lookup_Lists!$A$2:$A$5,Lookup_Lists!$B$2:$B$5)-Q386-IF(T386="Yes",R386*0.2,0)</f>
        <v>545.38040000000001</v>
      </c>
      <c r="T386" t="s">
        <v>32</v>
      </c>
      <c r="U386" s="6">
        <v>4.2</v>
      </c>
      <c r="V386" s="7">
        <f t="shared" ref="V386:V449" si="13">C386-B386</f>
        <v>3</v>
      </c>
      <c r="W386">
        <f>IF(SalesDataTable[[#This Row],[Returned]]="Yes",1,0)</f>
        <v>0</v>
      </c>
    </row>
    <row r="387" spans="1:23">
      <c r="A387" t="s">
        <v>643</v>
      </c>
      <c r="B387" s="3">
        <v>45782</v>
      </c>
      <c r="C387" s="3">
        <v>45787</v>
      </c>
      <c r="D387" t="s">
        <v>460</v>
      </c>
      <c r="E387" t="s">
        <v>35</v>
      </c>
      <c r="F387" t="s">
        <v>25</v>
      </c>
      <c r="G387" t="s">
        <v>36</v>
      </c>
      <c r="H387" t="s">
        <v>145</v>
      </c>
      <c r="I387" t="s">
        <v>28</v>
      </c>
      <c r="J387" t="s">
        <v>111</v>
      </c>
      <c r="K387" t="s">
        <v>111</v>
      </c>
      <c r="L387" t="s">
        <v>54</v>
      </c>
      <c r="M387" t="s">
        <v>89</v>
      </c>
      <c r="N387">
        <v>1</v>
      </c>
      <c r="O387" s="4">
        <v>1088.0899999999999</v>
      </c>
      <c r="P387" s="5">
        <v>0.1</v>
      </c>
      <c r="Q387" s="4">
        <v>601.86</v>
      </c>
      <c r="R387" s="4">
        <f t="shared" si="12"/>
        <v>979.28099999999995</v>
      </c>
      <c r="S387" s="4">
        <f>R387*_xlfn.XLOOKUP(I387,Lookup_Lists!$A$2:$A$5,Lookup_Lists!$B$2:$B$5)-Q387-IF(T387="Yes",R387*0.2,0)</f>
        <v>-425.58942000000002</v>
      </c>
      <c r="T387" t="s">
        <v>32</v>
      </c>
      <c r="U387" s="6">
        <v>4.5</v>
      </c>
      <c r="V387" s="7">
        <f t="shared" si="13"/>
        <v>5</v>
      </c>
      <c r="W387">
        <f>IF(SalesDataTable[[#This Row],[Returned]]="Yes",1,0)</f>
        <v>0</v>
      </c>
    </row>
    <row r="388" spans="1:23">
      <c r="A388" t="s">
        <v>644</v>
      </c>
      <c r="B388" s="3">
        <v>45901</v>
      </c>
      <c r="C388" s="3">
        <v>45907</v>
      </c>
      <c r="D388" t="s">
        <v>422</v>
      </c>
      <c r="E388" t="s">
        <v>35</v>
      </c>
      <c r="F388" t="s">
        <v>25</v>
      </c>
      <c r="G388" t="s">
        <v>43</v>
      </c>
      <c r="H388" t="s">
        <v>102</v>
      </c>
      <c r="I388" t="s">
        <v>58</v>
      </c>
      <c r="J388" t="s">
        <v>127</v>
      </c>
      <c r="K388" t="s">
        <v>127</v>
      </c>
      <c r="L388" t="s">
        <v>30</v>
      </c>
      <c r="M388" t="s">
        <v>89</v>
      </c>
      <c r="N388">
        <v>3</v>
      </c>
      <c r="O388" s="4">
        <v>19712.87</v>
      </c>
      <c r="P388" s="5">
        <v>0.05</v>
      </c>
      <c r="Q388" s="4">
        <v>1017.25</v>
      </c>
      <c r="R388" s="4">
        <f t="shared" si="12"/>
        <v>56181.679499999998</v>
      </c>
      <c r="S388" s="4">
        <f>R388*_xlfn.XLOOKUP(I388,Lookup_Lists!$A$2:$A$5,Lookup_Lists!$B$2:$B$5)-Q388-IF(T388="Yes",R388*0.2,0)</f>
        <v>12466.353079999999</v>
      </c>
      <c r="T388" t="s">
        <v>32</v>
      </c>
      <c r="U388" s="6">
        <v>4.0999999999999996</v>
      </c>
      <c r="V388" s="7">
        <f t="shared" si="13"/>
        <v>6</v>
      </c>
      <c r="W388">
        <f>IF(SalesDataTable[[#This Row],[Returned]]="Yes",1,0)</f>
        <v>0</v>
      </c>
    </row>
    <row r="389" spans="1:23">
      <c r="A389" t="s">
        <v>645</v>
      </c>
      <c r="B389" s="3">
        <v>45943</v>
      </c>
      <c r="C389" s="3">
        <v>45945</v>
      </c>
      <c r="D389" t="s">
        <v>525</v>
      </c>
      <c r="E389" t="s">
        <v>35</v>
      </c>
      <c r="F389" t="s">
        <v>25</v>
      </c>
      <c r="G389" t="s">
        <v>50</v>
      </c>
      <c r="H389" t="s">
        <v>71</v>
      </c>
      <c r="I389" t="s">
        <v>52</v>
      </c>
      <c r="J389" t="s">
        <v>94</v>
      </c>
      <c r="K389" t="s">
        <v>94</v>
      </c>
      <c r="L389" t="s">
        <v>46</v>
      </c>
      <c r="M389" t="s">
        <v>40</v>
      </c>
      <c r="N389">
        <v>1</v>
      </c>
      <c r="O389" s="4">
        <v>4502.96</v>
      </c>
      <c r="P389" s="5">
        <v>0.15</v>
      </c>
      <c r="Q389" s="4">
        <v>538.13</v>
      </c>
      <c r="R389" s="4">
        <f t="shared" si="12"/>
        <v>3827.5160000000001</v>
      </c>
      <c r="S389" s="4">
        <f>R389*_xlfn.XLOOKUP(I389,Lookup_Lists!$A$2:$A$5,Lookup_Lists!$B$2:$B$5)-Q389-IF(T389="Yes",R389*0.2,0)</f>
        <v>457.02416000000005</v>
      </c>
      <c r="T389" t="s">
        <v>32</v>
      </c>
      <c r="U389" s="6">
        <v>4.8</v>
      </c>
      <c r="V389" s="7">
        <f t="shared" si="13"/>
        <v>2</v>
      </c>
      <c r="W389">
        <f>IF(SalesDataTable[[#This Row],[Returned]]="Yes",1,0)</f>
        <v>0</v>
      </c>
    </row>
    <row r="390" spans="1:23">
      <c r="A390" t="s">
        <v>646</v>
      </c>
      <c r="B390" s="3">
        <v>45900</v>
      </c>
      <c r="C390" s="3">
        <v>45904</v>
      </c>
      <c r="D390" t="s">
        <v>320</v>
      </c>
      <c r="E390" t="s">
        <v>35</v>
      </c>
      <c r="F390" t="s">
        <v>25</v>
      </c>
      <c r="G390" t="s">
        <v>50</v>
      </c>
      <c r="H390" t="s">
        <v>78</v>
      </c>
      <c r="I390" t="s">
        <v>38</v>
      </c>
      <c r="J390" t="s">
        <v>72</v>
      </c>
      <c r="K390" t="s">
        <v>72</v>
      </c>
      <c r="L390" t="s">
        <v>54</v>
      </c>
      <c r="M390" t="s">
        <v>55</v>
      </c>
      <c r="N390">
        <v>2</v>
      </c>
      <c r="O390" s="4">
        <v>201.88</v>
      </c>
      <c r="P390" s="5">
        <v>0.1</v>
      </c>
      <c r="Q390" s="4">
        <v>110.75</v>
      </c>
      <c r="R390" s="4">
        <f t="shared" si="12"/>
        <v>363.38400000000001</v>
      </c>
      <c r="S390" s="4">
        <f>R390*_xlfn.XLOOKUP(I390,Lookup_Lists!$A$2:$A$5,Lookup_Lists!$B$2:$B$5)-Q390-IF(T390="Yes",R390*0.2,0)</f>
        <v>5.5328800000000058</v>
      </c>
      <c r="T390" t="s">
        <v>32</v>
      </c>
      <c r="U390" s="6">
        <v>4.5999999999999996</v>
      </c>
      <c r="V390" s="7">
        <f t="shared" si="13"/>
        <v>4</v>
      </c>
      <c r="W390">
        <f>IF(SalesDataTable[[#This Row],[Returned]]="Yes",1,0)</f>
        <v>0</v>
      </c>
    </row>
    <row r="391" spans="1:23">
      <c r="A391" t="s">
        <v>647</v>
      </c>
      <c r="B391" s="3">
        <v>45672</v>
      </c>
      <c r="C391" s="3">
        <v>45676</v>
      </c>
      <c r="D391" t="s">
        <v>636</v>
      </c>
      <c r="E391" t="s">
        <v>35</v>
      </c>
      <c r="F391" t="s">
        <v>25</v>
      </c>
      <c r="G391" t="s">
        <v>26</v>
      </c>
      <c r="H391" t="s">
        <v>67</v>
      </c>
      <c r="I391" t="s">
        <v>38</v>
      </c>
      <c r="J391" t="s">
        <v>72</v>
      </c>
      <c r="K391" t="s">
        <v>72</v>
      </c>
      <c r="L391" t="s">
        <v>46</v>
      </c>
      <c r="M391" t="s">
        <v>55</v>
      </c>
      <c r="N391">
        <v>1</v>
      </c>
      <c r="O391" s="4">
        <v>164.35</v>
      </c>
      <c r="P391" s="5">
        <v>0</v>
      </c>
      <c r="Q391" s="4">
        <v>217.62</v>
      </c>
      <c r="R391" s="4">
        <f t="shared" si="12"/>
        <v>164.35</v>
      </c>
      <c r="S391" s="4">
        <f>R391*_xlfn.XLOOKUP(I391,Lookup_Lists!$A$2:$A$5,Lookup_Lists!$B$2:$B$5)-Q391-IF(T391="Yes",R391*0.2,0)</f>
        <v>-165.02800000000002</v>
      </c>
      <c r="T391" t="s">
        <v>32</v>
      </c>
      <c r="U391" s="6">
        <v>4.2</v>
      </c>
      <c r="V391" s="7">
        <f t="shared" si="13"/>
        <v>4</v>
      </c>
      <c r="W391">
        <f>IF(SalesDataTable[[#This Row],[Returned]]="Yes",1,0)</f>
        <v>0</v>
      </c>
    </row>
    <row r="392" spans="1:23">
      <c r="A392" t="s">
        <v>648</v>
      </c>
      <c r="B392" s="3">
        <v>45760</v>
      </c>
      <c r="C392" s="3">
        <v>45764</v>
      </c>
      <c r="D392" t="s">
        <v>649</v>
      </c>
      <c r="E392" t="s">
        <v>35</v>
      </c>
      <c r="F392" t="s">
        <v>25</v>
      </c>
      <c r="G392" t="s">
        <v>36</v>
      </c>
      <c r="H392" t="s">
        <v>126</v>
      </c>
      <c r="I392" t="s">
        <v>52</v>
      </c>
      <c r="J392" t="s">
        <v>94</v>
      </c>
      <c r="K392" t="s">
        <v>94</v>
      </c>
      <c r="L392" t="s">
        <v>54</v>
      </c>
      <c r="M392" t="s">
        <v>31</v>
      </c>
      <c r="N392">
        <v>2</v>
      </c>
      <c r="O392" s="4">
        <v>4781.76</v>
      </c>
      <c r="P392" s="5">
        <v>0</v>
      </c>
      <c r="Q392" s="4">
        <v>633.75</v>
      </c>
      <c r="R392" s="4">
        <f t="shared" si="12"/>
        <v>9563.52</v>
      </c>
      <c r="S392" s="4">
        <f>R392*_xlfn.XLOOKUP(I392,Lookup_Lists!$A$2:$A$5,Lookup_Lists!$B$2:$B$5)-Q392-IF(T392="Yes",R392*0.2,0)</f>
        <v>1852.7652000000003</v>
      </c>
      <c r="T392" t="s">
        <v>32</v>
      </c>
      <c r="U392" s="6">
        <v>4.5999999999999996</v>
      </c>
      <c r="V392" s="7">
        <f t="shared" si="13"/>
        <v>4</v>
      </c>
      <c r="W392">
        <f>IF(SalesDataTable[[#This Row],[Returned]]="Yes",1,0)</f>
        <v>0</v>
      </c>
    </row>
    <row r="393" spans="1:23">
      <c r="A393" t="s">
        <v>650</v>
      </c>
      <c r="B393" s="3">
        <v>45723</v>
      </c>
      <c r="C393" s="3">
        <v>45724</v>
      </c>
      <c r="D393" t="s">
        <v>344</v>
      </c>
      <c r="E393" t="s">
        <v>70</v>
      </c>
      <c r="F393" t="s">
        <v>25</v>
      </c>
      <c r="G393" t="s">
        <v>43</v>
      </c>
      <c r="H393" t="s">
        <v>63</v>
      </c>
      <c r="I393" t="s">
        <v>28</v>
      </c>
      <c r="J393" t="s">
        <v>111</v>
      </c>
      <c r="K393" t="s">
        <v>111</v>
      </c>
      <c r="L393" t="s">
        <v>46</v>
      </c>
      <c r="M393" t="s">
        <v>40</v>
      </c>
      <c r="N393">
        <v>4</v>
      </c>
      <c r="O393" s="4">
        <v>1135.1500000000001</v>
      </c>
      <c r="P393" s="5">
        <v>0</v>
      </c>
      <c r="Q393" s="4">
        <v>237.48</v>
      </c>
      <c r="R393" s="4">
        <f t="shared" si="12"/>
        <v>4540.6000000000004</v>
      </c>
      <c r="S393" s="4">
        <f>R393*_xlfn.XLOOKUP(I393,Lookup_Lists!$A$2:$A$5,Lookup_Lists!$B$2:$B$5)-Q393-IF(T393="Yes",R393*0.2,0)</f>
        <v>579.82799999999997</v>
      </c>
      <c r="T393" t="s">
        <v>32</v>
      </c>
      <c r="U393" s="6">
        <v>4.3</v>
      </c>
      <c r="V393" s="7">
        <f t="shared" si="13"/>
        <v>1</v>
      </c>
      <c r="W393">
        <f>IF(SalesDataTable[[#This Row],[Returned]]="Yes",1,0)</f>
        <v>0</v>
      </c>
    </row>
    <row r="394" spans="1:23">
      <c r="A394" t="s">
        <v>651</v>
      </c>
      <c r="B394" s="3">
        <v>45971</v>
      </c>
      <c r="C394" s="3">
        <v>45973</v>
      </c>
      <c r="D394" t="s">
        <v>284</v>
      </c>
      <c r="E394" t="s">
        <v>81</v>
      </c>
      <c r="F394" t="s">
        <v>25</v>
      </c>
      <c r="G394" t="s">
        <v>26</v>
      </c>
      <c r="H394" t="s">
        <v>153</v>
      </c>
      <c r="I394" t="s">
        <v>58</v>
      </c>
      <c r="J394" t="s">
        <v>88</v>
      </c>
      <c r="K394" t="s">
        <v>88</v>
      </c>
      <c r="L394" t="s">
        <v>64</v>
      </c>
      <c r="M394" t="s">
        <v>40</v>
      </c>
      <c r="N394">
        <v>3</v>
      </c>
      <c r="O394" s="4">
        <v>8143.9</v>
      </c>
      <c r="P394" s="5">
        <v>0</v>
      </c>
      <c r="Q394" s="4">
        <v>862.59</v>
      </c>
      <c r="R394" s="4">
        <f t="shared" si="12"/>
        <v>24431.699999999997</v>
      </c>
      <c r="S394" s="4">
        <f>R394*_xlfn.XLOOKUP(I394,Lookup_Lists!$A$2:$A$5,Lookup_Lists!$B$2:$B$5)-Q394-IF(T394="Yes",R394*0.2,0)</f>
        <v>5001.0179999999991</v>
      </c>
      <c r="T394" t="s">
        <v>32</v>
      </c>
      <c r="U394" s="6">
        <v>4.4000000000000004</v>
      </c>
      <c r="V394" s="7">
        <f t="shared" si="13"/>
        <v>2</v>
      </c>
      <c r="W394">
        <f>IF(SalesDataTable[[#This Row],[Returned]]="Yes",1,0)</f>
        <v>0</v>
      </c>
    </row>
    <row r="395" spans="1:23">
      <c r="A395" t="s">
        <v>652</v>
      </c>
      <c r="B395" s="3">
        <v>45954</v>
      </c>
      <c r="C395" s="3">
        <v>45956</v>
      </c>
      <c r="D395" t="s">
        <v>219</v>
      </c>
      <c r="E395" t="s">
        <v>81</v>
      </c>
      <c r="F395" t="s">
        <v>25</v>
      </c>
      <c r="G395" t="s">
        <v>50</v>
      </c>
      <c r="H395" t="s">
        <v>87</v>
      </c>
      <c r="I395" t="s">
        <v>52</v>
      </c>
      <c r="J395" t="s">
        <v>114</v>
      </c>
      <c r="K395" t="s">
        <v>114</v>
      </c>
      <c r="L395" t="s">
        <v>60</v>
      </c>
      <c r="M395" t="s">
        <v>31</v>
      </c>
      <c r="N395">
        <v>1</v>
      </c>
      <c r="O395" s="4">
        <v>9873.7000000000007</v>
      </c>
      <c r="P395" s="5">
        <v>0.05</v>
      </c>
      <c r="Q395" s="4">
        <v>682.98</v>
      </c>
      <c r="R395" s="4">
        <f t="shared" si="12"/>
        <v>9380.0149999999994</v>
      </c>
      <c r="S395" s="4">
        <f>R395*_xlfn.XLOOKUP(I395,Lookup_Lists!$A$2:$A$5,Lookup_Lists!$B$2:$B$5)-Q395-IF(T395="Yes",R395*0.2,0)</f>
        <v>1755.8238999999999</v>
      </c>
      <c r="T395" t="s">
        <v>32</v>
      </c>
      <c r="U395" s="6">
        <v>4.8</v>
      </c>
      <c r="V395" s="7">
        <f t="shared" si="13"/>
        <v>2</v>
      </c>
      <c r="W395">
        <f>IF(SalesDataTable[[#This Row],[Returned]]="Yes",1,0)</f>
        <v>0</v>
      </c>
    </row>
    <row r="396" spans="1:23">
      <c r="A396" t="s">
        <v>653</v>
      </c>
      <c r="B396" s="3">
        <v>45889</v>
      </c>
      <c r="C396" s="3">
        <v>45893</v>
      </c>
      <c r="D396" t="s">
        <v>77</v>
      </c>
      <c r="E396" t="s">
        <v>35</v>
      </c>
      <c r="F396" t="s">
        <v>25</v>
      </c>
      <c r="G396" t="s">
        <v>50</v>
      </c>
      <c r="H396" t="s">
        <v>87</v>
      </c>
      <c r="I396" t="s">
        <v>52</v>
      </c>
      <c r="J396" t="s">
        <v>94</v>
      </c>
      <c r="K396" t="s">
        <v>94</v>
      </c>
      <c r="L396" t="s">
        <v>46</v>
      </c>
      <c r="M396" t="s">
        <v>40</v>
      </c>
      <c r="N396">
        <v>3</v>
      </c>
      <c r="O396" s="4">
        <v>4354.6499999999996</v>
      </c>
      <c r="P396" s="5">
        <v>0.05</v>
      </c>
      <c r="Q396" s="4">
        <v>449.72</v>
      </c>
      <c r="R396" s="4">
        <f t="shared" si="12"/>
        <v>12410.752499999999</v>
      </c>
      <c r="S396" s="4">
        <f>R396*_xlfn.XLOOKUP(I396,Lookup_Lists!$A$2:$A$5,Lookup_Lists!$B$2:$B$5)-Q396-IF(T396="Yes",R396*0.2,0)</f>
        <v>2777.0756499999998</v>
      </c>
      <c r="T396" t="s">
        <v>32</v>
      </c>
      <c r="U396" s="6">
        <v>4.8</v>
      </c>
      <c r="V396" s="7">
        <f t="shared" si="13"/>
        <v>4</v>
      </c>
      <c r="W396">
        <f>IF(SalesDataTable[[#This Row],[Returned]]="Yes",1,0)</f>
        <v>0</v>
      </c>
    </row>
    <row r="397" spans="1:23">
      <c r="A397" t="s">
        <v>654</v>
      </c>
      <c r="B397" s="3">
        <v>45670</v>
      </c>
      <c r="C397" s="3">
        <v>45674</v>
      </c>
      <c r="D397" t="s">
        <v>655</v>
      </c>
      <c r="E397" t="s">
        <v>24</v>
      </c>
      <c r="F397" t="s">
        <v>25</v>
      </c>
      <c r="G397" t="s">
        <v>36</v>
      </c>
      <c r="H397" t="s">
        <v>145</v>
      </c>
      <c r="I397" t="s">
        <v>38</v>
      </c>
      <c r="J397" t="s">
        <v>72</v>
      </c>
      <c r="K397" t="s">
        <v>72</v>
      </c>
      <c r="L397" t="s">
        <v>30</v>
      </c>
      <c r="M397" t="s">
        <v>89</v>
      </c>
      <c r="N397">
        <v>5</v>
      </c>
      <c r="O397" s="4">
        <v>162.22</v>
      </c>
      <c r="P397" s="5">
        <v>0.2</v>
      </c>
      <c r="Q397" s="4">
        <v>281.92</v>
      </c>
      <c r="R397" s="4">
        <f t="shared" si="12"/>
        <v>648.88000000000011</v>
      </c>
      <c r="S397" s="4">
        <f>R397*_xlfn.XLOOKUP(I397,Lookup_Lists!$A$2:$A$5,Lookup_Lists!$B$2:$B$5)-Q397-IF(T397="Yes",R397*0.2,0)</f>
        <v>-74.278399999999976</v>
      </c>
      <c r="T397" t="s">
        <v>32</v>
      </c>
      <c r="U397" s="6">
        <v>3.8</v>
      </c>
      <c r="V397" s="7">
        <f t="shared" si="13"/>
        <v>4</v>
      </c>
      <c r="W397">
        <f>IF(SalesDataTable[[#This Row],[Returned]]="Yes",1,0)</f>
        <v>0</v>
      </c>
    </row>
    <row r="398" spans="1:23">
      <c r="A398" t="s">
        <v>656</v>
      </c>
      <c r="B398" s="3">
        <v>45876</v>
      </c>
      <c r="C398" s="3">
        <v>45883</v>
      </c>
      <c r="D398" t="s">
        <v>657</v>
      </c>
      <c r="E398" t="s">
        <v>70</v>
      </c>
      <c r="F398" t="s">
        <v>25</v>
      </c>
      <c r="G398" t="s">
        <v>26</v>
      </c>
      <c r="H398" t="s">
        <v>153</v>
      </c>
      <c r="I398" t="s">
        <v>38</v>
      </c>
      <c r="J398" t="s">
        <v>72</v>
      </c>
      <c r="K398" t="s">
        <v>72</v>
      </c>
      <c r="L398" t="s">
        <v>30</v>
      </c>
      <c r="M398" t="s">
        <v>89</v>
      </c>
      <c r="N398">
        <v>2</v>
      </c>
      <c r="O398" s="4">
        <v>207.54</v>
      </c>
      <c r="P398" s="5">
        <v>0</v>
      </c>
      <c r="Q398" s="4">
        <v>115.62</v>
      </c>
      <c r="R398" s="4">
        <f t="shared" si="12"/>
        <v>415.08</v>
      </c>
      <c r="S398" s="4">
        <f>R398*_xlfn.XLOOKUP(I398,Lookup_Lists!$A$2:$A$5,Lookup_Lists!$B$2:$B$5)-Q398-IF(T398="Yes",R398*0.2,0)</f>
        <v>17.205600000000004</v>
      </c>
      <c r="T398" t="s">
        <v>32</v>
      </c>
      <c r="U398" s="6">
        <v>4.0999999999999996</v>
      </c>
      <c r="V398" s="7">
        <f t="shared" si="13"/>
        <v>7</v>
      </c>
      <c r="W398">
        <f>IF(SalesDataTable[[#This Row],[Returned]]="Yes",1,0)</f>
        <v>0</v>
      </c>
    </row>
    <row r="399" spans="1:23">
      <c r="A399" t="s">
        <v>658</v>
      </c>
      <c r="B399" s="3">
        <v>45845</v>
      </c>
      <c r="C399" s="3">
        <v>45847</v>
      </c>
      <c r="D399" t="s">
        <v>496</v>
      </c>
      <c r="E399" t="s">
        <v>70</v>
      </c>
      <c r="F399" t="s">
        <v>25</v>
      </c>
      <c r="G399" t="s">
        <v>50</v>
      </c>
      <c r="H399" t="s">
        <v>51</v>
      </c>
      <c r="I399" t="s">
        <v>28</v>
      </c>
      <c r="J399" t="s">
        <v>123</v>
      </c>
      <c r="K399" t="s">
        <v>123</v>
      </c>
      <c r="L399" t="s">
        <v>54</v>
      </c>
      <c r="M399" t="s">
        <v>89</v>
      </c>
      <c r="N399">
        <v>3</v>
      </c>
      <c r="O399" s="4">
        <v>1982.19</v>
      </c>
      <c r="P399" s="5">
        <v>0.1</v>
      </c>
      <c r="Q399" s="4">
        <v>665.74</v>
      </c>
      <c r="R399" s="4">
        <f t="shared" si="12"/>
        <v>5351.9129999999996</v>
      </c>
      <c r="S399" s="4">
        <f>R399*_xlfn.XLOOKUP(I399,Lookup_Lists!$A$2:$A$5,Lookup_Lists!$B$2:$B$5)-Q399-IF(T399="Yes",R399*0.2,0)</f>
        <v>297.60433999999987</v>
      </c>
      <c r="T399" t="s">
        <v>32</v>
      </c>
      <c r="U399" s="6">
        <v>4.4000000000000004</v>
      </c>
      <c r="V399" s="7">
        <f t="shared" si="13"/>
        <v>2</v>
      </c>
      <c r="W399">
        <f>IF(SalesDataTable[[#This Row],[Returned]]="Yes",1,0)</f>
        <v>0</v>
      </c>
    </row>
    <row r="400" spans="1:23">
      <c r="A400" t="s">
        <v>659</v>
      </c>
      <c r="B400" s="3">
        <v>45773</v>
      </c>
      <c r="C400" s="3">
        <v>45776</v>
      </c>
      <c r="D400" t="s">
        <v>263</v>
      </c>
      <c r="E400" t="s">
        <v>81</v>
      </c>
      <c r="F400" t="s">
        <v>25</v>
      </c>
      <c r="G400" t="s">
        <v>36</v>
      </c>
      <c r="H400" t="s">
        <v>37</v>
      </c>
      <c r="I400" t="s">
        <v>28</v>
      </c>
      <c r="J400" t="s">
        <v>123</v>
      </c>
      <c r="K400" t="s">
        <v>123</v>
      </c>
      <c r="L400" t="s">
        <v>54</v>
      </c>
      <c r="M400" t="s">
        <v>47</v>
      </c>
      <c r="N400">
        <v>2</v>
      </c>
      <c r="O400" s="4">
        <v>2031.96</v>
      </c>
      <c r="P400" s="5">
        <v>0.05</v>
      </c>
      <c r="Q400" s="4">
        <v>444.14</v>
      </c>
      <c r="R400" s="4">
        <f t="shared" si="12"/>
        <v>3860.7239999999997</v>
      </c>
      <c r="S400" s="4">
        <f>R400*_xlfn.XLOOKUP(I400,Lookup_Lists!$A$2:$A$5,Lookup_Lists!$B$2:$B$5)-Q400-IF(T400="Yes",R400*0.2,0)</f>
        <v>250.79031999999995</v>
      </c>
      <c r="T400" t="s">
        <v>32</v>
      </c>
      <c r="U400" s="6">
        <v>4.7</v>
      </c>
      <c r="V400" s="7">
        <f t="shared" si="13"/>
        <v>3</v>
      </c>
      <c r="W400">
        <f>IF(SalesDataTable[[#This Row],[Returned]]="Yes",1,0)</f>
        <v>0</v>
      </c>
    </row>
    <row r="401" spans="1:23">
      <c r="A401" t="s">
        <v>660</v>
      </c>
      <c r="B401" s="3">
        <v>45846</v>
      </c>
      <c r="C401" s="3">
        <v>45853</v>
      </c>
      <c r="D401" t="s">
        <v>510</v>
      </c>
      <c r="E401" t="s">
        <v>81</v>
      </c>
      <c r="F401" t="s">
        <v>25</v>
      </c>
      <c r="G401" t="s">
        <v>50</v>
      </c>
      <c r="H401" t="s">
        <v>51</v>
      </c>
      <c r="I401" t="s">
        <v>52</v>
      </c>
      <c r="J401" t="s">
        <v>53</v>
      </c>
      <c r="K401" t="s">
        <v>53</v>
      </c>
      <c r="L401" t="s">
        <v>54</v>
      </c>
      <c r="M401" t="s">
        <v>47</v>
      </c>
      <c r="N401">
        <v>5</v>
      </c>
      <c r="O401" s="4">
        <v>531.58000000000004</v>
      </c>
      <c r="P401" s="5">
        <v>0.2</v>
      </c>
      <c r="Q401" s="4">
        <v>182.21</v>
      </c>
      <c r="R401" s="4">
        <f t="shared" si="12"/>
        <v>2126.3200000000002</v>
      </c>
      <c r="S401" s="4">
        <f>R401*_xlfn.XLOOKUP(I401,Lookup_Lists!$A$2:$A$5,Lookup_Lists!$B$2:$B$5)-Q401-IF(T401="Yes",R401*0.2,0)</f>
        <v>370.63319999999999</v>
      </c>
      <c r="T401" t="s">
        <v>32</v>
      </c>
      <c r="U401" s="6">
        <v>4</v>
      </c>
      <c r="V401" s="7">
        <f t="shared" si="13"/>
        <v>7</v>
      </c>
      <c r="W401">
        <f>IF(SalesDataTable[[#This Row],[Returned]]="Yes",1,0)</f>
        <v>0</v>
      </c>
    </row>
    <row r="402" spans="1:23">
      <c r="A402" t="s">
        <v>661</v>
      </c>
      <c r="B402" s="3">
        <v>46014</v>
      </c>
      <c r="C402" s="3">
        <v>46016</v>
      </c>
      <c r="D402" t="s">
        <v>362</v>
      </c>
      <c r="E402" t="s">
        <v>35</v>
      </c>
      <c r="F402" t="s">
        <v>25</v>
      </c>
      <c r="G402" t="s">
        <v>26</v>
      </c>
      <c r="H402" t="s">
        <v>153</v>
      </c>
      <c r="I402" t="s">
        <v>28</v>
      </c>
      <c r="J402" t="s">
        <v>99</v>
      </c>
      <c r="K402" t="s">
        <v>99</v>
      </c>
      <c r="L402" t="s">
        <v>60</v>
      </c>
      <c r="M402" t="s">
        <v>47</v>
      </c>
      <c r="N402">
        <v>2</v>
      </c>
      <c r="O402" s="4">
        <v>3546.05</v>
      </c>
      <c r="P402" s="5">
        <v>0.1</v>
      </c>
      <c r="Q402" s="4">
        <v>352.55</v>
      </c>
      <c r="R402" s="4">
        <f t="shared" si="12"/>
        <v>6382.89</v>
      </c>
      <c r="S402" s="4">
        <f>R402*_xlfn.XLOOKUP(I402,Lookup_Lists!$A$2:$A$5,Lookup_Lists!$B$2:$B$5)-Q402-IF(T402="Yes",R402*0.2,0)</f>
        <v>-480.20780000000013</v>
      </c>
      <c r="T402" t="s">
        <v>119</v>
      </c>
      <c r="U402" s="6">
        <v>3.8</v>
      </c>
      <c r="V402" s="7">
        <f t="shared" si="13"/>
        <v>2</v>
      </c>
      <c r="W402">
        <f>IF(SalesDataTable[[#This Row],[Returned]]="Yes",1,0)</f>
        <v>1</v>
      </c>
    </row>
    <row r="403" spans="1:23">
      <c r="A403" t="s">
        <v>662</v>
      </c>
      <c r="B403" s="3">
        <v>45924</v>
      </c>
      <c r="C403" s="3">
        <v>45930</v>
      </c>
      <c r="D403" t="s">
        <v>238</v>
      </c>
      <c r="E403" t="s">
        <v>35</v>
      </c>
      <c r="F403" t="s">
        <v>25</v>
      </c>
      <c r="G403" t="s">
        <v>43</v>
      </c>
      <c r="H403" t="s">
        <v>44</v>
      </c>
      <c r="I403" t="s">
        <v>58</v>
      </c>
      <c r="J403" t="s">
        <v>88</v>
      </c>
      <c r="K403" t="s">
        <v>88</v>
      </c>
      <c r="L403" t="s">
        <v>46</v>
      </c>
      <c r="M403" t="s">
        <v>31</v>
      </c>
      <c r="N403">
        <v>1</v>
      </c>
      <c r="O403" s="4">
        <v>8040.99</v>
      </c>
      <c r="P403" s="5">
        <v>0</v>
      </c>
      <c r="Q403" s="4">
        <v>348.82</v>
      </c>
      <c r="R403" s="4">
        <f t="shared" si="12"/>
        <v>8040.99</v>
      </c>
      <c r="S403" s="4">
        <f>R403*_xlfn.XLOOKUP(I403,Lookup_Lists!$A$2:$A$5,Lookup_Lists!$B$2:$B$5)-Q403-IF(T403="Yes",R403*0.2,0)</f>
        <v>1581.0175999999999</v>
      </c>
      <c r="T403" t="s">
        <v>32</v>
      </c>
      <c r="U403" s="6">
        <v>4</v>
      </c>
      <c r="V403" s="7">
        <f t="shared" si="13"/>
        <v>6</v>
      </c>
      <c r="W403">
        <f>IF(SalesDataTable[[#This Row],[Returned]]="Yes",1,0)</f>
        <v>0</v>
      </c>
    </row>
    <row r="404" spans="1:23">
      <c r="A404" t="s">
        <v>663</v>
      </c>
      <c r="B404" s="3">
        <v>45805</v>
      </c>
      <c r="C404" s="3">
        <v>45812</v>
      </c>
      <c r="D404" t="s">
        <v>291</v>
      </c>
      <c r="E404" t="s">
        <v>35</v>
      </c>
      <c r="F404" t="s">
        <v>25</v>
      </c>
      <c r="G404" t="s">
        <v>43</v>
      </c>
      <c r="H404" t="s">
        <v>102</v>
      </c>
      <c r="I404" t="s">
        <v>52</v>
      </c>
      <c r="J404" t="s">
        <v>94</v>
      </c>
      <c r="K404" t="s">
        <v>94</v>
      </c>
      <c r="L404" t="s">
        <v>30</v>
      </c>
      <c r="M404" t="s">
        <v>55</v>
      </c>
      <c r="N404">
        <v>1</v>
      </c>
      <c r="O404" s="4">
        <v>4476.5200000000004</v>
      </c>
      <c r="P404" s="5">
        <v>0.1</v>
      </c>
      <c r="Q404" s="4">
        <v>662.83</v>
      </c>
      <c r="R404" s="4">
        <f t="shared" si="12"/>
        <v>4028.8680000000004</v>
      </c>
      <c r="S404" s="4">
        <f>R404*_xlfn.XLOOKUP(I404,Lookup_Lists!$A$2:$A$5,Lookup_Lists!$B$2:$B$5)-Q404-IF(T404="Yes",R404*0.2,0)</f>
        <v>384.67568000000017</v>
      </c>
      <c r="T404" t="s">
        <v>32</v>
      </c>
      <c r="U404" s="6">
        <v>4.4000000000000004</v>
      </c>
      <c r="V404" s="7">
        <f t="shared" si="13"/>
        <v>7</v>
      </c>
      <c r="W404">
        <f>IF(SalesDataTable[[#This Row],[Returned]]="Yes",1,0)</f>
        <v>0</v>
      </c>
    </row>
    <row r="405" spans="1:23">
      <c r="A405" t="s">
        <v>664</v>
      </c>
      <c r="B405" s="3">
        <v>45820</v>
      </c>
      <c r="C405" s="3">
        <v>45825</v>
      </c>
      <c r="D405" t="s">
        <v>422</v>
      </c>
      <c r="E405" t="s">
        <v>35</v>
      </c>
      <c r="F405" t="s">
        <v>25</v>
      </c>
      <c r="G405" t="s">
        <v>43</v>
      </c>
      <c r="H405" t="s">
        <v>63</v>
      </c>
      <c r="I405" t="s">
        <v>28</v>
      </c>
      <c r="J405" t="s">
        <v>29</v>
      </c>
      <c r="K405" t="s">
        <v>29</v>
      </c>
      <c r="L405" t="s">
        <v>30</v>
      </c>
      <c r="M405" t="s">
        <v>55</v>
      </c>
      <c r="N405">
        <v>1</v>
      </c>
      <c r="O405" s="4">
        <v>52755.49</v>
      </c>
      <c r="P405" s="5">
        <v>0.25</v>
      </c>
      <c r="Q405" s="4">
        <v>1175.51</v>
      </c>
      <c r="R405" s="4">
        <f t="shared" si="12"/>
        <v>39566.6175</v>
      </c>
      <c r="S405" s="4">
        <f>R405*_xlfn.XLOOKUP(I405,Lookup_Lists!$A$2:$A$5,Lookup_Lists!$B$2:$B$5)-Q405-IF(T405="Yes",R405*0.2,0)</f>
        <v>5946.4811499999996</v>
      </c>
      <c r="T405" t="s">
        <v>32</v>
      </c>
      <c r="U405" s="6">
        <v>4.5</v>
      </c>
      <c r="V405" s="7">
        <f t="shared" si="13"/>
        <v>5</v>
      </c>
      <c r="W405">
        <f>IF(SalesDataTable[[#This Row],[Returned]]="Yes",1,0)</f>
        <v>0</v>
      </c>
    </row>
    <row r="406" spans="1:23">
      <c r="A406" t="s">
        <v>665</v>
      </c>
      <c r="B406" s="3">
        <v>45670</v>
      </c>
      <c r="C406" s="3">
        <v>45674</v>
      </c>
      <c r="D406" t="s">
        <v>362</v>
      </c>
      <c r="E406" t="s">
        <v>24</v>
      </c>
      <c r="F406" t="s">
        <v>25</v>
      </c>
      <c r="G406" t="s">
        <v>36</v>
      </c>
      <c r="H406" t="s">
        <v>37</v>
      </c>
      <c r="I406" t="s">
        <v>28</v>
      </c>
      <c r="J406" t="s">
        <v>99</v>
      </c>
      <c r="K406" t="s">
        <v>99</v>
      </c>
      <c r="L406" t="s">
        <v>60</v>
      </c>
      <c r="M406" t="s">
        <v>55</v>
      </c>
      <c r="N406">
        <v>3</v>
      </c>
      <c r="O406" s="4">
        <v>3390.33</v>
      </c>
      <c r="P406" s="5">
        <v>0.2</v>
      </c>
      <c r="Q406" s="4">
        <v>785.24</v>
      </c>
      <c r="R406" s="4">
        <f t="shared" si="12"/>
        <v>8136.7920000000004</v>
      </c>
      <c r="S406" s="4">
        <f>R406*_xlfn.XLOOKUP(I406,Lookup_Lists!$A$2:$A$5,Lookup_Lists!$B$2:$B$5)-Q406-IF(T406="Yes",R406*0.2,0)</f>
        <v>679.38256000000001</v>
      </c>
      <c r="T406" t="s">
        <v>32</v>
      </c>
      <c r="U406" s="6">
        <v>5</v>
      </c>
      <c r="V406" s="7">
        <f t="shared" si="13"/>
        <v>4</v>
      </c>
      <c r="W406">
        <f>IF(SalesDataTable[[#This Row],[Returned]]="Yes",1,0)</f>
        <v>0</v>
      </c>
    </row>
    <row r="407" spans="1:23">
      <c r="A407" t="s">
        <v>666</v>
      </c>
      <c r="B407" s="3">
        <v>45947</v>
      </c>
      <c r="C407" s="3">
        <v>45953</v>
      </c>
      <c r="D407" t="s">
        <v>667</v>
      </c>
      <c r="E407" t="s">
        <v>35</v>
      </c>
      <c r="F407" t="s">
        <v>25</v>
      </c>
      <c r="G407" t="s">
        <v>50</v>
      </c>
      <c r="H407" t="s">
        <v>87</v>
      </c>
      <c r="I407" t="s">
        <v>52</v>
      </c>
      <c r="J407" t="s">
        <v>94</v>
      </c>
      <c r="K407" t="s">
        <v>94</v>
      </c>
      <c r="L407" t="s">
        <v>30</v>
      </c>
      <c r="M407" t="s">
        <v>89</v>
      </c>
      <c r="N407">
        <v>2</v>
      </c>
      <c r="O407" s="4">
        <v>4802.3500000000004</v>
      </c>
      <c r="P407" s="5">
        <v>0.15</v>
      </c>
      <c r="Q407" s="4">
        <v>478.27</v>
      </c>
      <c r="R407" s="4">
        <f t="shared" si="12"/>
        <v>8163.9950000000008</v>
      </c>
      <c r="S407" s="4">
        <f>R407*_xlfn.XLOOKUP(I407,Lookup_Lists!$A$2:$A$5,Lookup_Lists!$B$2:$B$5)-Q407-IF(T407="Yes",R407*0.2,0)</f>
        <v>1644.3687000000004</v>
      </c>
      <c r="T407" t="s">
        <v>32</v>
      </c>
      <c r="U407" s="6">
        <v>4.2</v>
      </c>
      <c r="V407" s="7">
        <f t="shared" si="13"/>
        <v>6</v>
      </c>
      <c r="W407">
        <f>IF(SalesDataTable[[#This Row],[Returned]]="Yes",1,0)</f>
        <v>0</v>
      </c>
    </row>
    <row r="408" spans="1:23">
      <c r="A408" t="s">
        <v>668</v>
      </c>
      <c r="B408" s="3">
        <v>45686</v>
      </c>
      <c r="C408" s="3">
        <v>45691</v>
      </c>
      <c r="D408" t="s">
        <v>121</v>
      </c>
      <c r="E408" t="s">
        <v>35</v>
      </c>
      <c r="F408" t="s">
        <v>25</v>
      </c>
      <c r="G408" t="s">
        <v>26</v>
      </c>
      <c r="H408" t="s">
        <v>82</v>
      </c>
      <c r="I408" t="s">
        <v>28</v>
      </c>
      <c r="J408" t="s">
        <v>29</v>
      </c>
      <c r="K408" t="s">
        <v>29</v>
      </c>
      <c r="L408" t="s">
        <v>46</v>
      </c>
      <c r="M408" t="s">
        <v>47</v>
      </c>
      <c r="N408">
        <v>3</v>
      </c>
      <c r="O408" s="4">
        <v>60698.93</v>
      </c>
      <c r="P408" s="5">
        <v>0.25</v>
      </c>
      <c r="Q408" s="4">
        <v>3036.27</v>
      </c>
      <c r="R408" s="4">
        <f t="shared" si="12"/>
        <v>136572.5925</v>
      </c>
      <c r="S408" s="4">
        <f>R408*_xlfn.XLOOKUP(I408,Lookup_Lists!$A$2:$A$5,Lookup_Lists!$B$2:$B$5)-Q408-IF(T408="Yes",R408*0.2,0)</f>
        <v>21546.79665</v>
      </c>
      <c r="T408" t="s">
        <v>32</v>
      </c>
      <c r="U408" s="6">
        <v>3.9</v>
      </c>
      <c r="V408" s="7">
        <f t="shared" si="13"/>
        <v>5</v>
      </c>
      <c r="W408">
        <f>IF(SalesDataTable[[#This Row],[Returned]]="Yes",1,0)</f>
        <v>0</v>
      </c>
    </row>
    <row r="409" spans="1:23">
      <c r="A409" t="s">
        <v>669</v>
      </c>
      <c r="B409" s="3">
        <v>45686</v>
      </c>
      <c r="C409" s="3">
        <v>45692</v>
      </c>
      <c r="D409" t="s">
        <v>500</v>
      </c>
      <c r="E409" t="s">
        <v>35</v>
      </c>
      <c r="F409" t="s">
        <v>25</v>
      </c>
      <c r="G409" t="s">
        <v>36</v>
      </c>
      <c r="H409" t="s">
        <v>37</v>
      </c>
      <c r="I409" t="s">
        <v>58</v>
      </c>
      <c r="J409" t="s">
        <v>92</v>
      </c>
      <c r="K409" t="s">
        <v>92</v>
      </c>
      <c r="L409" t="s">
        <v>54</v>
      </c>
      <c r="M409" t="s">
        <v>55</v>
      </c>
      <c r="N409">
        <v>2</v>
      </c>
      <c r="O409" s="4">
        <v>8616.2199999999993</v>
      </c>
      <c r="P409" s="5">
        <v>0.05</v>
      </c>
      <c r="Q409" s="4">
        <v>461.43</v>
      </c>
      <c r="R409" s="4">
        <f t="shared" si="12"/>
        <v>16370.817999999997</v>
      </c>
      <c r="S409" s="4">
        <f>R409*_xlfn.XLOOKUP(I409,Lookup_Lists!$A$2:$A$5,Lookup_Lists!$B$2:$B$5)-Q409-IF(T409="Yes",R409*0.2,0)</f>
        <v>3467.5663199999995</v>
      </c>
      <c r="T409" t="s">
        <v>32</v>
      </c>
      <c r="U409" s="6">
        <v>3.9</v>
      </c>
      <c r="V409" s="7">
        <f t="shared" si="13"/>
        <v>6</v>
      </c>
      <c r="W409">
        <f>IF(SalesDataTable[[#This Row],[Returned]]="Yes",1,0)</f>
        <v>0</v>
      </c>
    </row>
    <row r="410" spans="1:23">
      <c r="A410" t="s">
        <v>670</v>
      </c>
      <c r="B410" s="3">
        <v>45870</v>
      </c>
      <c r="C410" s="3">
        <v>45877</v>
      </c>
      <c r="D410" t="s">
        <v>667</v>
      </c>
      <c r="E410" t="s">
        <v>35</v>
      </c>
      <c r="F410" t="s">
        <v>25</v>
      </c>
      <c r="G410" t="s">
        <v>36</v>
      </c>
      <c r="H410" t="s">
        <v>138</v>
      </c>
      <c r="I410" t="s">
        <v>28</v>
      </c>
      <c r="J410" t="s">
        <v>99</v>
      </c>
      <c r="K410" t="s">
        <v>99</v>
      </c>
      <c r="L410" t="s">
        <v>46</v>
      </c>
      <c r="M410" t="s">
        <v>40</v>
      </c>
      <c r="N410">
        <v>1</v>
      </c>
      <c r="O410" s="4">
        <v>3578.34</v>
      </c>
      <c r="P410" s="5">
        <v>0.15</v>
      </c>
      <c r="Q410" s="4">
        <v>696.06</v>
      </c>
      <c r="R410" s="4">
        <f t="shared" si="12"/>
        <v>3041.5889999999999</v>
      </c>
      <c r="S410" s="4">
        <f>R410*_xlfn.XLOOKUP(I410,Lookup_Lists!$A$2:$A$5,Lookup_Lists!$B$2:$B$5)-Q410-IF(T410="Yes",R410*0.2,0)</f>
        <v>-756.89178000000004</v>
      </c>
      <c r="T410" t="s">
        <v>119</v>
      </c>
      <c r="U410" s="6">
        <v>4.2</v>
      </c>
      <c r="V410" s="7">
        <f t="shared" si="13"/>
        <v>7</v>
      </c>
      <c r="W410">
        <f>IF(SalesDataTable[[#This Row],[Returned]]="Yes",1,0)</f>
        <v>1</v>
      </c>
    </row>
    <row r="411" spans="1:23">
      <c r="A411" t="s">
        <v>671</v>
      </c>
      <c r="B411" s="3">
        <v>45703</v>
      </c>
      <c r="C411" s="3">
        <v>45704</v>
      </c>
      <c r="D411" t="s">
        <v>86</v>
      </c>
      <c r="E411" t="s">
        <v>70</v>
      </c>
      <c r="F411" t="s">
        <v>25</v>
      </c>
      <c r="G411" t="s">
        <v>43</v>
      </c>
      <c r="H411" t="s">
        <v>102</v>
      </c>
      <c r="I411" t="s">
        <v>28</v>
      </c>
      <c r="J411" t="s">
        <v>111</v>
      </c>
      <c r="K411" t="s">
        <v>111</v>
      </c>
      <c r="L411" t="s">
        <v>30</v>
      </c>
      <c r="M411" t="s">
        <v>40</v>
      </c>
      <c r="N411">
        <v>1</v>
      </c>
      <c r="O411" s="4">
        <v>1355.62</v>
      </c>
      <c r="P411" s="5">
        <v>0</v>
      </c>
      <c r="Q411" s="4">
        <v>379.97</v>
      </c>
      <c r="R411" s="4">
        <f t="shared" si="12"/>
        <v>1355.62</v>
      </c>
      <c r="S411" s="4">
        <f>R411*_xlfn.XLOOKUP(I411,Lookup_Lists!$A$2:$A$5,Lookup_Lists!$B$2:$B$5)-Q411-IF(T411="Yes",R411*0.2,0)</f>
        <v>-135.95840000000007</v>
      </c>
      <c r="T411" t="s">
        <v>32</v>
      </c>
      <c r="U411" s="6">
        <v>4.2</v>
      </c>
      <c r="V411" s="7">
        <f t="shared" si="13"/>
        <v>1</v>
      </c>
      <c r="W411">
        <f>IF(SalesDataTable[[#This Row],[Returned]]="Yes",1,0)</f>
        <v>0</v>
      </c>
    </row>
    <row r="412" spans="1:23">
      <c r="A412" t="s">
        <v>672</v>
      </c>
      <c r="B412" s="3">
        <v>45812</v>
      </c>
      <c r="C412" s="3">
        <v>45819</v>
      </c>
      <c r="D412" t="s">
        <v>513</v>
      </c>
      <c r="E412" t="s">
        <v>35</v>
      </c>
      <c r="F412" t="s">
        <v>25</v>
      </c>
      <c r="G412" t="s">
        <v>36</v>
      </c>
      <c r="H412" t="s">
        <v>145</v>
      </c>
      <c r="I412" t="s">
        <v>28</v>
      </c>
      <c r="J412" t="s">
        <v>29</v>
      </c>
      <c r="K412" t="s">
        <v>29</v>
      </c>
      <c r="L412" t="s">
        <v>54</v>
      </c>
      <c r="M412" t="s">
        <v>55</v>
      </c>
      <c r="N412">
        <v>6</v>
      </c>
      <c r="O412" s="4">
        <v>58774.19</v>
      </c>
      <c r="P412" s="5">
        <v>0.05</v>
      </c>
      <c r="Q412" s="4">
        <v>5742.35</v>
      </c>
      <c r="R412" s="4">
        <f t="shared" si="12"/>
        <v>335012.88299999997</v>
      </c>
      <c r="S412" s="4">
        <f>R412*_xlfn.XLOOKUP(I412,Lookup_Lists!$A$2:$A$5,Lookup_Lists!$B$2:$B$5)-Q412-IF(T412="Yes",R412*0.2,0)</f>
        <v>54559.968939999992</v>
      </c>
      <c r="T412" t="s">
        <v>32</v>
      </c>
      <c r="U412" s="6">
        <v>3.8</v>
      </c>
      <c r="V412" s="7">
        <f t="shared" si="13"/>
        <v>7</v>
      </c>
      <c r="W412">
        <f>IF(SalesDataTable[[#This Row],[Returned]]="Yes",1,0)</f>
        <v>0</v>
      </c>
    </row>
    <row r="413" spans="1:23">
      <c r="A413" t="s">
        <v>673</v>
      </c>
      <c r="B413" s="3">
        <v>46010</v>
      </c>
      <c r="C413" s="3">
        <v>46016</v>
      </c>
      <c r="D413" t="s">
        <v>104</v>
      </c>
      <c r="E413" t="s">
        <v>35</v>
      </c>
      <c r="F413" t="s">
        <v>25</v>
      </c>
      <c r="G413" t="s">
        <v>43</v>
      </c>
      <c r="H413" t="s">
        <v>102</v>
      </c>
      <c r="I413" t="s">
        <v>52</v>
      </c>
      <c r="J413" t="s">
        <v>114</v>
      </c>
      <c r="K413" t="s">
        <v>114</v>
      </c>
      <c r="L413" t="s">
        <v>46</v>
      </c>
      <c r="M413" t="s">
        <v>55</v>
      </c>
      <c r="N413">
        <v>3</v>
      </c>
      <c r="O413" s="4">
        <v>9971.89</v>
      </c>
      <c r="P413" s="5">
        <v>0.15</v>
      </c>
      <c r="Q413" s="4">
        <v>886.69</v>
      </c>
      <c r="R413" s="4">
        <f t="shared" si="12"/>
        <v>25428.319499999998</v>
      </c>
      <c r="S413" s="4">
        <f>R413*_xlfn.XLOOKUP(I413,Lookup_Lists!$A$2:$A$5,Lookup_Lists!$B$2:$B$5)-Q413-IF(T413="Yes",R413*0.2,0)</f>
        <v>5724.6730699999989</v>
      </c>
      <c r="T413" t="s">
        <v>32</v>
      </c>
      <c r="U413" s="6">
        <v>4.5</v>
      </c>
      <c r="V413" s="7">
        <f t="shared" si="13"/>
        <v>6</v>
      </c>
      <c r="W413">
        <f>IF(SalesDataTable[[#This Row],[Returned]]="Yes",1,0)</f>
        <v>0</v>
      </c>
    </row>
    <row r="414" spans="1:23">
      <c r="A414" t="s">
        <v>674</v>
      </c>
      <c r="B414" s="3">
        <v>46013</v>
      </c>
      <c r="C414" s="3">
        <v>46020</v>
      </c>
      <c r="D414" t="s">
        <v>402</v>
      </c>
      <c r="E414" t="s">
        <v>35</v>
      </c>
      <c r="F414" t="s">
        <v>25</v>
      </c>
      <c r="G414" t="s">
        <v>50</v>
      </c>
      <c r="H414" t="s">
        <v>71</v>
      </c>
      <c r="I414" t="s">
        <v>28</v>
      </c>
      <c r="J414" t="s">
        <v>29</v>
      </c>
      <c r="K414" t="s">
        <v>29</v>
      </c>
      <c r="L414" t="s">
        <v>54</v>
      </c>
      <c r="M414" t="s">
        <v>47</v>
      </c>
      <c r="N414">
        <v>5</v>
      </c>
      <c r="O414" s="4">
        <v>47873.760000000002</v>
      </c>
      <c r="P414" s="5">
        <v>0</v>
      </c>
      <c r="Q414" s="4">
        <v>3825.95</v>
      </c>
      <c r="R414" s="4">
        <f t="shared" si="12"/>
        <v>239368.80000000002</v>
      </c>
      <c r="S414" s="4">
        <f>R414*_xlfn.XLOOKUP(I414,Lookup_Lists!$A$2:$A$5,Lookup_Lists!$B$2:$B$5)-Q414-IF(T414="Yes",R414*0.2,0)</f>
        <v>39260.434000000001</v>
      </c>
      <c r="T414" t="s">
        <v>32</v>
      </c>
      <c r="U414" s="6">
        <v>4.5999999999999996</v>
      </c>
      <c r="V414" s="7">
        <f t="shared" si="13"/>
        <v>7</v>
      </c>
      <c r="W414">
        <f>IF(SalesDataTable[[#This Row],[Returned]]="Yes",1,0)</f>
        <v>0</v>
      </c>
    </row>
    <row r="415" spans="1:23">
      <c r="A415" t="s">
        <v>675</v>
      </c>
      <c r="B415" s="3">
        <v>45806</v>
      </c>
      <c r="C415" s="3">
        <v>45809</v>
      </c>
      <c r="D415" t="s">
        <v>676</v>
      </c>
      <c r="E415" t="s">
        <v>70</v>
      </c>
      <c r="F415" t="s">
        <v>25</v>
      </c>
      <c r="G415" t="s">
        <v>50</v>
      </c>
      <c r="H415" t="s">
        <v>51</v>
      </c>
      <c r="I415" t="s">
        <v>38</v>
      </c>
      <c r="J415" t="s">
        <v>108</v>
      </c>
      <c r="K415" t="s">
        <v>108</v>
      </c>
      <c r="L415" t="s">
        <v>30</v>
      </c>
      <c r="M415" t="s">
        <v>31</v>
      </c>
      <c r="N415">
        <v>4</v>
      </c>
      <c r="O415" s="4">
        <v>125.17</v>
      </c>
      <c r="P415" s="5">
        <v>0.15</v>
      </c>
      <c r="Q415" s="4">
        <v>558.79999999999995</v>
      </c>
      <c r="R415" s="4">
        <f t="shared" si="12"/>
        <v>425.57799999999997</v>
      </c>
      <c r="S415" s="4">
        <f>R415*_xlfn.XLOOKUP(I415,Lookup_Lists!$A$2:$A$5,Lookup_Lists!$B$2:$B$5)-Q415-IF(T415="Yes",R415*0.2,0)</f>
        <v>-422.61503999999996</v>
      </c>
      <c r="T415" t="s">
        <v>32</v>
      </c>
      <c r="U415" s="6">
        <v>4.0999999999999996</v>
      </c>
      <c r="V415" s="7">
        <f t="shared" si="13"/>
        <v>3</v>
      </c>
      <c r="W415">
        <f>IF(SalesDataTable[[#This Row],[Returned]]="Yes",1,0)</f>
        <v>0</v>
      </c>
    </row>
    <row r="416" spans="1:23">
      <c r="A416" t="s">
        <v>677</v>
      </c>
      <c r="B416" s="3">
        <v>45812</v>
      </c>
      <c r="C416" s="3">
        <v>45815</v>
      </c>
      <c r="D416" t="s">
        <v>355</v>
      </c>
      <c r="E416" t="s">
        <v>70</v>
      </c>
      <c r="F416" t="s">
        <v>25</v>
      </c>
      <c r="G416" t="s">
        <v>43</v>
      </c>
      <c r="H416" t="s">
        <v>122</v>
      </c>
      <c r="I416" t="s">
        <v>58</v>
      </c>
      <c r="J416" t="s">
        <v>59</v>
      </c>
      <c r="K416" t="s">
        <v>59</v>
      </c>
      <c r="L416" t="s">
        <v>64</v>
      </c>
      <c r="M416" t="s">
        <v>89</v>
      </c>
      <c r="N416">
        <v>1</v>
      </c>
      <c r="O416" s="4">
        <v>6268.76</v>
      </c>
      <c r="P416" s="5">
        <v>0.1</v>
      </c>
      <c r="Q416" s="4">
        <v>408.87</v>
      </c>
      <c r="R416" s="4">
        <f t="shared" si="12"/>
        <v>5641.884</v>
      </c>
      <c r="S416" s="4">
        <f>R416*_xlfn.XLOOKUP(I416,Lookup_Lists!$A$2:$A$5,Lookup_Lists!$B$2:$B$5)-Q416-IF(T416="Yes",R416*0.2,0)</f>
        <v>945.18215999999995</v>
      </c>
      <c r="T416" t="s">
        <v>32</v>
      </c>
      <c r="U416" s="6">
        <v>4.5</v>
      </c>
      <c r="V416" s="7">
        <f t="shared" si="13"/>
        <v>3</v>
      </c>
      <c r="W416">
        <f>IF(SalesDataTable[[#This Row],[Returned]]="Yes",1,0)</f>
        <v>0</v>
      </c>
    </row>
    <row r="417" spans="1:23">
      <c r="A417" t="s">
        <v>678</v>
      </c>
      <c r="B417" s="3">
        <v>45915</v>
      </c>
      <c r="C417" s="3">
        <v>45917</v>
      </c>
      <c r="D417" t="s">
        <v>96</v>
      </c>
      <c r="E417" t="s">
        <v>24</v>
      </c>
      <c r="F417" t="s">
        <v>25</v>
      </c>
      <c r="G417" t="s">
        <v>50</v>
      </c>
      <c r="H417" t="s">
        <v>87</v>
      </c>
      <c r="I417" t="s">
        <v>58</v>
      </c>
      <c r="J417" t="s">
        <v>92</v>
      </c>
      <c r="K417" t="s">
        <v>92</v>
      </c>
      <c r="L417" t="s">
        <v>54</v>
      </c>
      <c r="M417" t="s">
        <v>40</v>
      </c>
      <c r="N417">
        <v>6</v>
      </c>
      <c r="O417" s="4">
        <v>8702.77</v>
      </c>
      <c r="P417" s="5">
        <v>0</v>
      </c>
      <c r="Q417" s="4">
        <v>1069.9100000000001</v>
      </c>
      <c r="R417" s="4">
        <f t="shared" si="12"/>
        <v>52216.62</v>
      </c>
      <c r="S417" s="4">
        <f>R417*_xlfn.XLOOKUP(I417,Lookup_Lists!$A$2:$A$5,Lookup_Lists!$B$2:$B$5)-Q417-IF(T417="Yes",R417*0.2,0)</f>
        <v>11462.078800000001</v>
      </c>
      <c r="T417" t="s">
        <v>32</v>
      </c>
      <c r="U417" s="6">
        <v>4.5999999999999996</v>
      </c>
      <c r="V417" s="7">
        <f t="shared" si="13"/>
        <v>2</v>
      </c>
      <c r="W417">
        <f>IF(SalesDataTable[[#This Row],[Returned]]="Yes",1,0)</f>
        <v>0</v>
      </c>
    </row>
    <row r="418" spans="1:23">
      <c r="A418" t="s">
        <v>679</v>
      </c>
      <c r="B418" s="3">
        <v>45963</v>
      </c>
      <c r="C418" s="3">
        <v>45968</v>
      </c>
      <c r="D418" t="s">
        <v>337</v>
      </c>
      <c r="E418" t="s">
        <v>81</v>
      </c>
      <c r="F418" t="s">
        <v>25</v>
      </c>
      <c r="G418" t="s">
        <v>26</v>
      </c>
      <c r="H418" t="s">
        <v>82</v>
      </c>
      <c r="I418" t="s">
        <v>28</v>
      </c>
      <c r="J418" t="s">
        <v>29</v>
      </c>
      <c r="K418" t="s">
        <v>29</v>
      </c>
      <c r="L418" t="s">
        <v>54</v>
      </c>
      <c r="M418" t="s">
        <v>40</v>
      </c>
      <c r="N418">
        <v>3</v>
      </c>
      <c r="O418" s="4">
        <v>50555.88</v>
      </c>
      <c r="P418" s="5">
        <v>0</v>
      </c>
      <c r="Q418" s="4">
        <v>2914.25</v>
      </c>
      <c r="R418" s="4">
        <f t="shared" si="12"/>
        <v>151667.63999999998</v>
      </c>
      <c r="S418" s="4">
        <f>R418*_xlfn.XLOOKUP(I418,Lookup_Lists!$A$2:$A$5,Lookup_Lists!$B$2:$B$5)-Q418-IF(T418="Yes",R418*0.2,0)</f>
        <v>24385.925199999998</v>
      </c>
      <c r="T418" t="s">
        <v>32</v>
      </c>
      <c r="U418" s="6">
        <v>4.4000000000000004</v>
      </c>
      <c r="V418" s="7">
        <f t="shared" si="13"/>
        <v>5</v>
      </c>
      <c r="W418">
        <f>IF(SalesDataTable[[#This Row],[Returned]]="Yes",1,0)</f>
        <v>0</v>
      </c>
    </row>
    <row r="419" spans="1:23">
      <c r="A419" t="s">
        <v>680</v>
      </c>
      <c r="B419" s="3">
        <v>45667</v>
      </c>
      <c r="C419" s="3">
        <v>45674</v>
      </c>
      <c r="D419" t="s">
        <v>681</v>
      </c>
      <c r="E419" t="s">
        <v>24</v>
      </c>
      <c r="F419" t="s">
        <v>25</v>
      </c>
      <c r="G419" t="s">
        <v>50</v>
      </c>
      <c r="H419" t="s">
        <v>51</v>
      </c>
      <c r="I419" t="s">
        <v>28</v>
      </c>
      <c r="J419" t="s">
        <v>99</v>
      </c>
      <c r="K419" t="s">
        <v>99</v>
      </c>
      <c r="L419" t="s">
        <v>46</v>
      </c>
      <c r="M419" t="s">
        <v>47</v>
      </c>
      <c r="N419">
        <v>1</v>
      </c>
      <c r="O419" s="4">
        <v>3345.66</v>
      </c>
      <c r="P419" s="5">
        <v>0</v>
      </c>
      <c r="Q419" s="4">
        <v>510.71</v>
      </c>
      <c r="R419" s="4">
        <f t="shared" si="12"/>
        <v>3345.66</v>
      </c>
      <c r="S419" s="4">
        <f>R419*_xlfn.XLOOKUP(I419,Lookup_Lists!$A$2:$A$5,Lookup_Lists!$B$2:$B$5)-Q419-IF(T419="Yes",R419*0.2,0)</f>
        <v>91.508800000000008</v>
      </c>
      <c r="T419" t="s">
        <v>32</v>
      </c>
      <c r="U419" s="6">
        <v>4</v>
      </c>
      <c r="V419" s="7">
        <f t="shared" si="13"/>
        <v>7</v>
      </c>
      <c r="W419">
        <f>IF(SalesDataTable[[#This Row],[Returned]]="Yes",1,0)</f>
        <v>0</v>
      </c>
    </row>
    <row r="420" spans="1:23">
      <c r="A420" t="s">
        <v>682</v>
      </c>
      <c r="B420" s="3">
        <v>45721</v>
      </c>
      <c r="C420" s="3">
        <v>45726</v>
      </c>
      <c r="D420" t="s">
        <v>519</v>
      </c>
      <c r="E420" t="s">
        <v>70</v>
      </c>
      <c r="F420" t="s">
        <v>25</v>
      </c>
      <c r="G420" t="s">
        <v>26</v>
      </c>
      <c r="H420" t="s">
        <v>27</v>
      </c>
      <c r="I420" t="s">
        <v>38</v>
      </c>
      <c r="J420" t="s">
        <v>39</v>
      </c>
      <c r="K420" t="s">
        <v>39</v>
      </c>
      <c r="L420" t="s">
        <v>54</v>
      </c>
      <c r="M420" t="s">
        <v>55</v>
      </c>
      <c r="N420">
        <v>6</v>
      </c>
      <c r="O420" s="4">
        <v>413.43</v>
      </c>
      <c r="P420" s="5">
        <v>0</v>
      </c>
      <c r="Q420" s="4">
        <v>402.57</v>
      </c>
      <c r="R420" s="4">
        <f t="shared" si="12"/>
        <v>2480.58</v>
      </c>
      <c r="S420" s="4">
        <f>R420*_xlfn.XLOOKUP(I420,Lookup_Lists!$A$2:$A$5,Lookup_Lists!$B$2:$B$5)-Q420-IF(T420="Yes",R420*0.2,0)</f>
        <v>391.21560000000005</v>
      </c>
      <c r="T420" t="s">
        <v>32</v>
      </c>
      <c r="U420" s="6">
        <v>4.4000000000000004</v>
      </c>
      <c r="V420" s="7">
        <f t="shared" si="13"/>
        <v>5</v>
      </c>
      <c r="W420">
        <f>IF(SalesDataTable[[#This Row],[Returned]]="Yes",1,0)</f>
        <v>0</v>
      </c>
    </row>
    <row r="421" spans="1:23">
      <c r="A421" t="s">
        <v>683</v>
      </c>
      <c r="B421" s="3">
        <v>45708</v>
      </c>
      <c r="C421" s="3">
        <v>45715</v>
      </c>
      <c r="D421" t="s">
        <v>381</v>
      </c>
      <c r="E421" t="s">
        <v>24</v>
      </c>
      <c r="F421" t="s">
        <v>25</v>
      </c>
      <c r="G421" t="s">
        <v>26</v>
      </c>
      <c r="H421" t="s">
        <v>27</v>
      </c>
      <c r="I421" t="s">
        <v>52</v>
      </c>
      <c r="J421" t="s">
        <v>94</v>
      </c>
      <c r="K421" t="s">
        <v>94</v>
      </c>
      <c r="L421" t="s">
        <v>60</v>
      </c>
      <c r="M421" t="s">
        <v>31</v>
      </c>
      <c r="N421">
        <v>1</v>
      </c>
      <c r="O421" s="4">
        <v>5268.5</v>
      </c>
      <c r="P421" s="5">
        <v>0.2</v>
      </c>
      <c r="Q421" s="4">
        <v>683.7</v>
      </c>
      <c r="R421" s="4">
        <f t="shared" si="12"/>
        <v>4214.8</v>
      </c>
      <c r="S421" s="4">
        <f>R421*_xlfn.XLOOKUP(I421,Lookup_Lists!$A$2:$A$5,Lookup_Lists!$B$2:$B$5)-Q421-IF(T421="Yes",R421*0.2,0)</f>
        <v>412.14800000000014</v>
      </c>
      <c r="T421" t="s">
        <v>32</v>
      </c>
      <c r="U421" s="6">
        <v>4.8</v>
      </c>
      <c r="V421" s="7">
        <f t="shared" si="13"/>
        <v>7</v>
      </c>
      <c r="W421">
        <f>IF(SalesDataTable[[#This Row],[Returned]]="Yes",1,0)</f>
        <v>0</v>
      </c>
    </row>
    <row r="422" spans="1:23">
      <c r="A422" t="s">
        <v>684</v>
      </c>
      <c r="B422" s="3">
        <v>45901</v>
      </c>
      <c r="C422" s="3">
        <v>45904</v>
      </c>
      <c r="D422" t="s">
        <v>549</v>
      </c>
      <c r="E422" t="s">
        <v>70</v>
      </c>
      <c r="F422" t="s">
        <v>25</v>
      </c>
      <c r="G422" t="s">
        <v>36</v>
      </c>
      <c r="H422" t="s">
        <v>126</v>
      </c>
      <c r="I422" t="s">
        <v>28</v>
      </c>
      <c r="J422" t="s">
        <v>123</v>
      </c>
      <c r="K422" t="s">
        <v>123</v>
      </c>
      <c r="L422" t="s">
        <v>60</v>
      </c>
      <c r="M422" t="s">
        <v>47</v>
      </c>
      <c r="N422">
        <v>1</v>
      </c>
      <c r="O422" s="4">
        <v>1706.88</v>
      </c>
      <c r="P422" s="5">
        <v>0</v>
      </c>
      <c r="Q422" s="4">
        <v>666.83</v>
      </c>
      <c r="R422" s="4">
        <f t="shared" si="12"/>
        <v>1706.88</v>
      </c>
      <c r="S422" s="4">
        <f>R422*_xlfn.XLOOKUP(I422,Lookup_Lists!$A$2:$A$5,Lookup_Lists!$B$2:$B$5)-Q422-IF(T422="Yes",R422*0.2,0)</f>
        <v>-359.59160000000003</v>
      </c>
      <c r="T422" t="s">
        <v>32</v>
      </c>
      <c r="U422" s="6">
        <v>4.5</v>
      </c>
      <c r="V422" s="7">
        <f t="shared" si="13"/>
        <v>3</v>
      </c>
      <c r="W422">
        <f>IF(SalesDataTable[[#This Row],[Returned]]="Yes",1,0)</f>
        <v>0</v>
      </c>
    </row>
    <row r="423" spans="1:23">
      <c r="A423" t="s">
        <v>685</v>
      </c>
      <c r="B423" s="3">
        <v>45842</v>
      </c>
      <c r="C423" s="3">
        <v>45848</v>
      </c>
      <c r="D423" t="s">
        <v>539</v>
      </c>
      <c r="E423" t="s">
        <v>70</v>
      </c>
      <c r="F423" t="s">
        <v>25</v>
      </c>
      <c r="G423" t="s">
        <v>50</v>
      </c>
      <c r="H423" t="s">
        <v>78</v>
      </c>
      <c r="I423" t="s">
        <v>58</v>
      </c>
      <c r="J423" t="s">
        <v>92</v>
      </c>
      <c r="K423" t="s">
        <v>92</v>
      </c>
      <c r="L423" t="s">
        <v>46</v>
      </c>
      <c r="M423" t="s">
        <v>47</v>
      </c>
      <c r="N423">
        <v>3</v>
      </c>
      <c r="O423" s="4">
        <v>8275.6200000000008</v>
      </c>
      <c r="P423" s="5">
        <v>0.25</v>
      </c>
      <c r="Q423" s="4">
        <v>705.46</v>
      </c>
      <c r="R423" s="4">
        <f t="shared" si="12"/>
        <v>18620.145</v>
      </c>
      <c r="S423" s="4">
        <f>R423*_xlfn.XLOOKUP(I423,Lookup_Lists!$A$2:$A$5,Lookup_Lists!$B$2:$B$5)-Q423-IF(T423="Yes",R423*0.2,0)</f>
        <v>3763.3747999999996</v>
      </c>
      <c r="T423" t="s">
        <v>32</v>
      </c>
      <c r="U423" s="6">
        <v>4.4000000000000004</v>
      </c>
      <c r="V423" s="7">
        <f t="shared" si="13"/>
        <v>6</v>
      </c>
      <c r="W423">
        <f>IF(SalesDataTable[[#This Row],[Returned]]="Yes",1,0)</f>
        <v>0</v>
      </c>
    </row>
    <row r="424" spans="1:23">
      <c r="A424" t="s">
        <v>686</v>
      </c>
      <c r="B424" s="3">
        <v>45806</v>
      </c>
      <c r="C424" s="3">
        <v>45813</v>
      </c>
      <c r="D424" t="s">
        <v>155</v>
      </c>
      <c r="E424" t="s">
        <v>35</v>
      </c>
      <c r="F424" t="s">
        <v>25</v>
      </c>
      <c r="G424" t="s">
        <v>50</v>
      </c>
      <c r="H424" t="s">
        <v>87</v>
      </c>
      <c r="I424" t="s">
        <v>52</v>
      </c>
      <c r="J424" t="s">
        <v>105</v>
      </c>
      <c r="K424" t="s">
        <v>105</v>
      </c>
      <c r="L424" t="s">
        <v>54</v>
      </c>
      <c r="M424" t="s">
        <v>47</v>
      </c>
      <c r="N424">
        <v>3</v>
      </c>
      <c r="O424" s="4">
        <v>1298.58</v>
      </c>
      <c r="P424" s="5">
        <v>0.05</v>
      </c>
      <c r="Q424" s="4">
        <v>524.04999999999995</v>
      </c>
      <c r="R424" s="4">
        <f t="shared" si="12"/>
        <v>3700.9529999999995</v>
      </c>
      <c r="S424" s="4">
        <f>R424*_xlfn.XLOOKUP(I424,Lookup_Lists!$A$2:$A$5,Lookup_Lists!$B$2:$B$5)-Q424-IF(T424="Yes",R424*0.2,0)</f>
        <v>438.19777999999997</v>
      </c>
      <c r="T424" t="s">
        <v>32</v>
      </c>
      <c r="U424" s="6">
        <v>3.7</v>
      </c>
      <c r="V424" s="7">
        <f t="shared" si="13"/>
        <v>7</v>
      </c>
      <c r="W424">
        <f>IF(SalesDataTable[[#This Row],[Returned]]="Yes",1,0)</f>
        <v>0</v>
      </c>
    </row>
    <row r="425" spans="1:23">
      <c r="A425" t="s">
        <v>687</v>
      </c>
      <c r="B425" s="3">
        <v>45710</v>
      </c>
      <c r="C425" s="3">
        <v>45716</v>
      </c>
      <c r="D425" t="s">
        <v>688</v>
      </c>
      <c r="E425" t="s">
        <v>35</v>
      </c>
      <c r="F425" t="s">
        <v>25</v>
      </c>
      <c r="G425" t="s">
        <v>26</v>
      </c>
      <c r="H425" t="s">
        <v>82</v>
      </c>
      <c r="I425" t="s">
        <v>28</v>
      </c>
      <c r="J425" t="s">
        <v>111</v>
      </c>
      <c r="K425" t="s">
        <v>111</v>
      </c>
      <c r="L425" t="s">
        <v>54</v>
      </c>
      <c r="M425" t="s">
        <v>47</v>
      </c>
      <c r="N425">
        <v>4</v>
      </c>
      <c r="O425" s="4">
        <v>1156.27</v>
      </c>
      <c r="P425" s="5">
        <v>0.1</v>
      </c>
      <c r="Q425" s="4">
        <v>481.07</v>
      </c>
      <c r="R425" s="4">
        <f t="shared" si="12"/>
        <v>4162.5720000000001</v>
      </c>
      <c r="S425" s="4">
        <f>R425*_xlfn.XLOOKUP(I425,Lookup_Lists!$A$2:$A$5,Lookup_Lists!$B$2:$B$5)-Q425-IF(T425="Yes",R425*0.2,0)</f>
        <v>268.19296000000003</v>
      </c>
      <c r="T425" t="s">
        <v>32</v>
      </c>
      <c r="U425" s="6">
        <v>4.7</v>
      </c>
      <c r="V425" s="7">
        <f t="shared" si="13"/>
        <v>6</v>
      </c>
      <c r="W425">
        <f>IF(SalesDataTable[[#This Row],[Returned]]="Yes",1,0)</f>
        <v>0</v>
      </c>
    </row>
    <row r="426" spans="1:23">
      <c r="A426" t="s">
        <v>689</v>
      </c>
      <c r="B426" s="3">
        <v>45987</v>
      </c>
      <c r="C426" s="3">
        <v>45991</v>
      </c>
      <c r="D426" t="s">
        <v>214</v>
      </c>
      <c r="E426" t="s">
        <v>70</v>
      </c>
      <c r="F426" t="s">
        <v>25</v>
      </c>
      <c r="G426" t="s">
        <v>36</v>
      </c>
      <c r="H426" t="s">
        <v>138</v>
      </c>
      <c r="I426" t="s">
        <v>58</v>
      </c>
      <c r="J426" t="s">
        <v>127</v>
      </c>
      <c r="K426" t="s">
        <v>127</v>
      </c>
      <c r="L426" t="s">
        <v>30</v>
      </c>
      <c r="M426" t="s">
        <v>89</v>
      </c>
      <c r="N426">
        <v>1</v>
      </c>
      <c r="O426" s="4">
        <v>18482.439999999999</v>
      </c>
      <c r="P426" s="5">
        <v>0</v>
      </c>
      <c r="Q426" s="4">
        <v>894.41</v>
      </c>
      <c r="R426" s="4">
        <f t="shared" si="12"/>
        <v>18482.439999999999</v>
      </c>
      <c r="S426" s="4">
        <f>R426*_xlfn.XLOOKUP(I426,Lookup_Lists!$A$2:$A$5,Lookup_Lists!$B$2:$B$5)-Q426-IF(T426="Yes",R426*0.2,0)</f>
        <v>-155.11240000000043</v>
      </c>
      <c r="T426" t="s">
        <v>119</v>
      </c>
      <c r="U426" s="6">
        <v>3.5</v>
      </c>
      <c r="V426" s="7">
        <f t="shared" si="13"/>
        <v>4</v>
      </c>
      <c r="W426">
        <f>IF(SalesDataTable[[#This Row],[Returned]]="Yes",1,0)</f>
        <v>1</v>
      </c>
    </row>
    <row r="427" spans="1:23">
      <c r="A427" t="s">
        <v>690</v>
      </c>
      <c r="B427" s="3">
        <v>45913</v>
      </c>
      <c r="C427" s="3">
        <v>45919</v>
      </c>
      <c r="D427" t="s">
        <v>23</v>
      </c>
      <c r="E427" t="s">
        <v>81</v>
      </c>
      <c r="F427" t="s">
        <v>25</v>
      </c>
      <c r="G427" t="s">
        <v>36</v>
      </c>
      <c r="H427" t="s">
        <v>37</v>
      </c>
      <c r="I427" t="s">
        <v>28</v>
      </c>
      <c r="J427" t="s">
        <v>99</v>
      </c>
      <c r="K427" t="s">
        <v>99</v>
      </c>
      <c r="L427" t="s">
        <v>30</v>
      </c>
      <c r="M427" t="s">
        <v>89</v>
      </c>
      <c r="N427">
        <v>3</v>
      </c>
      <c r="O427" s="4">
        <v>3625.95</v>
      </c>
      <c r="P427" s="5">
        <v>0.05</v>
      </c>
      <c r="Q427" s="4">
        <v>508.8</v>
      </c>
      <c r="R427" s="4">
        <f t="shared" si="12"/>
        <v>10333.957499999999</v>
      </c>
      <c r="S427" s="4">
        <f>R427*_xlfn.XLOOKUP(I427,Lookup_Lists!$A$2:$A$5,Lookup_Lists!$B$2:$B$5)-Q427-IF(T427="Yes",R427*0.2,0)</f>
        <v>1351.3123499999997</v>
      </c>
      <c r="T427" t="s">
        <v>32</v>
      </c>
      <c r="U427" s="6">
        <v>3.4</v>
      </c>
      <c r="V427" s="7">
        <f t="shared" si="13"/>
        <v>6</v>
      </c>
      <c r="W427">
        <f>IF(SalesDataTable[[#This Row],[Returned]]="Yes",1,0)</f>
        <v>0</v>
      </c>
    </row>
    <row r="428" spans="1:23">
      <c r="A428" t="s">
        <v>691</v>
      </c>
      <c r="B428" s="3">
        <v>45912</v>
      </c>
      <c r="C428" s="3">
        <v>45916</v>
      </c>
      <c r="D428" t="s">
        <v>602</v>
      </c>
      <c r="E428" t="s">
        <v>35</v>
      </c>
      <c r="F428" t="s">
        <v>25</v>
      </c>
      <c r="G428" t="s">
        <v>43</v>
      </c>
      <c r="H428" t="s">
        <v>122</v>
      </c>
      <c r="I428" t="s">
        <v>52</v>
      </c>
      <c r="J428" t="s">
        <v>114</v>
      </c>
      <c r="K428" t="s">
        <v>114</v>
      </c>
      <c r="L428" t="s">
        <v>60</v>
      </c>
      <c r="M428" t="s">
        <v>89</v>
      </c>
      <c r="N428">
        <v>2</v>
      </c>
      <c r="O428" s="4">
        <v>9256.49</v>
      </c>
      <c r="P428" s="5">
        <v>0</v>
      </c>
      <c r="Q428" s="4">
        <v>619.70000000000005</v>
      </c>
      <c r="R428" s="4">
        <f t="shared" si="12"/>
        <v>18512.98</v>
      </c>
      <c r="S428" s="4">
        <f>R428*_xlfn.XLOOKUP(I428,Lookup_Lists!$A$2:$A$5,Lookup_Lists!$B$2:$B$5)-Q428-IF(T428="Yes",R428*0.2,0)</f>
        <v>491.07880000000068</v>
      </c>
      <c r="T428" t="s">
        <v>119</v>
      </c>
      <c r="U428" s="6">
        <v>2.7</v>
      </c>
      <c r="V428" s="7">
        <f t="shared" si="13"/>
        <v>4</v>
      </c>
      <c r="W428">
        <f>IF(SalesDataTable[[#This Row],[Returned]]="Yes",1,0)</f>
        <v>1</v>
      </c>
    </row>
    <row r="429" spans="1:23">
      <c r="A429" t="s">
        <v>692</v>
      </c>
      <c r="B429" s="3">
        <v>45813</v>
      </c>
      <c r="C429" s="3">
        <v>45819</v>
      </c>
      <c r="D429" t="s">
        <v>504</v>
      </c>
      <c r="E429" t="s">
        <v>70</v>
      </c>
      <c r="F429" t="s">
        <v>25</v>
      </c>
      <c r="G429" t="s">
        <v>26</v>
      </c>
      <c r="H429" t="s">
        <v>82</v>
      </c>
      <c r="I429" t="s">
        <v>38</v>
      </c>
      <c r="J429" t="s">
        <v>45</v>
      </c>
      <c r="K429" t="s">
        <v>45</v>
      </c>
      <c r="L429" t="s">
        <v>30</v>
      </c>
      <c r="M429" t="s">
        <v>31</v>
      </c>
      <c r="N429">
        <v>3</v>
      </c>
      <c r="O429" s="4">
        <v>280.29000000000002</v>
      </c>
      <c r="P429" s="5">
        <v>0.1</v>
      </c>
      <c r="Q429" s="4">
        <v>418.77</v>
      </c>
      <c r="R429" s="4">
        <f t="shared" si="12"/>
        <v>756.78300000000013</v>
      </c>
      <c r="S429" s="4">
        <f>R429*_xlfn.XLOOKUP(I429,Lookup_Lists!$A$2:$A$5,Lookup_Lists!$B$2:$B$5)-Q429-IF(T429="Yes",R429*0.2,0)</f>
        <v>-176.59943999999993</v>
      </c>
      <c r="T429" t="s">
        <v>32</v>
      </c>
      <c r="U429" s="6">
        <v>3.9</v>
      </c>
      <c r="V429" s="7">
        <f t="shared" si="13"/>
        <v>6</v>
      </c>
      <c r="W429">
        <f>IF(SalesDataTable[[#This Row],[Returned]]="Yes",1,0)</f>
        <v>0</v>
      </c>
    </row>
    <row r="430" spans="1:23">
      <c r="A430" t="s">
        <v>693</v>
      </c>
      <c r="B430" s="3">
        <v>45738</v>
      </c>
      <c r="C430" s="3">
        <v>45743</v>
      </c>
      <c r="D430" t="s">
        <v>439</v>
      </c>
      <c r="E430" t="s">
        <v>35</v>
      </c>
      <c r="F430" t="s">
        <v>25</v>
      </c>
      <c r="G430" t="s">
        <v>36</v>
      </c>
      <c r="H430" t="s">
        <v>138</v>
      </c>
      <c r="I430" t="s">
        <v>38</v>
      </c>
      <c r="J430" t="s">
        <v>72</v>
      </c>
      <c r="K430" t="s">
        <v>72</v>
      </c>
      <c r="L430" t="s">
        <v>30</v>
      </c>
      <c r="M430" t="s">
        <v>55</v>
      </c>
      <c r="N430">
        <v>2</v>
      </c>
      <c r="O430" s="4">
        <v>159.91999999999999</v>
      </c>
      <c r="P430" s="5">
        <v>0</v>
      </c>
      <c r="Q430" s="4">
        <v>561.85</v>
      </c>
      <c r="R430" s="4">
        <f t="shared" si="12"/>
        <v>319.83999999999997</v>
      </c>
      <c r="S430" s="4">
        <f>R430*_xlfn.XLOOKUP(I430,Lookup_Lists!$A$2:$A$5,Lookup_Lists!$B$2:$B$5)-Q430-IF(T430="Yes",R430*0.2,0)</f>
        <v>-459.50120000000004</v>
      </c>
      <c r="T430" t="s">
        <v>32</v>
      </c>
      <c r="U430" s="6">
        <v>4.3</v>
      </c>
      <c r="V430" s="7">
        <f t="shared" si="13"/>
        <v>5</v>
      </c>
      <c r="W430">
        <f>IF(SalesDataTable[[#This Row],[Returned]]="Yes",1,0)</f>
        <v>0</v>
      </c>
    </row>
    <row r="431" spans="1:23">
      <c r="A431" t="s">
        <v>694</v>
      </c>
      <c r="B431" s="3">
        <v>45978</v>
      </c>
      <c r="C431" s="3">
        <v>45981</v>
      </c>
      <c r="D431" t="s">
        <v>159</v>
      </c>
      <c r="E431" t="s">
        <v>35</v>
      </c>
      <c r="F431" t="s">
        <v>25</v>
      </c>
      <c r="G431" t="s">
        <v>43</v>
      </c>
      <c r="H431" t="s">
        <v>44</v>
      </c>
      <c r="I431" t="s">
        <v>58</v>
      </c>
      <c r="J431" t="s">
        <v>92</v>
      </c>
      <c r="K431" t="s">
        <v>92</v>
      </c>
      <c r="L431" t="s">
        <v>30</v>
      </c>
      <c r="M431" t="s">
        <v>40</v>
      </c>
      <c r="N431">
        <v>1</v>
      </c>
      <c r="O431" s="4">
        <v>8275.85</v>
      </c>
      <c r="P431" s="5">
        <v>0</v>
      </c>
      <c r="Q431" s="4">
        <v>596.29</v>
      </c>
      <c r="R431" s="4">
        <f t="shared" si="12"/>
        <v>8275.85</v>
      </c>
      <c r="S431" s="4">
        <f>R431*_xlfn.XLOOKUP(I431,Lookup_Lists!$A$2:$A$5,Lookup_Lists!$B$2:$B$5)-Q431-IF(T431="Yes",R431*0.2,0)</f>
        <v>1389.914</v>
      </c>
      <c r="T431" t="s">
        <v>32</v>
      </c>
      <c r="U431" s="6">
        <v>4.2</v>
      </c>
      <c r="V431" s="7">
        <f t="shared" si="13"/>
        <v>3</v>
      </c>
      <c r="W431">
        <f>IF(SalesDataTable[[#This Row],[Returned]]="Yes",1,0)</f>
        <v>0</v>
      </c>
    </row>
    <row r="432" spans="1:23">
      <c r="A432" t="s">
        <v>695</v>
      </c>
      <c r="B432" s="3">
        <v>45716</v>
      </c>
      <c r="C432" s="3">
        <v>45719</v>
      </c>
      <c r="D432" t="s">
        <v>688</v>
      </c>
      <c r="E432" t="s">
        <v>35</v>
      </c>
      <c r="F432" t="s">
        <v>25</v>
      </c>
      <c r="G432" t="s">
        <v>43</v>
      </c>
      <c r="H432" t="s">
        <v>122</v>
      </c>
      <c r="I432" t="s">
        <v>58</v>
      </c>
      <c r="J432" t="s">
        <v>88</v>
      </c>
      <c r="K432" t="s">
        <v>88</v>
      </c>
      <c r="L432" t="s">
        <v>46</v>
      </c>
      <c r="M432" t="s">
        <v>47</v>
      </c>
      <c r="N432">
        <v>1</v>
      </c>
      <c r="O432" s="4">
        <v>7839.27</v>
      </c>
      <c r="P432" s="5">
        <v>0.05</v>
      </c>
      <c r="Q432" s="4">
        <v>759.47</v>
      </c>
      <c r="R432" s="4">
        <f t="shared" si="12"/>
        <v>7447.3064999999997</v>
      </c>
      <c r="S432" s="4">
        <f>R432*_xlfn.XLOOKUP(I432,Lookup_Lists!$A$2:$A$5,Lookup_Lists!$B$2:$B$5)-Q432-IF(T432="Yes",R432*0.2,0)</f>
        <v>1027.8835599999998</v>
      </c>
      <c r="T432" t="s">
        <v>32</v>
      </c>
      <c r="U432" s="6">
        <v>3.9</v>
      </c>
      <c r="V432" s="7">
        <f t="shared" si="13"/>
        <v>3</v>
      </c>
      <c r="W432">
        <f>IF(SalesDataTable[[#This Row],[Returned]]="Yes",1,0)</f>
        <v>0</v>
      </c>
    </row>
    <row r="433" spans="1:23">
      <c r="A433" t="s">
        <v>696</v>
      </c>
      <c r="B433" s="3">
        <v>45908</v>
      </c>
      <c r="C433" s="3">
        <v>45909</v>
      </c>
      <c r="D433" t="s">
        <v>457</v>
      </c>
      <c r="E433" t="s">
        <v>70</v>
      </c>
      <c r="F433" t="s">
        <v>25</v>
      </c>
      <c r="G433" t="s">
        <v>43</v>
      </c>
      <c r="H433" t="s">
        <v>102</v>
      </c>
      <c r="I433" t="s">
        <v>58</v>
      </c>
      <c r="J433" t="s">
        <v>59</v>
      </c>
      <c r="K433" t="s">
        <v>59</v>
      </c>
      <c r="L433" t="s">
        <v>54</v>
      </c>
      <c r="M433" t="s">
        <v>55</v>
      </c>
      <c r="N433">
        <v>2</v>
      </c>
      <c r="O433" s="4">
        <v>6570.18</v>
      </c>
      <c r="P433" s="5">
        <v>0.05</v>
      </c>
      <c r="Q433" s="4">
        <v>760.09</v>
      </c>
      <c r="R433" s="4">
        <f t="shared" si="12"/>
        <v>12483.342000000001</v>
      </c>
      <c r="S433" s="4">
        <f>R433*_xlfn.XLOOKUP(I433,Lookup_Lists!$A$2:$A$5,Lookup_Lists!$B$2:$B$5)-Q433-IF(T433="Yes",R433*0.2,0)</f>
        <v>2235.9120800000001</v>
      </c>
      <c r="T433" t="s">
        <v>32</v>
      </c>
      <c r="U433" s="6">
        <v>4.7</v>
      </c>
      <c r="V433" s="7">
        <f t="shared" si="13"/>
        <v>1</v>
      </c>
      <c r="W433">
        <f>IF(SalesDataTable[[#This Row],[Returned]]="Yes",1,0)</f>
        <v>0</v>
      </c>
    </row>
    <row r="434" spans="1:23">
      <c r="A434" t="s">
        <v>697</v>
      </c>
      <c r="B434" s="3">
        <v>45932</v>
      </c>
      <c r="C434" s="3">
        <v>45934</v>
      </c>
      <c r="D434" t="s">
        <v>539</v>
      </c>
      <c r="E434" t="s">
        <v>35</v>
      </c>
      <c r="F434" t="s">
        <v>25</v>
      </c>
      <c r="G434" t="s">
        <v>43</v>
      </c>
      <c r="H434" t="s">
        <v>102</v>
      </c>
      <c r="I434" t="s">
        <v>38</v>
      </c>
      <c r="J434" t="s">
        <v>130</v>
      </c>
      <c r="K434" t="s">
        <v>130</v>
      </c>
      <c r="L434" t="s">
        <v>30</v>
      </c>
      <c r="M434" t="s">
        <v>89</v>
      </c>
      <c r="N434">
        <v>3</v>
      </c>
      <c r="O434" s="4">
        <v>737.42</v>
      </c>
      <c r="P434" s="5">
        <v>0.05</v>
      </c>
      <c r="Q434" s="4">
        <v>269</v>
      </c>
      <c r="R434" s="4">
        <f t="shared" si="12"/>
        <v>2101.6469999999995</v>
      </c>
      <c r="S434" s="4">
        <f>R434*_xlfn.XLOOKUP(I434,Lookup_Lists!$A$2:$A$5,Lookup_Lists!$B$2:$B$5)-Q434-IF(T434="Yes",R434*0.2,0)</f>
        <v>403.52703999999983</v>
      </c>
      <c r="T434" t="s">
        <v>32</v>
      </c>
      <c r="U434" s="6">
        <v>3.9</v>
      </c>
      <c r="V434" s="7">
        <f t="shared" si="13"/>
        <v>2</v>
      </c>
      <c r="W434">
        <f>IF(SalesDataTable[[#This Row],[Returned]]="Yes",1,0)</f>
        <v>0</v>
      </c>
    </row>
    <row r="435" spans="1:23">
      <c r="A435" t="s">
        <v>698</v>
      </c>
      <c r="B435" s="3">
        <v>45835</v>
      </c>
      <c r="C435" s="3">
        <v>45842</v>
      </c>
      <c r="D435" t="s">
        <v>206</v>
      </c>
      <c r="E435" t="s">
        <v>70</v>
      </c>
      <c r="F435" t="s">
        <v>25</v>
      </c>
      <c r="G435" t="s">
        <v>43</v>
      </c>
      <c r="H435" t="s">
        <v>44</v>
      </c>
      <c r="I435" t="s">
        <v>58</v>
      </c>
      <c r="J435" t="s">
        <v>59</v>
      </c>
      <c r="K435" t="s">
        <v>59</v>
      </c>
      <c r="L435" t="s">
        <v>54</v>
      </c>
      <c r="M435" t="s">
        <v>47</v>
      </c>
      <c r="N435">
        <v>1</v>
      </c>
      <c r="O435" s="4">
        <v>6724.97</v>
      </c>
      <c r="P435" s="5">
        <v>0.1</v>
      </c>
      <c r="Q435" s="4">
        <v>492.99</v>
      </c>
      <c r="R435" s="4">
        <f t="shared" si="12"/>
        <v>6052.473</v>
      </c>
      <c r="S435" s="4">
        <f>R435*_xlfn.XLOOKUP(I435,Lookup_Lists!$A$2:$A$5,Lookup_Lists!$B$2:$B$5)-Q435-IF(T435="Yes",R435*0.2,0)</f>
        <v>959.60351999999989</v>
      </c>
      <c r="T435" t="s">
        <v>32</v>
      </c>
      <c r="U435" s="6">
        <v>4.2</v>
      </c>
      <c r="V435" s="7">
        <f t="shared" si="13"/>
        <v>7</v>
      </c>
      <c r="W435">
        <f>IF(SalesDataTable[[#This Row],[Returned]]="Yes",1,0)</f>
        <v>0</v>
      </c>
    </row>
    <row r="436" spans="1:23">
      <c r="A436" t="s">
        <v>699</v>
      </c>
      <c r="B436" s="3">
        <v>45979</v>
      </c>
      <c r="C436" s="3">
        <v>45985</v>
      </c>
      <c r="D436" t="s">
        <v>397</v>
      </c>
      <c r="E436" t="s">
        <v>24</v>
      </c>
      <c r="F436" t="s">
        <v>25</v>
      </c>
      <c r="G436" t="s">
        <v>36</v>
      </c>
      <c r="H436" t="s">
        <v>145</v>
      </c>
      <c r="I436" t="s">
        <v>38</v>
      </c>
      <c r="J436" t="s">
        <v>45</v>
      </c>
      <c r="K436" t="s">
        <v>45</v>
      </c>
      <c r="L436" t="s">
        <v>54</v>
      </c>
      <c r="M436" t="s">
        <v>31</v>
      </c>
      <c r="N436">
        <v>4</v>
      </c>
      <c r="O436" s="4">
        <v>295.32</v>
      </c>
      <c r="P436" s="5">
        <v>0.2</v>
      </c>
      <c r="Q436" s="4">
        <v>630.46</v>
      </c>
      <c r="R436" s="4">
        <f t="shared" si="12"/>
        <v>945.024</v>
      </c>
      <c r="S436" s="4">
        <f>R436*_xlfn.XLOOKUP(I436,Lookup_Lists!$A$2:$A$5,Lookup_Lists!$B$2:$B$5)-Q436-IF(T436="Yes",R436*0.2,0)</f>
        <v>-328.05232000000001</v>
      </c>
      <c r="T436" t="s">
        <v>32</v>
      </c>
      <c r="U436" s="6">
        <v>4.5</v>
      </c>
      <c r="V436" s="7">
        <f t="shared" si="13"/>
        <v>6</v>
      </c>
      <c r="W436">
        <f>IF(SalesDataTable[[#This Row],[Returned]]="Yes",1,0)</f>
        <v>0</v>
      </c>
    </row>
    <row r="437" spans="1:23">
      <c r="A437" t="s">
        <v>700</v>
      </c>
      <c r="B437" s="3">
        <v>45894</v>
      </c>
      <c r="C437" s="3">
        <v>45896</v>
      </c>
      <c r="D437" t="s">
        <v>77</v>
      </c>
      <c r="E437" t="s">
        <v>35</v>
      </c>
      <c r="F437" t="s">
        <v>25</v>
      </c>
      <c r="G437" t="s">
        <v>43</v>
      </c>
      <c r="H437" t="s">
        <v>102</v>
      </c>
      <c r="I437" t="s">
        <v>58</v>
      </c>
      <c r="J437" t="s">
        <v>92</v>
      </c>
      <c r="K437" t="s">
        <v>92</v>
      </c>
      <c r="L437" t="s">
        <v>30</v>
      </c>
      <c r="M437" t="s">
        <v>47</v>
      </c>
      <c r="N437">
        <v>1</v>
      </c>
      <c r="O437" s="4">
        <v>8211.9599999999991</v>
      </c>
      <c r="P437" s="5">
        <v>0</v>
      </c>
      <c r="Q437" s="4">
        <v>594.69000000000005</v>
      </c>
      <c r="R437" s="4">
        <f t="shared" si="12"/>
        <v>8211.9599999999991</v>
      </c>
      <c r="S437" s="4">
        <f>R437*_xlfn.XLOOKUP(I437,Lookup_Lists!$A$2:$A$5,Lookup_Lists!$B$2:$B$5)-Q437-IF(T437="Yes",R437*0.2,0)</f>
        <v>1376.1803999999997</v>
      </c>
      <c r="T437" t="s">
        <v>32</v>
      </c>
      <c r="U437" s="6">
        <v>4.5</v>
      </c>
      <c r="V437" s="7">
        <f t="shared" si="13"/>
        <v>2</v>
      </c>
      <c r="W437">
        <f>IF(SalesDataTable[[#This Row],[Returned]]="Yes",1,0)</f>
        <v>0</v>
      </c>
    </row>
    <row r="438" spans="1:23">
      <c r="A438" t="s">
        <v>701</v>
      </c>
      <c r="B438" s="3">
        <v>45780</v>
      </c>
      <c r="C438" s="3">
        <v>45781</v>
      </c>
      <c r="D438" t="s">
        <v>242</v>
      </c>
      <c r="E438" t="s">
        <v>35</v>
      </c>
      <c r="F438" t="s">
        <v>25</v>
      </c>
      <c r="G438" t="s">
        <v>26</v>
      </c>
      <c r="H438" t="s">
        <v>82</v>
      </c>
      <c r="I438" t="s">
        <v>58</v>
      </c>
      <c r="J438" t="s">
        <v>88</v>
      </c>
      <c r="K438" t="s">
        <v>88</v>
      </c>
      <c r="L438" t="s">
        <v>46</v>
      </c>
      <c r="M438" t="s">
        <v>89</v>
      </c>
      <c r="N438">
        <v>1</v>
      </c>
      <c r="O438" s="4">
        <v>6925.06</v>
      </c>
      <c r="P438" s="5">
        <v>0</v>
      </c>
      <c r="Q438" s="4">
        <v>633.99</v>
      </c>
      <c r="R438" s="4">
        <f t="shared" si="12"/>
        <v>6925.06</v>
      </c>
      <c r="S438" s="4">
        <f>R438*_xlfn.XLOOKUP(I438,Lookup_Lists!$A$2:$A$5,Lookup_Lists!$B$2:$B$5)-Q438-IF(T438="Yes",R438*0.2,0)</f>
        <v>1028.0244</v>
      </c>
      <c r="T438" t="s">
        <v>32</v>
      </c>
      <c r="U438" s="6">
        <v>3.7</v>
      </c>
      <c r="V438" s="7">
        <f t="shared" si="13"/>
        <v>1</v>
      </c>
      <c r="W438">
        <f>IF(SalesDataTable[[#This Row],[Returned]]="Yes",1,0)</f>
        <v>0</v>
      </c>
    </row>
    <row r="439" spans="1:23">
      <c r="A439" t="s">
        <v>702</v>
      </c>
      <c r="B439" s="3">
        <v>45679</v>
      </c>
      <c r="C439" s="3">
        <v>45685</v>
      </c>
      <c r="D439" t="s">
        <v>383</v>
      </c>
      <c r="E439" t="s">
        <v>24</v>
      </c>
      <c r="F439" t="s">
        <v>25</v>
      </c>
      <c r="G439" t="s">
        <v>50</v>
      </c>
      <c r="H439" t="s">
        <v>78</v>
      </c>
      <c r="I439" t="s">
        <v>28</v>
      </c>
      <c r="J439" t="s">
        <v>123</v>
      </c>
      <c r="K439" t="s">
        <v>123</v>
      </c>
      <c r="L439" t="s">
        <v>64</v>
      </c>
      <c r="M439" t="s">
        <v>47</v>
      </c>
      <c r="N439">
        <v>5</v>
      </c>
      <c r="O439" s="4">
        <v>1946.7</v>
      </c>
      <c r="P439" s="5">
        <v>0.15</v>
      </c>
      <c r="Q439" s="4">
        <v>452.23</v>
      </c>
      <c r="R439" s="4">
        <f t="shared" si="12"/>
        <v>8273.4750000000004</v>
      </c>
      <c r="S439" s="4">
        <f>R439*_xlfn.XLOOKUP(I439,Lookup_Lists!$A$2:$A$5,Lookup_Lists!$B$2:$B$5)-Q439-IF(T439="Yes",R439*0.2,0)</f>
        <v>1036.9955</v>
      </c>
      <c r="T439" t="s">
        <v>32</v>
      </c>
      <c r="U439" s="6">
        <v>4</v>
      </c>
      <c r="V439" s="7">
        <f t="shared" si="13"/>
        <v>6</v>
      </c>
      <c r="W439">
        <f>IF(SalesDataTable[[#This Row],[Returned]]="Yes",1,0)</f>
        <v>0</v>
      </c>
    </row>
    <row r="440" spans="1:23">
      <c r="A440" t="s">
        <v>703</v>
      </c>
      <c r="B440" s="3">
        <v>45729</v>
      </c>
      <c r="C440" s="3">
        <v>45731</v>
      </c>
      <c r="D440" t="s">
        <v>704</v>
      </c>
      <c r="E440" t="s">
        <v>70</v>
      </c>
      <c r="F440" t="s">
        <v>25</v>
      </c>
      <c r="G440" t="s">
        <v>50</v>
      </c>
      <c r="H440" t="s">
        <v>71</v>
      </c>
      <c r="I440" t="s">
        <v>58</v>
      </c>
      <c r="J440" t="s">
        <v>92</v>
      </c>
      <c r="K440" t="s">
        <v>92</v>
      </c>
      <c r="L440" t="s">
        <v>54</v>
      </c>
      <c r="M440" t="s">
        <v>89</v>
      </c>
      <c r="N440">
        <v>4</v>
      </c>
      <c r="O440" s="4">
        <v>8279.2000000000007</v>
      </c>
      <c r="P440" s="5">
        <v>0.15</v>
      </c>
      <c r="Q440" s="4">
        <v>996.98</v>
      </c>
      <c r="R440" s="4">
        <f t="shared" si="12"/>
        <v>28149.280000000002</v>
      </c>
      <c r="S440" s="4">
        <f>R440*_xlfn.XLOOKUP(I440,Lookup_Lists!$A$2:$A$5,Lookup_Lists!$B$2:$B$5)-Q440-IF(T440="Yes",R440*0.2,0)</f>
        <v>5758.8472000000002</v>
      </c>
      <c r="T440" t="s">
        <v>32</v>
      </c>
      <c r="U440" s="6">
        <v>4.3</v>
      </c>
      <c r="V440" s="7">
        <f t="shared" si="13"/>
        <v>2</v>
      </c>
      <c r="W440">
        <f>IF(SalesDataTable[[#This Row],[Returned]]="Yes",1,0)</f>
        <v>0</v>
      </c>
    </row>
    <row r="441" spans="1:23">
      <c r="A441" t="s">
        <v>705</v>
      </c>
      <c r="B441" s="3">
        <v>45769</v>
      </c>
      <c r="C441" s="3">
        <v>45771</v>
      </c>
      <c r="D441" t="s">
        <v>74</v>
      </c>
      <c r="E441" t="s">
        <v>35</v>
      </c>
      <c r="F441" t="s">
        <v>25</v>
      </c>
      <c r="G441" t="s">
        <v>43</v>
      </c>
      <c r="H441" t="s">
        <v>102</v>
      </c>
      <c r="I441" t="s">
        <v>58</v>
      </c>
      <c r="J441" t="s">
        <v>92</v>
      </c>
      <c r="K441" t="s">
        <v>92</v>
      </c>
      <c r="L441" t="s">
        <v>46</v>
      </c>
      <c r="M441" t="s">
        <v>55</v>
      </c>
      <c r="N441">
        <v>3</v>
      </c>
      <c r="O441" s="4">
        <v>7768.05</v>
      </c>
      <c r="P441" s="5">
        <v>0.05</v>
      </c>
      <c r="Q441" s="4">
        <v>700.23</v>
      </c>
      <c r="R441" s="4">
        <f t="shared" si="12"/>
        <v>22138.942500000001</v>
      </c>
      <c r="S441" s="4">
        <f>R441*_xlfn.XLOOKUP(I441,Lookup_Lists!$A$2:$A$5,Lookup_Lists!$B$2:$B$5)-Q441-IF(T441="Yes",R441*0.2,0)</f>
        <v>4613.1162000000004</v>
      </c>
      <c r="T441" t="s">
        <v>32</v>
      </c>
      <c r="U441" s="6">
        <v>3.3</v>
      </c>
      <c r="V441" s="7">
        <f t="shared" si="13"/>
        <v>2</v>
      </c>
      <c r="W441">
        <f>IF(SalesDataTable[[#This Row],[Returned]]="Yes",1,0)</f>
        <v>0</v>
      </c>
    </row>
    <row r="442" spans="1:23">
      <c r="A442" t="s">
        <v>706</v>
      </c>
      <c r="B442" s="3">
        <v>45800</v>
      </c>
      <c r="C442" s="3">
        <v>45807</v>
      </c>
      <c r="D442" t="s">
        <v>480</v>
      </c>
      <c r="E442" t="s">
        <v>35</v>
      </c>
      <c r="F442" t="s">
        <v>25</v>
      </c>
      <c r="G442" t="s">
        <v>43</v>
      </c>
      <c r="H442" t="s">
        <v>44</v>
      </c>
      <c r="I442" t="s">
        <v>28</v>
      </c>
      <c r="J442" t="s">
        <v>99</v>
      </c>
      <c r="K442" t="s">
        <v>99</v>
      </c>
      <c r="L442" t="s">
        <v>54</v>
      </c>
      <c r="M442" t="s">
        <v>89</v>
      </c>
      <c r="N442">
        <v>3</v>
      </c>
      <c r="O442" s="4">
        <v>3908.24</v>
      </c>
      <c r="P442" s="5">
        <v>0</v>
      </c>
      <c r="Q442" s="4">
        <v>570.92999999999995</v>
      </c>
      <c r="R442" s="4">
        <f t="shared" si="12"/>
        <v>11724.72</v>
      </c>
      <c r="S442" s="4">
        <f>R442*_xlfn.XLOOKUP(I442,Lookup_Lists!$A$2:$A$5,Lookup_Lists!$B$2:$B$5)-Q442-IF(T442="Yes",R442*0.2,0)</f>
        <v>1539.5196000000001</v>
      </c>
      <c r="T442" t="s">
        <v>32</v>
      </c>
      <c r="U442" s="6">
        <v>4.7</v>
      </c>
      <c r="V442" s="7">
        <f t="shared" si="13"/>
        <v>7</v>
      </c>
      <c r="W442">
        <f>IF(SalesDataTable[[#This Row],[Returned]]="Yes",1,0)</f>
        <v>0</v>
      </c>
    </row>
    <row r="443" spans="1:23">
      <c r="A443" t="s">
        <v>707</v>
      </c>
      <c r="B443" s="3">
        <v>46008</v>
      </c>
      <c r="C443" s="3">
        <v>46009</v>
      </c>
      <c r="D443" t="s">
        <v>614</v>
      </c>
      <c r="E443" t="s">
        <v>24</v>
      </c>
      <c r="F443" t="s">
        <v>25</v>
      </c>
      <c r="G443" t="s">
        <v>36</v>
      </c>
      <c r="H443" t="s">
        <v>138</v>
      </c>
      <c r="I443" t="s">
        <v>28</v>
      </c>
      <c r="J443" t="s">
        <v>111</v>
      </c>
      <c r="K443" t="s">
        <v>111</v>
      </c>
      <c r="L443" t="s">
        <v>60</v>
      </c>
      <c r="M443" t="s">
        <v>55</v>
      </c>
      <c r="N443">
        <v>2</v>
      </c>
      <c r="O443" s="4">
        <v>1393.08</v>
      </c>
      <c r="P443" s="5">
        <v>0.1</v>
      </c>
      <c r="Q443" s="4">
        <v>291.32</v>
      </c>
      <c r="R443" s="4">
        <f t="shared" si="12"/>
        <v>2507.5439999999999</v>
      </c>
      <c r="S443" s="4">
        <f>R443*_xlfn.XLOOKUP(I443,Lookup_Lists!$A$2:$A$5,Lookup_Lists!$B$2:$B$5)-Q443-IF(T443="Yes",R443*0.2,0)</f>
        <v>160.03791999999999</v>
      </c>
      <c r="T443" t="s">
        <v>32</v>
      </c>
      <c r="U443" s="6">
        <v>4.2</v>
      </c>
      <c r="V443" s="7">
        <f t="shared" si="13"/>
        <v>1</v>
      </c>
      <c r="W443">
        <f>IF(SalesDataTable[[#This Row],[Returned]]="Yes",1,0)</f>
        <v>0</v>
      </c>
    </row>
    <row r="444" spans="1:23">
      <c r="A444" t="s">
        <v>708</v>
      </c>
      <c r="B444" s="3">
        <v>45740</v>
      </c>
      <c r="C444" s="3">
        <v>45744</v>
      </c>
      <c r="D444" t="s">
        <v>183</v>
      </c>
      <c r="E444" t="s">
        <v>35</v>
      </c>
      <c r="F444" t="s">
        <v>25</v>
      </c>
      <c r="G444" t="s">
        <v>36</v>
      </c>
      <c r="H444" t="s">
        <v>126</v>
      </c>
      <c r="I444" t="s">
        <v>28</v>
      </c>
      <c r="J444" t="s">
        <v>29</v>
      </c>
      <c r="K444" t="s">
        <v>29</v>
      </c>
      <c r="L444" t="s">
        <v>64</v>
      </c>
      <c r="M444" t="s">
        <v>47</v>
      </c>
      <c r="N444">
        <v>2</v>
      </c>
      <c r="O444" s="4">
        <v>52202.2</v>
      </c>
      <c r="P444" s="5">
        <v>0.15</v>
      </c>
      <c r="Q444" s="4">
        <v>2054.98</v>
      </c>
      <c r="R444" s="4">
        <f t="shared" si="12"/>
        <v>88743.739999999991</v>
      </c>
      <c r="S444" s="4">
        <f>R444*_xlfn.XLOOKUP(I444,Lookup_Lists!$A$2:$A$5,Lookup_Lists!$B$2:$B$5)-Q444-IF(T444="Yes",R444*0.2,0)</f>
        <v>13918.893199999999</v>
      </c>
      <c r="T444" t="s">
        <v>32</v>
      </c>
      <c r="U444" s="6">
        <v>4.7</v>
      </c>
      <c r="V444" s="7">
        <f t="shared" si="13"/>
        <v>4</v>
      </c>
      <c r="W444">
        <f>IF(SalesDataTable[[#This Row],[Returned]]="Yes",1,0)</f>
        <v>0</v>
      </c>
    </row>
    <row r="445" spans="1:23">
      <c r="A445" t="s">
        <v>709</v>
      </c>
      <c r="B445" s="3">
        <v>46015</v>
      </c>
      <c r="C445" s="3">
        <v>46018</v>
      </c>
      <c r="D445" t="s">
        <v>602</v>
      </c>
      <c r="E445" t="s">
        <v>35</v>
      </c>
      <c r="F445" t="s">
        <v>25</v>
      </c>
      <c r="G445" t="s">
        <v>36</v>
      </c>
      <c r="H445" t="s">
        <v>37</v>
      </c>
      <c r="I445" t="s">
        <v>58</v>
      </c>
      <c r="J445" t="s">
        <v>92</v>
      </c>
      <c r="K445" t="s">
        <v>92</v>
      </c>
      <c r="L445" t="s">
        <v>30</v>
      </c>
      <c r="M445" t="s">
        <v>40</v>
      </c>
      <c r="N445">
        <v>3</v>
      </c>
      <c r="O445" s="4">
        <v>9497.1</v>
      </c>
      <c r="P445" s="5">
        <v>0</v>
      </c>
      <c r="Q445" s="4">
        <v>735.75</v>
      </c>
      <c r="R445" s="4">
        <f t="shared" si="12"/>
        <v>28491.300000000003</v>
      </c>
      <c r="S445" s="4">
        <f>R445*_xlfn.XLOOKUP(I445,Lookup_Lists!$A$2:$A$5,Lookup_Lists!$B$2:$B$5)-Q445-IF(T445="Yes",R445*0.2,0)</f>
        <v>6102.1620000000003</v>
      </c>
      <c r="T445" t="s">
        <v>32</v>
      </c>
      <c r="U445" s="6">
        <v>3.6</v>
      </c>
      <c r="V445" s="7">
        <f t="shared" si="13"/>
        <v>3</v>
      </c>
      <c r="W445">
        <f>IF(SalesDataTable[[#This Row],[Returned]]="Yes",1,0)</f>
        <v>0</v>
      </c>
    </row>
    <row r="446" spans="1:23">
      <c r="A446" t="s">
        <v>710</v>
      </c>
      <c r="B446" s="3">
        <v>45818</v>
      </c>
      <c r="C446" s="3">
        <v>45823</v>
      </c>
      <c r="D446" t="s">
        <v>245</v>
      </c>
      <c r="E446" t="s">
        <v>35</v>
      </c>
      <c r="F446" t="s">
        <v>25</v>
      </c>
      <c r="G446" t="s">
        <v>26</v>
      </c>
      <c r="H446" t="s">
        <v>27</v>
      </c>
      <c r="I446" t="s">
        <v>52</v>
      </c>
      <c r="J446" t="s">
        <v>53</v>
      </c>
      <c r="K446" t="s">
        <v>53</v>
      </c>
      <c r="L446" t="s">
        <v>64</v>
      </c>
      <c r="M446" t="s">
        <v>55</v>
      </c>
      <c r="N446">
        <v>2</v>
      </c>
      <c r="O446" s="4">
        <v>628.13</v>
      </c>
      <c r="P446" s="5">
        <v>0</v>
      </c>
      <c r="Q446" s="4">
        <v>197.73</v>
      </c>
      <c r="R446" s="4">
        <f t="shared" si="12"/>
        <v>1256.26</v>
      </c>
      <c r="S446" s="4">
        <f>R446*_xlfn.XLOOKUP(I446,Lookup_Lists!$A$2:$A$5,Lookup_Lists!$B$2:$B$5)-Q446-IF(T446="Yes",R446*0.2,0)</f>
        <v>128.89760000000004</v>
      </c>
      <c r="T446" t="s">
        <v>32</v>
      </c>
      <c r="U446" s="6">
        <v>4.2</v>
      </c>
      <c r="V446" s="7">
        <f t="shared" si="13"/>
        <v>5</v>
      </c>
      <c r="W446">
        <f>IF(SalesDataTable[[#This Row],[Returned]]="Yes",1,0)</f>
        <v>0</v>
      </c>
    </row>
    <row r="447" spans="1:23">
      <c r="A447" t="s">
        <v>711</v>
      </c>
      <c r="B447" s="3">
        <v>45701</v>
      </c>
      <c r="C447" s="3">
        <v>45705</v>
      </c>
      <c r="D447" t="s">
        <v>387</v>
      </c>
      <c r="E447" t="s">
        <v>35</v>
      </c>
      <c r="F447" t="s">
        <v>25</v>
      </c>
      <c r="G447" t="s">
        <v>36</v>
      </c>
      <c r="H447" t="s">
        <v>145</v>
      </c>
      <c r="I447" t="s">
        <v>28</v>
      </c>
      <c r="J447" t="s">
        <v>29</v>
      </c>
      <c r="K447" t="s">
        <v>29</v>
      </c>
      <c r="L447" t="s">
        <v>60</v>
      </c>
      <c r="M447" t="s">
        <v>31</v>
      </c>
      <c r="N447">
        <v>3</v>
      </c>
      <c r="O447" s="4">
        <v>59906.78</v>
      </c>
      <c r="P447" s="5">
        <v>0.25</v>
      </c>
      <c r="Q447" s="4">
        <v>2888.82</v>
      </c>
      <c r="R447" s="4">
        <f t="shared" si="12"/>
        <v>134790.255</v>
      </c>
      <c r="S447" s="4">
        <f>R447*_xlfn.XLOOKUP(I447,Lookup_Lists!$A$2:$A$5,Lookup_Lists!$B$2:$B$5)-Q447-IF(T447="Yes",R447*0.2,0)</f>
        <v>21373.425900000002</v>
      </c>
      <c r="T447" t="s">
        <v>32</v>
      </c>
      <c r="U447" s="6">
        <v>4.7</v>
      </c>
      <c r="V447" s="7">
        <f t="shared" si="13"/>
        <v>4</v>
      </c>
      <c r="W447">
        <f>IF(SalesDataTable[[#This Row],[Returned]]="Yes",1,0)</f>
        <v>0</v>
      </c>
    </row>
    <row r="448" spans="1:23">
      <c r="A448" t="s">
        <v>712</v>
      </c>
      <c r="B448" s="3">
        <v>45744</v>
      </c>
      <c r="C448" s="3">
        <v>45745</v>
      </c>
      <c r="D448" t="s">
        <v>66</v>
      </c>
      <c r="E448" t="s">
        <v>70</v>
      </c>
      <c r="F448" t="s">
        <v>25</v>
      </c>
      <c r="G448" t="s">
        <v>43</v>
      </c>
      <c r="H448" t="s">
        <v>63</v>
      </c>
      <c r="I448" t="s">
        <v>28</v>
      </c>
      <c r="J448" t="s">
        <v>123</v>
      </c>
      <c r="K448" t="s">
        <v>123</v>
      </c>
      <c r="L448" t="s">
        <v>54</v>
      </c>
      <c r="M448" t="s">
        <v>31</v>
      </c>
      <c r="N448">
        <v>1</v>
      </c>
      <c r="O448" s="4">
        <v>1972.04</v>
      </c>
      <c r="P448" s="5">
        <v>0</v>
      </c>
      <c r="Q448" s="4">
        <v>633.97</v>
      </c>
      <c r="R448" s="4">
        <f t="shared" si="12"/>
        <v>1972.04</v>
      </c>
      <c r="S448" s="4">
        <f>R448*_xlfn.XLOOKUP(I448,Lookup_Lists!$A$2:$A$5,Lookup_Lists!$B$2:$B$5)-Q448-IF(T448="Yes",R448*0.2,0)</f>
        <v>-279.00280000000004</v>
      </c>
      <c r="T448" t="s">
        <v>32</v>
      </c>
      <c r="U448" s="6">
        <v>4.2</v>
      </c>
      <c r="V448" s="7">
        <f t="shared" si="13"/>
        <v>1</v>
      </c>
      <c r="W448">
        <f>IF(SalesDataTable[[#This Row],[Returned]]="Yes",1,0)</f>
        <v>0</v>
      </c>
    </row>
    <row r="449" spans="1:23">
      <c r="A449" t="s">
        <v>713</v>
      </c>
      <c r="B449" s="3">
        <v>45762</v>
      </c>
      <c r="C449" s="3">
        <v>45764</v>
      </c>
      <c r="D449" t="s">
        <v>633</v>
      </c>
      <c r="E449" t="s">
        <v>24</v>
      </c>
      <c r="F449" t="s">
        <v>25</v>
      </c>
      <c r="G449" t="s">
        <v>43</v>
      </c>
      <c r="H449" t="s">
        <v>102</v>
      </c>
      <c r="I449" t="s">
        <v>58</v>
      </c>
      <c r="J449" t="s">
        <v>88</v>
      </c>
      <c r="K449" t="s">
        <v>88</v>
      </c>
      <c r="L449" t="s">
        <v>64</v>
      </c>
      <c r="M449" t="s">
        <v>31</v>
      </c>
      <c r="N449">
        <v>1</v>
      </c>
      <c r="O449" s="4">
        <v>8116.03</v>
      </c>
      <c r="P449" s="5">
        <v>0.1</v>
      </c>
      <c r="Q449" s="4">
        <v>309.68</v>
      </c>
      <c r="R449" s="4">
        <f t="shared" si="12"/>
        <v>7304.4269999999997</v>
      </c>
      <c r="S449" s="4">
        <f>R449*_xlfn.XLOOKUP(I449,Lookup_Lists!$A$2:$A$5,Lookup_Lists!$B$2:$B$5)-Q449-IF(T449="Yes",R449*0.2,0)</f>
        <v>1443.3824799999998</v>
      </c>
      <c r="T449" t="s">
        <v>32</v>
      </c>
      <c r="U449" s="6">
        <v>4.0999999999999996</v>
      </c>
      <c r="V449" s="7">
        <f t="shared" si="13"/>
        <v>2</v>
      </c>
      <c r="W449">
        <f>IF(SalesDataTable[[#This Row],[Returned]]="Yes",1,0)</f>
        <v>0</v>
      </c>
    </row>
    <row r="450" spans="1:23">
      <c r="A450" t="s">
        <v>714</v>
      </c>
      <c r="B450" s="3">
        <v>45732</v>
      </c>
      <c r="C450" s="3">
        <v>45733</v>
      </c>
      <c r="D450" t="s">
        <v>377</v>
      </c>
      <c r="E450" t="s">
        <v>81</v>
      </c>
      <c r="F450" t="s">
        <v>25</v>
      </c>
      <c r="G450" t="s">
        <v>26</v>
      </c>
      <c r="H450" t="s">
        <v>67</v>
      </c>
      <c r="I450" t="s">
        <v>52</v>
      </c>
      <c r="J450" t="s">
        <v>105</v>
      </c>
      <c r="K450" t="s">
        <v>105</v>
      </c>
      <c r="L450" t="s">
        <v>46</v>
      </c>
      <c r="M450" t="s">
        <v>47</v>
      </c>
      <c r="N450">
        <v>1</v>
      </c>
      <c r="O450" s="4">
        <v>1326.86</v>
      </c>
      <c r="P450" s="5">
        <v>0.15</v>
      </c>
      <c r="Q450" s="4">
        <v>655.30999999999995</v>
      </c>
      <c r="R450" s="4">
        <f t="shared" ref="R450:R501" si="14">N450*O450*(1-P450)</f>
        <v>1127.8309999999999</v>
      </c>
      <c r="S450" s="4">
        <f>R450*_xlfn.XLOOKUP(I450,Lookup_Lists!$A$2:$A$5,Lookup_Lists!$B$2:$B$5)-Q450-IF(T450="Yes",R450*0.2,0)</f>
        <v>-362.07393999999994</v>
      </c>
      <c r="T450" t="s">
        <v>32</v>
      </c>
      <c r="U450" s="6">
        <v>4.5</v>
      </c>
      <c r="V450" s="7">
        <f t="shared" ref="V450:V501" si="15">C450-B450</f>
        <v>1</v>
      </c>
      <c r="W450">
        <f>IF(SalesDataTable[[#This Row],[Returned]]="Yes",1,0)</f>
        <v>0</v>
      </c>
    </row>
    <row r="451" spans="1:23">
      <c r="A451" t="s">
        <v>715</v>
      </c>
      <c r="B451" s="3">
        <v>45874</v>
      </c>
      <c r="C451" s="3">
        <v>45880</v>
      </c>
      <c r="D451" t="s">
        <v>98</v>
      </c>
      <c r="E451" t="s">
        <v>35</v>
      </c>
      <c r="F451" t="s">
        <v>25</v>
      </c>
      <c r="G451" t="s">
        <v>50</v>
      </c>
      <c r="H451" t="s">
        <v>78</v>
      </c>
      <c r="I451" t="s">
        <v>28</v>
      </c>
      <c r="J451" t="s">
        <v>75</v>
      </c>
      <c r="K451" t="s">
        <v>75</v>
      </c>
      <c r="L451" t="s">
        <v>46</v>
      </c>
      <c r="M451" t="s">
        <v>55</v>
      </c>
      <c r="N451">
        <v>8</v>
      </c>
      <c r="O451" s="4">
        <v>12779.76</v>
      </c>
      <c r="P451" s="5">
        <v>0.25</v>
      </c>
      <c r="Q451" s="4">
        <v>1954.56</v>
      </c>
      <c r="R451" s="4">
        <f t="shared" si="14"/>
        <v>76678.559999999998</v>
      </c>
      <c r="S451" s="4">
        <f>R451*_xlfn.XLOOKUP(I451,Lookup_Lists!$A$2:$A$5,Lookup_Lists!$B$2:$B$5)-Q451-IF(T451="Yes",R451*0.2,0)</f>
        <v>11847.5808</v>
      </c>
      <c r="T451" t="s">
        <v>32</v>
      </c>
      <c r="U451" s="6">
        <v>4.7</v>
      </c>
      <c r="V451" s="7">
        <f t="shared" si="15"/>
        <v>6</v>
      </c>
      <c r="W451">
        <f>IF(SalesDataTable[[#This Row],[Returned]]="Yes",1,0)</f>
        <v>0</v>
      </c>
    </row>
    <row r="452" spans="1:23">
      <c r="A452" t="s">
        <v>716</v>
      </c>
      <c r="B452" s="3">
        <v>45681</v>
      </c>
      <c r="C452" s="3">
        <v>45682</v>
      </c>
      <c r="D452" t="s">
        <v>717</v>
      </c>
      <c r="E452" t="s">
        <v>70</v>
      </c>
      <c r="F452" t="s">
        <v>25</v>
      </c>
      <c r="G452" t="s">
        <v>36</v>
      </c>
      <c r="H452" t="s">
        <v>37</v>
      </c>
      <c r="I452" t="s">
        <v>52</v>
      </c>
      <c r="J452" t="s">
        <v>105</v>
      </c>
      <c r="K452" t="s">
        <v>105</v>
      </c>
      <c r="L452" t="s">
        <v>54</v>
      </c>
      <c r="M452" t="s">
        <v>31</v>
      </c>
      <c r="N452">
        <v>1</v>
      </c>
      <c r="O452" s="4">
        <v>1213.96</v>
      </c>
      <c r="P452" s="5">
        <v>0</v>
      </c>
      <c r="Q452" s="4">
        <v>379.13</v>
      </c>
      <c r="R452" s="4">
        <f t="shared" si="14"/>
        <v>1213.96</v>
      </c>
      <c r="S452" s="4">
        <f>R452*_xlfn.XLOOKUP(I452,Lookup_Lists!$A$2:$A$5,Lookup_Lists!$B$2:$B$5)-Q452-IF(T452="Yes",R452*0.2,0)</f>
        <v>-63.500399999999956</v>
      </c>
      <c r="T452" t="s">
        <v>32</v>
      </c>
      <c r="U452" s="6">
        <v>4.2</v>
      </c>
      <c r="V452" s="7">
        <f t="shared" si="15"/>
        <v>1</v>
      </c>
      <c r="W452">
        <f>IF(SalesDataTable[[#This Row],[Returned]]="Yes",1,0)</f>
        <v>0</v>
      </c>
    </row>
    <row r="453" spans="1:23">
      <c r="A453" t="s">
        <v>718</v>
      </c>
      <c r="B453" s="3">
        <v>46021</v>
      </c>
      <c r="C453" s="3">
        <v>46026</v>
      </c>
      <c r="D453" t="s">
        <v>113</v>
      </c>
      <c r="E453" t="s">
        <v>35</v>
      </c>
      <c r="F453" t="s">
        <v>25</v>
      </c>
      <c r="G453" t="s">
        <v>50</v>
      </c>
      <c r="H453" t="s">
        <v>71</v>
      </c>
      <c r="I453" t="s">
        <v>28</v>
      </c>
      <c r="J453" t="s">
        <v>75</v>
      </c>
      <c r="K453" t="s">
        <v>75</v>
      </c>
      <c r="L453" t="s">
        <v>46</v>
      </c>
      <c r="M453" t="s">
        <v>55</v>
      </c>
      <c r="N453">
        <v>4</v>
      </c>
      <c r="O453" s="4">
        <v>12736.58</v>
      </c>
      <c r="P453" s="5">
        <v>0</v>
      </c>
      <c r="Q453" s="4">
        <v>1344.05</v>
      </c>
      <c r="R453" s="4">
        <f t="shared" si="14"/>
        <v>50946.32</v>
      </c>
      <c r="S453" s="4">
        <f>R453*_xlfn.XLOOKUP(I453,Lookup_Lists!$A$2:$A$5,Lookup_Lists!$B$2:$B$5)-Q453-IF(T453="Yes",R453*0.2,0)</f>
        <v>7826.2875999999987</v>
      </c>
      <c r="T453" t="s">
        <v>32</v>
      </c>
      <c r="U453" s="6">
        <v>4.4000000000000004</v>
      </c>
      <c r="V453" s="7">
        <f t="shared" si="15"/>
        <v>5</v>
      </c>
      <c r="W453">
        <f>IF(SalesDataTable[[#This Row],[Returned]]="Yes",1,0)</f>
        <v>0</v>
      </c>
    </row>
    <row r="454" spans="1:23">
      <c r="A454" t="s">
        <v>719</v>
      </c>
      <c r="B454" s="3">
        <v>45793</v>
      </c>
      <c r="C454" s="3">
        <v>45798</v>
      </c>
      <c r="D454" t="s">
        <v>265</v>
      </c>
      <c r="E454" t="s">
        <v>35</v>
      </c>
      <c r="F454" t="s">
        <v>25</v>
      </c>
      <c r="G454" t="s">
        <v>26</v>
      </c>
      <c r="H454" t="s">
        <v>82</v>
      </c>
      <c r="I454" t="s">
        <v>38</v>
      </c>
      <c r="J454" t="s">
        <v>45</v>
      </c>
      <c r="K454" t="s">
        <v>45</v>
      </c>
      <c r="L454" t="s">
        <v>30</v>
      </c>
      <c r="M454" t="s">
        <v>40</v>
      </c>
      <c r="N454">
        <v>3</v>
      </c>
      <c r="O454" s="4">
        <v>300.77999999999997</v>
      </c>
      <c r="P454" s="5">
        <v>0.1</v>
      </c>
      <c r="Q454" s="4">
        <v>344.33</v>
      </c>
      <c r="R454" s="4">
        <f t="shared" si="14"/>
        <v>812.10599999999999</v>
      </c>
      <c r="S454" s="4">
        <f>R454*_xlfn.XLOOKUP(I454,Lookup_Lists!$A$2:$A$5,Lookup_Lists!$B$2:$B$5)-Q454-IF(T454="Yes",R454*0.2,0)</f>
        <v>-84.456079999999986</v>
      </c>
      <c r="T454" t="s">
        <v>32</v>
      </c>
      <c r="U454" s="6">
        <v>4.5999999999999996</v>
      </c>
      <c r="V454" s="7">
        <f t="shared" si="15"/>
        <v>5</v>
      </c>
      <c r="W454">
        <f>IF(SalesDataTable[[#This Row],[Returned]]="Yes",1,0)</f>
        <v>0</v>
      </c>
    </row>
    <row r="455" spans="1:23">
      <c r="A455" t="s">
        <v>720</v>
      </c>
      <c r="B455" s="3">
        <v>45898</v>
      </c>
      <c r="C455" s="3">
        <v>45901</v>
      </c>
      <c r="D455" t="s">
        <v>180</v>
      </c>
      <c r="E455" t="s">
        <v>24</v>
      </c>
      <c r="F455" t="s">
        <v>25</v>
      </c>
      <c r="G455" t="s">
        <v>36</v>
      </c>
      <c r="H455" t="s">
        <v>126</v>
      </c>
      <c r="I455" t="s">
        <v>52</v>
      </c>
      <c r="J455" t="s">
        <v>53</v>
      </c>
      <c r="K455" t="s">
        <v>53</v>
      </c>
      <c r="L455" t="s">
        <v>54</v>
      </c>
      <c r="M455" t="s">
        <v>55</v>
      </c>
      <c r="N455">
        <v>7</v>
      </c>
      <c r="O455" s="4">
        <v>576.54</v>
      </c>
      <c r="P455" s="5">
        <v>0.05</v>
      </c>
      <c r="Q455" s="4">
        <v>204.66</v>
      </c>
      <c r="R455" s="4">
        <f t="shared" si="14"/>
        <v>3833.9909999999995</v>
      </c>
      <c r="S455" s="4">
        <f>R455*_xlfn.XLOOKUP(I455,Lookup_Lists!$A$2:$A$5,Lookup_Lists!$B$2:$B$5)-Q455-IF(T455="Yes",R455*0.2,0)</f>
        <v>792.17765999999995</v>
      </c>
      <c r="T455" t="s">
        <v>32</v>
      </c>
      <c r="U455" s="6">
        <v>4.4000000000000004</v>
      </c>
      <c r="V455" s="7">
        <f t="shared" si="15"/>
        <v>3</v>
      </c>
      <c r="W455">
        <f>IF(SalesDataTable[[#This Row],[Returned]]="Yes",1,0)</f>
        <v>0</v>
      </c>
    </row>
    <row r="456" spans="1:23">
      <c r="A456" t="s">
        <v>721</v>
      </c>
      <c r="B456" s="3">
        <v>45733</v>
      </c>
      <c r="C456" s="3">
        <v>45734</v>
      </c>
      <c r="D456" t="s">
        <v>722</v>
      </c>
      <c r="E456" t="s">
        <v>35</v>
      </c>
      <c r="F456" t="s">
        <v>25</v>
      </c>
      <c r="G456" t="s">
        <v>43</v>
      </c>
      <c r="H456" t="s">
        <v>63</v>
      </c>
      <c r="I456" t="s">
        <v>52</v>
      </c>
      <c r="J456" t="s">
        <v>105</v>
      </c>
      <c r="K456" t="s">
        <v>105</v>
      </c>
      <c r="L456" t="s">
        <v>46</v>
      </c>
      <c r="M456" t="s">
        <v>31</v>
      </c>
      <c r="N456">
        <v>1</v>
      </c>
      <c r="O456" s="4">
        <v>1533.22</v>
      </c>
      <c r="P456" s="5">
        <v>0</v>
      </c>
      <c r="Q456" s="4">
        <v>540.1</v>
      </c>
      <c r="R456" s="4">
        <f t="shared" si="14"/>
        <v>1533.22</v>
      </c>
      <c r="S456" s="4">
        <f>R456*_xlfn.XLOOKUP(I456,Lookup_Lists!$A$2:$A$5,Lookup_Lists!$B$2:$B$5)-Q456-IF(T456="Yes",R456*0.2,0)</f>
        <v>-141.46280000000002</v>
      </c>
      <c r="T456" t="s">
        <v>32</v>
      </c>
      <c r="U456" s="6">
        <v>4.5999999999999996</v>
      </c>
      <c r="V456" s="7">
        <f t="shared" si="15"/>
        <v>1</v>
      </c>
      <c r="W456">
        <f>IF(SalesDataTable[[#This Row],[Returned]]="Yes",1,0)</f>
        <v>0</v>
      </c>
    </row>
    <row r="457" spans="1:23">
      <c r="A457" t="s">
        <v>723</v>
      </c>
      <c r="B457" s="3">
        <v>45913</v>
      </c>
      <c r="C457" s="3">
        <v>45919</v>
      </c>
      <c r="D457" t="s">
        <v>42</v>
      </c>
      <c r="E457" t="s">
        <v>81</v>
      </c>
      <c r="F457" t="s">
        <v>25</v>
      </c>
      <c r="G457" t="s">
        <v>50</v>
      </c>
      <c r="H457" t="s">
        <v>71</v>
      </c>
      <c r="I457" t="s">
        <v>38</v>
      </c>
      <c r="J457" t="s">
        <v>39</v>
      </c>
      <c r="K457" t="s">
        <v>39</v>
      </c>
      <c r="L457" t="s">
        <v>46</v>
      </c>
      <c r="M457" t="s">
        <v>31</v>
      </c>
      <c r="N457">
        <v>6</v>
      </c>
      <c r="O457" s="4">
        <v>382.96</v>
      </c>
      <c r="P457" s="5">
        <v>0</v>
      </c>
      <c r="Q457" s="4">
        <v>130.91999999999999</v>
      </c>
      <c r="R457" s="4">
        <f t="shared" si="14"/>
        <v>2297.7599999999998</v>
      </c>
      <c r="S457" s="4">
        <f>R457*_xlfn.XLOOKUP(I457,Lookup_Lists!$A$2:$A$5,Lookup_Lists!$B$2:$B$5)-Q457-IF(T457="Yes",R457*0.2,0)</f>
        <v>604.36320000000001</v>
      </c>
      <c r="T457" t="s">
        <v>32</v>
      </c>
      <c r="U457" s="6">
        <v>4.0999999999999996</v>
      </c>
      <c r="V457" s="7">
        <f t="shared" si="15"/>
        <v>6</v>
      </c>
      <c r="W457">
        <f>IF(SalesDataTable[[#This Row],[Returned]]="Yes",1,0)</f>
        <v>0</v>
      </c>
    </row>
    <row r="458" spans="1:23">
      <c r="A458" t="s">
        <v>724</v>
      </c>
      <c r="B458" s="3">
        <v>46020</v>
      </c>
      <c r="C458" s="3">
        <v>46026</v>
      </c>
      <c r="D458" t="s">
        <v>310</v>
      </c>
      <c r="E458" t="s">
        <v>70</v>
      </c>
      <c r="F458" t="s">
        <v>25</v>
      </c>
      <c r="G458" t="s">
        <v>43</v>
      </c>
      <c r="H458" t="s">
        <v>122</v>
      </c>
      <c r="I458" t="s">
        <v>58</v>
      </c>
      <c r="J458" t="s">
        <v>92</v>
      </c>
      <c r="K458" t="s">
        <v>92</v>
      </c>
      <c r="L458" t="s">
        <v>30</v>
      </c>
      <c r="M458" t="s">
        <v>47</v>
      </c>
      <c r="N458">
        <v>2</v>
      </c>
      <c r="O458" s="4">
        <v>9345.44</v>
      </c>
      <c r="P458" s="5">
        <v>0.1</v>
      </c>
      <c r="Q458" s="4">
        <v>906.08</v>
      </c>
      <c r="R458" s="4">
        <f t="shared" si="14"/>
        <v>16821.792000000001</v>
      </c>
      <c r="S458" s="4">
        <f>R458*_xlfn.XLOOKUP(I458,Lookup_Lists!$A$2:$A$5,Lookup_Lists!$B$2:$B$5)-Q458-IF(T458="Yes",R458*0.2,0)</f>
        <v>3131.1500800000003</v>
      </c>
      <c r="T458" t="s">
        <v>32</v>
      </c>
      <c r="U458" s="6">
        <v>4.3</v>
      </c>
      <c r="V458" s="7">
        <f t="shared" si="15"/>
        <v>6</v>
      </c>
      <c r="W458">
        <f>IF(SalesDataTable[[#This Row],[Returned]]="Yes",1,0)</f>
        <v>0</v>
      </c>
    </row>
    <row r="459" spans="1:23">
      <c r="A459" t="s">
        <v>725</v>
      </c>
      <c r="B459" s="3">
        <v>45987</v>
      </c>
      <c r="C459" s="3">
        <v>45990</v>
      </c>
      <c r="D459" t="s">
        <v>189</v>
      </c>
      <c r="E459" t="s">
        <v>24</v>
      </c>
      <c r="F459" t="s">
        <v>25</v>
      </c>
      <c r="G459" t="s">
        <v>50</v>
      </c>
      <c r="H459" t="s">
        <v>87</v>
      </c>
      <c r="I459" t="s">
        <v>28</v>
      </c>
      <c r="J459" t="s">
        <v>123</v>
      </c>
      <c r="K459" t="s">
        <v>123</v>
      </c>
      <c r="L459" t="s">
        <v>54</v>
      </c>
      <c r="M459" t="s">
        <v>47</v>
      </c>
      <c r="N459">
        <v>1</v>
      </c>
      <c r="O459" s="4">
        <v>2044.27</v>
      </c>
      <c r="P459" s="5">
        <v>0</v>
      </c>
      <c r="Q459" s="4">
        <v>554.97</v>
      </c>
      <c r="R459" s="4">
        <f t="shared" si="14"/>
        <v>2044.27</v>
      </c>
      <c r="S459" s="4">
        <f>R459*_xlfn.XLOOKUP(I459,Lookup_Lists!$A$2:$A$5,Lookup_Lists!$B$2:$B$5)-Q459-IF(T459="Yes",R459*0.2,0)</f>
        <v>-187.00140000000005</v>
      </c>
      <c r="T459" t="s">
        <v>32</v>
      </c>
      <c r="U459" s="6">
        <v>4.5</v>
      </c>
      <c r="V459" s="7">
        <f t="shared" si="15"/>
        <v>3</v>
      </c>
      <c r="W459">
        <f>IF(SalesDataTable[[#This Row],[Returned]]="Yes",1,0)</f>
        <v>0</v>
      </c>
    </row>
    <row r="460" spans="1:23">
      <c r="A460" t="s">
        <v>726</v>
      </c>
      <c r="B460" s="3">
        <v>45992</v>
      </c>
      <c r="C460" s="3">
        <v>45994</v>
      </c>
      <c r="D460" t="s">
        <v>402</v>
      </c>
      <c r="E460" t="s">
        <v>35</v>
      </c>
      <c r="F460" t="s">
        <v>25</v>
      </c>
      <c r="G460" t="s">
        <v>36</v>
      </c>
      <c r="H460" t="s">
        <v>37</v>
      </c>
      <c r="I460" t="s">
        <v>52</v>
      </c>
      <c r="J460" t="s">
        <v>94</v>
      </c>
      <c r="K460" t="s">
        <v>94</v>
      </c>
      <c r="L460" t="s">
        <v>46</v>
      </c>
      <c r="M460" t="s">
        <v>89</v>
      </c>
      <c r="N460">
        <v>4</v>
      </c>
      <c r="O460" s="4">
        <v>4962.22</v>
      </c>
      <c r="P460" s="5">
        <v>0.05</v>
      </c>
      <c r="Q460" s="4">
        <v>882.42</v>
      </c>
      <c r="R460" s="4">
        <f t="shared" si="14"/>
        <v>18856.436000000002</v>
      </c>
      <c r="S460" s="4">
        <f>R460*_xlfn.XLOOKUP(I460,Lookup_Lists!$A$2:$A$5,Lookup_Lists!$B$2:$B$5)-Q460-IF(T460="Yes",R460*0.2,0)</f>
        <v>4020.2533600000006</v>
      </c>
      <c r="T460" t="s">
        <v>32</v>
      </c>
      <c r="U460" s="6">
        <v>3.9</v>
      </c>
      <c r="V460" s="7">
        <f t="shared" si="15"/>
        <v>2</v>
      </c>
      <c r="W460">
        <f>IF(SalesDataTable[[#This Row],[Returned]]="Yes",1,0)</f>
        <v>0</v>
      </c>
    </row>
    <row r="461" spans="1:23">
      <c r="A461" t="s">
        <v>727</v>
      </c>
      <c r="B461" s="3">
        <v>45874</v>
      </c>
      <c r="C461" s="3">
        <v>45881</v>
      </c>
      <c r="D461" t="s">
        <v>387</v>
      </c>
      <c r="E461" t="s">
        <v>70</v>
      </c>
      <c r="F461" t="s">
        <v>25</v>
      </c>
      <c r="G461" t="s">
        <v>36</v>
      </c>
      <c r="H461" t="s">
        <v>138</v>
      </c>
      <c r="I461" t="s">
        <v>28</v>
      </c>
      <c r="J461" t="s">
        <v>99</v>
      </c>
      <c r="K461" t="s">
        <v>99</v>
      </c>
      <c r="L461" t="s">
        <v>54</v>
      </c>
      <c r="M461" t="s">
        <v>47</v>
      </c>
      <c r="N461">
        <v>3</v>
      </c>
      <c r="O461" s="4">
        <v>3759.99</v>
      </c>
      <c r="P461" s="5">
        <v>0.1</v>
      </c>
      <c r="Q461" s="4">
        <v>779.68</v>
      </c>
      <c r="R461" s="4">
        <f t="shared" si="14"/>
        <v>10151.973</v>
      </c>
      <c r="S461" s="4">
        <f>R461*_xlfn.XLOOKUP(I461,Lookup_Lists!$A$2:$A$5,Lookup_Lists!$B$2:$B$5)-Q461-IF(T461="Yes",R461*0.2,0)</f>
        <v>1047.6751399999998</v>
      </c>
      <c r="T461" t="s">
        <v>32</v>
      </c>
      <c r="U461" s="6">
        <v>4.0999999999999996</v>
      </c>
      <c r="V461" s="7">
        <f t="shared" si="15"/>
        <v>7</v>
      </c>
      <c r="W461">
        <f>IF(SalesDataTable[[#This Row],[Returned]]="Yes",1,0)</f>
        <v>0</v>
      </c>
    </row>
    <row r="462" spans="1:23">
      <c r="A462" t="s">
        <v>728</v>
      </c>
      <c r="B462" s="3">
        <v>45989</v>
      </c>
      <c r="C462" s="3">
        <v>45994</v>
      </c>
      <c r="D462" t="s">
        <v>245</v>
      </c>
      <c r="E462" t="s">
        <v>35</v>
      </c>
      <c r="F462" t="s">
        <v>25</v>
      </c>
      <c r="G462" t="s">
        <v>36</v>
      </c>
      <c r="H462" t="s">
        <v>126</v>
      </c>
      <c r="I462" t="s">
        <v>52</v>
      </c>
      <c r="J462" t="s">
        <v>53</v>
      </c>
      <c r="K462" t="s">
        <v>53</v>
      </c>
      <c r="L462" t="s">
        <v>54</v>
      </c>
      <c r="M462" t="s">
        <v>40</v>
      </c>
      <c r="N462">
        <v>3</v>
      </c>
      <c r="O462" s="4">
        <v>533.57000000000005</v>
      </c>
      <c r="P462" s="5">
        <v>0</v>
      </c>
      <c r="Q462" s="4">
        <v>347.82</v>
      </c>
      <c r="R462" s="4">
        <f t="shared" si="14"/>
        <v>1600.71</v>
      </c>
      <c r="S462" s="4">
        <f>R462*_xlfn.XLOOKUP(I462,Lookup_Lists!$A$2:$A$5,Lookup_Lists!$B$2:$B$5)-Q462-IF(T462="Yes",R462*0.2,0)</f>
        <v>68.364600000000053</v>
      </c>
      <c r="T462" t="s">
        <v>32</v>
      </c>
      <c r="U462" s="6">
        <v>3.4</v>
      </c>
      <c r="V462" s="7">
        <f t="shared" si="15"/>
        <v>5</v>
      </c>
      <c r="W462">
        <f>IF(SalesDataTable[[#This Row],[Returned]]="Yes",1,0)</f>
        <v>0</v>
      </c>
    </row>
    <row r="463" spans="1:23">
      <c r="A463" t="s">
        <v>729</v>
      </c>
      <c r="B463" s="3">
        <v>45920</v>
      </c>
      <c r="C463" s="3">
        <v>45921</v>
      </c>
      <c r="D463" t="s">
        <v>470</v>
      </c>
      <c r="E463" t="s">
        <v>35</v>
      </c>
      <c r="F463" t="s">
        <v>25</v>
      </c>
      <c r="G463" t="s">
        <v>50</v>
      </c>
      <c r="H463" t="s">
        <v>87</v>
      </c>
      <c r="I463" t="s">
        <v>38</v>
      </c>
      <c r="J463" t="s">
        <v>130</v>
      </c>
      <c r="K463" t="s">
        <v>130</v>
      </c>
      <c r="L463" t="s">
        <v>64</v>
      </c>
      <c r="M463" t="s">
        <v>55</v>
      </c>
      <c r="N463">
        <v>1</v>
      </c>
      <c r="O463" s="4">
        <v>633.16999999999996</v>
      </c>
      <c r="P463" s="5">
        <v>0.05</v>
      </c>
      <c r="Q463" s="4">
        <v>154.44</v>
      </c>
      <c r="R463" s="4">
        <f t="shared" si="14"/>
        <v>601.51149999999996</v>
      </c>
      <c r="S463" s="4">
        <f>R463*_xlfn.XLOOKUP(I463,Lookup_Lists!$A$2:$A$5,Lookup_Lists!$B$2:$B$5)-Q463-IF(T463="Yes",R463*0.2,0)</f>
        <v>38.043679999999995</v>
      </c>
      <c r="T463" t="s">
        <v>32</v>
      </c>
      <c r="U463" s="6">
        <v>4</v>
      </c>
      <c r="V463" s="7">
        <f t="shared" si="15"/>
        <v>1</v>
      </c>
      <c r="W463">
        <f>IF(SalesDataTable[[#This Row],[Returned]]="Yes",1,0)</f>
        <v>0</v>
      </c>
    </row>
    <row r="464" spans="1:23">
      <c r="A464" t="s">
        <v>730</v>
      </c>
      <c r="B464" s="3">
        <v>45749</v>
      </c>
      <c r="C464" s="3">
        <v>45756</v>
      </c>
      <c r="D464" t="s">
        <v>531</v>
      </c>
      <c r="E464" t="s">
        <v>24</v>
      </c>
      <c r="F464" t="s">
        <v>25</v>
      </c>
      <c r="G464" t="s">
        <v>50</v>
      </c>
      <c r="H464" t="s">
        <v>78</v>
      </c>
      <c r="I464" t="s">
        <v>58</v>
      </c>
      <c r="J464" t="s">
        <v>59</v>
      </c>
      <c r="K464" t="s">
        <v>59</v>
      </c>
      <c r="L464" t="s">
        <v>54</v>
      </c>
      <c r="M464" t="s">
        <v>47</v>
      </c>
      <c r="N464">
        <v>4</v>
      </c>
      <c r="O464" s="4">
        <v>6597.4</v>
      </c>
      <c r="P464" s="5">
        <v>0.15</v>
      </c>
      <c r="Q464" s="4">
        <v>670.4</v>
      </c>
      <c r="R464" s="4">
        <f t="shared" si="14"/>
        <v>22431.16</v>
      </c>
      <c r="S464" s="4">
        <f>R464*_xlfn.XLOOKUP(I464,Lookup_Lists!$A$2:$A$5,Lookup_Lists!$B$2:$B$5)-Q464-IF(T464="Yes",R464*0.2,0)</f>
        <v>4713.0784000000003</v>
      </c>
      <c r="T464" t="s">
        <v>32</v>
      </c>
      <c r="U464" s="6">
        <v>4.4000000000000004</v>
      </c>
      <c r="V464" s="7">
        <f t="shared" si="15"/>
        <v>7</v>
      </c>
      <c r="W464">
        <f>IF(SalesDataTable[[#This Row],[Returned]]="Yes",1,0)</f>
        <v>0</v>
      </c>
    </row>
    <row r="465" spans="1:23">
      <c r="A465" t="s">
        <v>731</v>
      </c>
      <c r="B465" s="3">
        <v>45698</v>
      </c>
      <c r="C465" s="3">
        <v>45704</v>
      </c>
      <c r="D465" t="s">
        <v>144</v>
      </c>
      <c r="E465" t="s">
        <v>35</v>
      </c>
      <c r="F465" t="s">
        <v>25</v>
      </c>
      <c r="G465" t="s">
        <v>50</v>
      </c>
      <c r="H465" t="s">
        <v>87</v>
      </c>
      <c r="I465" t="s">
        <v>58</v>
      </c>
      <c r="J465" t="s">
        <v>92</v>
      </c>
      <c r="K465" t="s">
        <v>92</v>
      </c>
      <c r="L465" t="s">
        <v>46</v>
      </c>
      <c r="M465" t="s">
        <v>89</v>
      </c>
      <c r="N465">
        <v>1</v>
      </c>
      <c r="O465" s="4">
        <v>8696.66</v>
      </c>
      <c r="P465" s="5">
        <v>0.1</v>
      </c>
      <c r="Q465" s="4">
        <v>705.65</v>
      </c>
      <c r="R465" s="4">
        <f t="shared" si="14"/>
        <v>7826.9939999999997</v>
      </c>
      <c r="S465" s="4">
        <f>R465*_xlfn.XLOOKUP(I465,Lookup_Lists!$A$2:$A$5,Lookup_Lists!$B$2:$B$5)-Q465-IF(T465="Yes",R465*0.2,0)</f>
        <v>1172.8285599999999</v>
      </c>
      <c r="T465" t="s">
        <v>32</v>
      </c>
      <c r="U465" s="6">
        <v>4</v>
      </c>
      <c r="V465" s="7">
        <f t="shared" si="15"/>
        <v>6</v>
      </c>
      <c r="W465">
        <f>IF(SalesDataTable[[#This Row],[Returned]]="Yes",1,0)</f>
        <v>0</v>
      </c>
    </row>
    <row r="466" spans="1:23">
      <c r="A466" t="s">
        <v>732</v>
      </c>
      <c r="B466" s="3">
        <v>45966</v>
      </c>
      <c r="C466" s="3">
        <v>45972</v>
      </c>
      <c r="D466" t="s">
        <v>383</v>
      </c>
      <c r="E466" t="s">
        <v>35</v>
      </c>
      <c r="F466" t="s">
        <v>25</v>
      </c>
      <c r="G466" t="s">
        <v>43</v>
      </c>
      <c r="H466" t="s">
        <v>102</v>
      </c>
      <c r="I466" t="s">
        <v>38</v>
      </c>
      <c r="J466" t="s">
        <v>39</v>
      </c>
      <c r="K466" t="s">
        <v>39</v>
      </c>
      <c r="L466" t="s">
        <v>54</v>
      </c>
      <c r="M466" t="s">
        <v>89</v>
      </c>
      <c r="N466">
        <v>1</v>
      </c>
      <c r="O466" s="4">
        <v>472.41</v>
      </c>
      <c r="P466" s="5">
        <v>0.1</v>
      </c>
      <c r="Q466" s="4">
        <v>194.37</v>
      </c>
      <c r="R466" s="4">
        <f t="shared" si="14"/>
        <v>425.16900000000004</v>
      </c>
      <c r="S466" s="4">
        <f>R466*_xlfn.XLOOKUP(I466,Lookup_Lists!$A$2:$A$5,Lookup_Lists!$B$2:$B$5)-Q466-IF(T466="Yes",R466*0.2,0)</f>
        <v>-143.34971999999999</v>
      </c>
      <c r="T466" t="s">
        <v>119</v>
      </c>
      <c r="U466" s="6">
        <v>3.2</v>
      </c>
      <c r="V466" s="7">
        <f t="shared" si="15"/>
        <v>6</v>
      </c>
      <c r="W466">
        <f>IF(SalesDataTable[[#This Row],[Returned]]="Yes",1,0)</f>
        <v>1</v>
      </c>
    </row>
    <row r="467" spans="1:23">
      <c r="A467" t="s">
        <v>733</v>
      </c>
      <c r="B467" s="3">
        <v>45781</v>
      </c>
      <c r="C467" s="3">
        <v>45785</v>
      </c>
      <c r="D467" t="s">
        <v>399</v>
      </c>
      <c r="E467" t="s">
        <v>24</v>
      </c>
      <c r="F467" t="s">
        <v>25</v>
      </c>
      <c r="G467" t="s">
        <v>26</v>
      </c>
      <c r="H467" t="s">
        <v>153</v>
      </c>
      <c r="I467" t="s">
        <v>28</v>
      </c>
      <c r="J467" t="s">
        <v>111</v>
      </c>
      <c r="K467" t="s">
        <v>111</v>
      </c>
      <c r="L467" t="s">
        <v>54</v>
      </c>
      <c r="M467" t="s">
        <v>47</v>
      </c>
      <c r="N467">
        <v>1</v>
      </c>
      <c r="O467" s="4">
        <v>1115.8</v>
      </c>
      <c r="P467" s="5">
        <v>0</v>
      </c>
      <c r="Q467" s="4">
        <v>497.22</v>
      </c>
      <c r="R467" s="4">
        <f t="shared" si="14"/>
        <v>1115.8</v>
      </c>
      <c r="S467" s="4">
        <f>R467*_xlfn.XLOOKUP(I467,Lookup_Lists!$A$2:$A$5,Lookup_Lists!$B$2:$B$5)-Q467-IF(T467="Yes",R467*0.2,0)</f>
        <v>-296.37600000000003</v>
      </c>
      <c r="T467" t="s">
        <v>32</v>
      </c>
      <c r="U467" s="6">
        <v>4.4000000000000004</v>
      </c>
      <c r="V467" s="7">
        <f t="shared" si="15"/>
        <v>4</v>
      </c>
      <c r="W467">
        <f>IF(SalesDataTable[[#This Row],[Returned]]="Yes",1,0)</f>
        <v>0</v>
      </c>
    </row>
    <row r="468" spans="1:23">
      <c r="A468" t="s">
        <v>734</v>
      </c>
      <c r="B468" s="3">
        <v>45899</v>
      </c>
      <c r="C468" s="3">
        <v>45900</v>
      </c>
      <c r="D468" t="s">
        <v>735</v>
      </c>
      <c r="E468" t="s">
        <v>70</v>
      </c>
      <c r="F468" t="s">
        <v>25</v>
      </c>
      <c r="G468" t="s">
        <v>26</v>
      </c>
      <c r="H468" t="s">
        <v>82</v>
      </c>
      <c r="I468" t="s">
        <v>38</v>
      </c>
      <c r="J468" t="s">
        <v>45</v>
      </c>
      <c r="K468" t="s">
        <v>45</v>
      </c>
      <c r="L468" t="s">
        <v>54</v>
      </c>
      <c r="M468" t="s">
        <v>89</v>
      </c>
      <c r="N468">
        <v>1</v>
      </c>
      <c r="O468" s="4">
        <v>294.92</v>
      </c>
      <c r="P468" s="5">
        <v>0</v>
      </c>
      <c r="Q468" s="4">
        <v>321.36</v>
      </c>
      <c r="R468" s="4">
        <f t="shared" si="14"/>
        <v>294.92</v>
      </c>
      <c r="S468" s="4">
        <f>R468*_xlfn.XLOOKUP(I468,Lookup_Lists!$A$2:$A$5,Lookup_Lists!$B$2:$B$5)-Q468-IF(T468="Yes",R468*0.2,0)</f>
        <v>-226.98560000000001</v>
      </c>
      <c r="T468" t="s">
        <v>32</v>
      </c>
      <c r="U468" s="6">
        <v>3.7</v>
      </c>
      <c r="V468" s="7">
        <f t="shared" si="15"/>
        <v>1</v>
      </c>
      <c r="W468">
        <f>IF(SalesDataTable[[#This Row],[Returned]]="Yes",1,0)</f>
        <v>0</v>
      </c>
    </row>
    <row r="469" spans="1:23">
      <c r="A469" t="s">
        <v>736</v>
      </c>
      <c r="B469" s="3">
        <v>45806</v>
      </c>
      <c r="C469" s="3">
        <v>45807</v>
      </c>
      <c r="D469" t="s">
        <v>383</v>
      </c>
      <c r="E469" t="s">
        <v>35</v>
      </c>
      <c r="F469" t="s">
        <v>25</v>
      </c>
      <c r="G469" t="s">
        <v>36</v>
      </c>
      <c r="H469" t="s">
        <v>145</v>
      </c>
      <c r="I469" t="s">
        <v>38</v>
      </c>
      <c r="J469" t="s">
        <v>130</v>
      </c>
      <c r="K469" t="s">
        <v>130</v>
      </c>
      <c r="L469" t="s">
        <v>54</v>
      </c>
      <c r="M469" t="s">
        <v>31</v>
      </c>
      <c r="N469">
        <v>2</v>
      </c>
      <c r="O469" s="4">
        <v>629.34</v>
      </c>
      <c r="P469" s="5">
        <v>0.2</v>
      </c>
      <c r="Q469" s="4">
        <v>336.65</v>
      </c>
      <c r="R469" s="4">
        <f t="shared" si="14"/>
        <v>1006.9440000000001</v>
      </c>
      <c r="S469" s="4">
        <f>R469*_xlfn.XLOOKUP(I469,Lookup_Lists!$A$2:$A$5,Lookup_Lists!$B$2:$B$5)-Q469-IF(T469="Yes",R469*0.2,0)</f>
        <v>-14.427919999999972</v>
      </c>
      <c r="T469" t="s">
        <v>32</v>
      </c>
      <c r="U469" s="6">
        <v>4</v>
      </c>
      <c r="V469" s="7">
        <f t="shared" si="15"/>
        <v>1</v>
      </c>
      <c r="W469">
        <f>IF(SalesDataTable[[#This Row],[Returned]]="Yes",1,0)</f>
        <v>0</v>
      </c>
    </row>
    <row r="470" spans="1:23">
      <c r="A470" t="s">
        <v>737</v>
      </c>
      <c r="B470" s="3">
        <v>45911</v>
      </c>
      <c r="C470" s="3">
        <v>45916</v>
      </c>
      <c r="D470" t="s">
        <v>496</v>
      </c>
      <c r="E470" t="s">
        <v>35</v>
      </c>
      <c r="F470" t="s">
        <v>25</v>
      </c>
      <c r="G470" t="s">
        <v>36</v>
      </c>
      <c r="H470" t="s">
        <v>126</v>
      </c>
      <c r="I470" t="s">
        <v>28</v>
      </c>
      <c r="J470" t="s">
        <v>75</v>
      </c>
      <c r="K470" t="s">
        <v>75</v>
      </c>
      <c r="L470" t="s">
        <v>46</v>
      </c>
      <c r="M470" t="s">
        <v>47</v>
      </c>
      <c r="N470">
        <v>1</v>
      </c>
      <c r="O470" s="4">
        <v>10405.02</v>
      </c>
      <c r="P470" s="5">
        <v>0.2</v>
      </c>
      <c r="Q470" s="4">
        <v>429.39</v>
      </c>
      <c r="R470" s="4">
        <f t="shared" si="14"/>
        <v>8324.0160000000014</v>
      </c>
      <c r="S470" s="4">
        <f>R470*_xlfn.XLOOKUP(I470,Lookup_Lists!$A$2:$A$5,Lookup_Lists!$B$2:$B$5)-Q470-IF(T470="Yes",R470*0.2,0)</f>
        <v>1068.9328800000003</v>
      </c>
      <c r="T470" t="s">
        <v>32</v>
      </c>
      <c r="U470" s="6">
        <v>4.7</v>
      </c>
      <c r="V470" s="7">
        <f t="shared" si="15"/>
        <v>5</v>
      </c>
      <c r="W470">
        <f>IF(SalesDataTable[[#This Row],[Returned]]="Yes",1,0)</f>
        <v>0</v>
      </c>
    </row>
    <row r="471" spans="1:23">
      <c r="A471" t="s">
        <v>738</v>
      </c>
      <c r="B471" s="3">
        <v>45725</v>
      </c>
      <c r="C471" s="3">
        <v>45728</v>
      </c>
      <c r="D471" t="s">
        <v>739</v>
      </c>
      <c r="E471" t="s">
        <v>24</v>
      </c>
      <c r="F471" t="s">
        <v>25</v>
      </c>
      <c r="G471" t="s">
        <v>36</v>
      </c>
      <c r="H471" t="s">
        <v>37</v>
      </c>
      <c r="I471" t="s">
        <v>38</v>
      </c>
      <c r="J471" t="s">
        <v>108</v>
      </c>
      <c r="K471" t="s">
        <v>108</v>
      </c>
      <c r="L471" t="s">
        <v>30</v>
      </c>
      <c r="M471" t="s">
        <v>55</v>
      </c>
      <c r="N471">
        <v>3</v>
      </c>
      <c r="O471" s="4">
        <v>108.7</v>
      </c>
      <c r="P471" s="5">
        <v>0.05</v>
      </c>
      <c r="Q471" s="4">
        <v>183.67</v>
      </c>
      <c r="R471" s="4">
        <f t="shared" si="14"/>
        <v>309.79500000000002</v>
      </c>
      <c r="S471" s="4">
        <f>R471*_xlfn.XLOOKUP(I471,Lookup_Lists!$A$2:$A$5,Lookup_Lists!$B$2:$B$5)-Q471-IF(T471="Yes",R471*0.2,0)</f>
        <v>-84.535599999999974</v>
      </c>
      <c r="T471" t="s">
        <v>32</v>
      </c>
      <c r="U471" s="6">
        <v>3.8</v>
      </c>
      <c r="V471" s="7">
        <f t="shared" si="15"/>
        <v>3</v>
      </c>
      <c r="W471">
        <f>IF(SalesDataTable[[#This Row],[Returned]]="Yes",1,0)</f>
        <v>0</v>
      </c>
    </row>
    <row r="472" spans="1:23">
      <c r="A472" t="s">
        <v>740</v>
      </c>
      <c r="B472" s="3">
        <v>45909</v>
      </c>
      <c r="C472" s="3">
        <v>45910</v>
      </c>
      <c r="D472" t="s">
        <v>340</v>
      </c>
      <c r="E472" t="s">
        <v>35</v>
      </c>
      <c r="F472" t="s">
        <v>25</v>
      </c>
      <c r="G472" t="s">
        <v>36</v>
      </c>
      <c r="H472" t="s">
        <v>37</v>
      </c>
      <c r="I472" t="s">
        <v>28</v>
      </c>
      <c r="J472" t="s">
        <v>99</v>
      </c>
      <c r="K472" t="s">
        <v>99</v>
      </c>
      <c r="L472" t="s">
        <v>54</v>
      </c>
      <c r="M472" t="s">
        <v>89</v>
      </c>
      <c r="N472">
        <v>2</v>
      </c>
      <c r="O472" s="4">
        <v>3353.85</v>
      </c>
      <c r="P472" s="5">
        <v>0.1</v>
      </c>
      <c r="Q472" s="4">
        <v>280.2</v>
      </c>
      <c r="R472" s="4">
        <f t="shared" si="14"/>
        <v>6036.93</v>
      </c>
      <c r="S472" s="4">
        <f>R472*_xlfn.XLOOKUP(I472,Lookup_Lists!$A$2:$A$5,Lookup_Lists!$B$2:$B$5)-Q472-IF(T472="Yes",R472*0.2,0)</f>
        <v>806.44740000000002</v>
      </c>
      <c r="T472" t="s">
        <v>32</v>
      </c>
      <c r="U472" s="6">
        <v>3.5</v>
      </c>
      <c r="V472" s="7">
        <f t="shared" si="15"/>
        <v>1</v>
      </c>
      <c r="W472">
        <f>IF(SalesDataTable[[#This Row],[Returned]]="Yes",1,0)</f>
        <v>0</v>
      </c>
    </row>
    <row r="473" spans="1:23">
      <c r="A473" t="s">
        <v>741</v>
      </c>
      <c r="B473" s="3">
        <v>45830</v>
      </c>
      <c r="C473" s="3">
        <v>45834</v>
      </c>
      <c r="D473" t="s">
        <v>236</v>
      </c>
      <c r="E473" t="s">
        <v>70</v>
      </c>
      <c r="F473" t="s">
        <v>25</v>
      </c>
      <c r="G473" t="s">
        <v>50</v>
      </c>
      <c r="H473" t="s">
        <v>51</v>
      </c>
      <c r="I473" t="s">
        <v>58</v>
      </c>
      <c r="J473" t="s">
        <v>59</v>
      </c>
      <c r="K473" t="s">
        <v>59</v>
      </c>
      <c r="L473" t="s">
        <v>64</v>
      </c>
      <c r="M473" t="s">
        <v>89</v>
      </c>
      <c r="N473">
        <v>4</v>
      </c>
      <c r="O473" s="4">
        <v>6806.19</v>
      </c>
      <c r="P473" s="5">
        <v>0.2</v>
      </c>
      <c r="Q473" s="4">
        <v>974.81</v>
      </c>
      <c r="R473" s="4">
        <f t="shared" si="14"/>
        <v>21779.808000000001</v>
      </c>
      <c r="S473" s="4">
        <f>R473*_xlfn.XLOOKUP(I473,Lookup_Lists!$A$2:$A$5,Lookup_Lists!$B$2:$B$5)-Q473-IF(T473="Yes",R473*0.2,0)</f>
        <v>4252.3439199999993</v>
      </c>
      <c r="T473" t="s">
        <v>32</v>
      </c>
      <c r="U473" s="6">
        <v>4.3</v>
      </c>
      <c r="V473" s="7">
        <f t="shared" si="15"/>
        <v>4</v>
      </c>
      <c r="W473">
        <f>IF(SalesDataTable[[#This Row],[Returned]]="Yes",1,0)</f>
        <v>0</v>
      </c>
    </row>
    <row r="474" spans="1:23">
      <c r="A474" t="s">
        <v>742</v>
      </c>
      <c r="B474" s="3">
        <v>45967</v>
      </c>
      <c r="C474" s="3">
        <v>45973</v>
      </c>
      <c r="D474" t="s">
        <v>743</v>
      </c>
      <c r="E474" t="s">
        <v>24</v>
      </c>
      <c r="F474" t="s">
        <v>25</v>
      </c>
      <c r="G474" t="s">
        <v>36</v>
      </c>
      <c r="H474" t="s">
        <v>138</v>
      </c>
      <c r="I474" t="s">
        <v>52</v>
      </c>
      <c r="J474" t="s">
        <v>114</v>
      </c>
      <c r="K474" t="s">
        <v>114</v>
      </c>
      <c r="L474" t="s">
        <v>60</v>
      </c>
      <c r="M474" t="s">
        <v>31</v>
      </c>
      <c r="N474">
        <v>3</v>
      </c>
      <c r="O474" s="4">
        <v>10806.4</v>
      </c>
      <c r="P474" s="5">
        <v>0</v>
      </c>
      <c r="Q474" s="4">
        <v>886.9</v>
      </c>
      <c r="R474" s="4">
        <f t="shared" si="14"/>
        <v>32419.199999999997</v>
      </c>
      <c r="S474" s="4">
        <f>R474*_xlfn.XLOOKUP(I474,Lookup_Lists!$A$2:$A$5,Lookup_Lists!$B$2:$B$5)-Q474-IF(T474="Yes",R474*0.2,0)</f>
        <v>7542.0920000000006</v>
      </c>
      <c r="T474" t="s">
        <v>32</v>
      </c>
      <c r="U474" s="6">
        <v>4.4000000000000004</v>
      </c>
      <c r="V474" s="7">
        <f t="shared" si="15"/>
        <v>6</v>
      </c>
      <c r="W474">
        <f>IF(SalesDataTable[[#This Row],[Returned]]="Yes",1,0)</f>
        <v>0</v>
      </c>
    </row>
    <row r="475" spans="1:23">
      <c r="A475" t="s">
        <v>744</v>
      </c>
      <c r="B475" s="3">
        <v>45763</v>
      </c>
      <c r="C475" s="3">
        <v>45766</v>
      </c>
      <c r="D475" t="s">
        <v>745</v>
      </c>
      <c r="E475" t="s">
        <v>24</v>
      </c>
      <c r="F475" t="s">
        <v>25</v>
      </c>
      <c r="G475" t="s">
        <v>36</v>
      </c>
      <c r="H475" t="s">
        <v>138</v>
      </c>
      <c r="I475" t="s">
        <v>38</v>
      </c>
      <c r="J475" t="s">
        <v>39</v>
      </c>
      <c r="K475" t="s">
        <v>39</v>
      </c>
      <c r="L475" t="s">
        <v>54</v>
      </c>
      <c r="M475" t="s">
        <v>55</v>
      </c>
      <c r="N475">
        <v>2</v>
      </c>
      <c r="O475" s="4">
        <v>386.96</v>
      </c>
      <c r="P475" s="5">
        <v>0.15</v>
      </c>
      <c r="Q475" s="4">
        <v>341.9</v>
      </c>
      <c r="R475" s="4">
        <f t="shared" si="14"/>
        <v>657.83199999999999</v>
      </c>
      <c r="S475" s="4">
        <f>R475*_xlfn.XLOOKUP(I475,Lookup_Lists!$A$2:$A$5,Lookup_Lists!$B$2:$B$5)-Q475-IF(T475="Yes",R475*0.2,0)</f>
        <v>-131.39375999999999</v>
      </c>
      <c r="T475" t="s">
        <v>32</v>
      </c>
      <c r="U475" s="6">
        <v>4.5</v>
      </c>
      <c r="V475" s="7">
        <f t="shared" si="15"/>
        <v>3</v>
      </c>
      <c r="W475">
        <f>IF(SalesDataTable[[#This Row],[Returned]]="Yes",1,0)</f>
        <v>0</v>
      </c>
    </row>
    <row r="476" spans="1:23">
      <c r="A476" t="s">
        <v>746</v>
      </c>
      <c r="B476" s="3">
        <v>45661</v>
      </c>
      <c r="C476" s="3">
        <v>45663</v>
      </c>
      <c r="D476" t="s">
        <v>169</v>
      </c>
      <c r="E476" t="s">
        <v>70</v>
      </c>
      <c r="F476" t="s">
        <v>25</v>
      </c>
      <c r="G476" t="s">
        <v>43</v>
      </c>
      <c r="H476" t="s">
        <v>63</v>
      </c>
      <c r="I476" t="s">
        <v>28</v>
      </c>
      <c r="J476" t="s">
        <v>123</v>
      </c>
      <c r="K476" t="s">
        <v>123</v>
      </c>
      <c r="L476" t="s">
        <v>30</v>
      </c>
      <c r="M476" t="s">
        <v>47</v>
      </c>
      <c r="N476">
        <v>2</v>
      </c>
      <c r="O476" s="4">
        <v>1943.1</v>
      </c>
      <c r="P476" s="5">
        <v>0</v>
      </c>
      <c r="Q476" s="4">
        <v>567.79</v>
      </c>
      <c r="R476" s="4">
        <f t="shared" si="14"/>
        <v>3886.2</v>
      </c>
      <c r="S476" s="4">
        <f>R476*_xlfn.XLOOKUP(I476,Lookup_Lists!$A$2:$A$5,Lookup_Lists!$B$2:$B$5)-Q476-IF(T476="Yes",R476*0.2,0)</f>
        <v>131.726</v>
      </c>
      <c r="T476" t="s">
        <v>32</v>
      </c>
      <c r="U476" s="6">
        <v>4.5</v>
      </c>
      <c r="V476" s="7">
        <f t="shared" si="15"/>
        <v>2</v>
      </c>
      <c r="W476">
        <f>IF(SalesDataTable[[#This Row],[Returned]]="Yes",1,0)</f>
        <v>0</v>
      </c>
    </row>
    <row r="477" spans="1:23">
      <c r="A477" t="s">
        <v>747</v>
      </c>
      <c r="B477" s="3">
        <v>45869</v>
      </c>
      <c r="C477" s="3">
        <v>45873</v>
      </c>
      <c r="D477" t="s">
        <v>322</v>
      </c>
      <c r="E477" t="s">
        <v>81</v>
      </c>
      <c r="F477" t="s">
        <v>25</v>
      </c>
      <c r="G477" t="s">
        <v>43</v>
      </c>
      <c r="H477" t="s">
        <v>122</v>
      </c>
      <c r="I477" t="s">
        <v>58</v>
      </c>
      <c r="J477" t="s">
        <v>92</v>
      </c>
      <c r="K477" t="s">
        <v>92</v>
      </c>
      <c r="L477" t="s">
        <v>30</v>
      </c>
      <c r="M477" t="s">
        <v>31</v>
      </c>
      <c r="N477">
        <v>6</v>
      </c>
      <c r="O477" s="4">
        <v>7696.18</v>
      </c>
      <c r="P477" s="5">
        <v>0</v>
      </c>
      <c r="Q477" s="4">
        <v>1332.36</v>
      </c>
      <c r="R477" s="4">
        <f t="shared" si="14"/>
        <v>46177.08</v>
      </c>
      <c r="S477" s="4">
        <f>R477*_xlfn.XLOOKUP(I477,Lookup_Lists!$A$2:$A$5,Lookup_Lists!$B$2:$B$5)-Q477-IF(T477="Yes",R477*0.2,0)</f>
        <v>9750.1391999999996</v>
      </c>
      <c r="T477" t="s">
        <v>32</v>
      </c>
      <c r="U477" s="6">
        <v>5</v>
      </c>
      <c r="V477" s="7">
        <f t="shared" si="15"/>
        <v>4</v>
      </c>
      <c r="W477">
        <f>IF(SalesDataTable[[#This Row],[Returned]]="Yes",1,0)</f>
        <v>0</v>
      </c>
    </row>
    <row r="478" spans="1:23">
      <c r="A478" t="s">
        <v>748</v>
      </c>
      <c r="B478" s="3">
        <v>45689</v>
      </c>
      <c r="C478" s="3">
        <v>45693</v>
      </c>
      <c r="D478" t="s">
        <v>195</v>
      </c>
      <c r="E478" t="s">
        <v>35</v>
      </c>
      <c r="F478" t="s">
        <v>25</v>
      </c>
      <c r="G478" t="s">
        <v>26</v>
      </c>
      <c r="H478" t="s">
        <v>153</v>
      </c>
      <c r="I478" t="s">
        <v>52</v>
      </c>
      <c r="J478" t="s">
        <v>105</v>
      </c>
      <c r="K478" t="s">
        <v>105</v>
      </c>
      <c r="L478" t="s">
        <v>46</v>
      </c>
      <c r="M478" t="s">
        <v>31</v>
      </c>
      <c r="N478">
        <v>5</v>
      </c>
      <c r="O478" s="4">
        <v>1425.4</v>
      </c>
      <c r="P478" s="5">
        <v>0</v>
      </c>
      <c r="Q478" s="4">
        <v>383.07</v>
      </c>
      <c r="R478" s="4">
        <f t="shared" si="14"/>
        <v>7127</v>
      </c>
      <c r="S478" s="4">
        <f>R478*_xlfn.XLOOKUP(I478,Lookup_Lists!$A$2:$A$5,Lookup_Lists!$B$2:$B$5)-Q478-IF(T478="Yes",R478*0.2,0)</f>
        <v>1469.95</v>
      </c>
      <c r="T478" t="s">
        <v>32</v>
      </c>
      <c r="U478" s="6">
        <v>4.9000000000000004</v>
      </c>
      <c r="V478" s="7">
        <f t="shared" si="15"/>
        <v>4</v>
      </c>
      <c r="W478">
        <f>IF(SalesDataTable[[#This Row],[Returned]]="Yes",1,0)</f>
        <v>0</v>
      </c>
    </row>
    <row r="479" spans="1:23">
      <c r="A479" t="s">
        <v>749</v>
      </c>
      <c r="B479" s="3">
        <v>45733</v>
      </c>
      <c r="C479" s="3">
        <v>45739</v>
      </c>
      <c r="D479" t="s">
        <v>271</v>
      </c>
      <c r="E479" t="s">
        <v>35</v>
      </c>
      <c r="F479" t="s">
        <v>25</v>
      </c>
      <c r="G479" t="s">
        <v>26</v>
      </c>
      <c r="H479" t="s">
        <v>67</v>
      </c>
      <c r="I479" t="s">
        <v>38</v>
      </c>
      <c r="J479" t="s">
        <v>45</v>
      </c>
      <c r="K479" t="s">
        <v>45</v>
      </c>
      <c r="L479" t="s">
        <v>30</v>
      </c>
      <c r="M479" t="s">
        <v>55</v>
      </c>
      <c r="N479">
        <v>1</v>
      </c>
      <c r="O479" s="4">
        <v>270.72000000000003</v>
      </c>
      <c r="P479" s="5">
        <v>0</v>
      </c>
      <c r="Q479" s="4">
        <v>493.82</v>
      </c>
      <c r="R479" s="4">
        <f t="shared" si="14"/>
        <v>270.72000000000003</v>
      </c>
      <c r="S479" s="4">
        <f>R479*_xlfn.XLOOKUP(I479,Lookup_Lists!$A$2:$A$5,Lookup_Lists!$B$2:$B$5)-Q479-IF(T479="Yes",R479*0.2,0)</f>
        <v>-407.18959999999998</v>
      </c>
      <c r="T479" t="s">
        <v>32</v>
      </c>
      <c r="U479" s="6">
        <v>3.9</v>
      </c>
      <c r="V479" s="7">
        <f t="shared" si="15"/>
        <v>6</v>
      </c>
      <c r="W479">
        <f>IF(SalesDataTable[[#This Row],[Returned]]="Yes",1,0)</f>
        <v>0</v>
      </c>
    </row>
    <row r="480" spans="1:23">
      <c r="A480" t="s">
        <v>750</v>
      </c>
      <c r="B480" s="3">
        <v>45924</v>
      </c>
      <c r="C480" s="3">
        <v>45929</v>
      </c>
      <c r="D480" t="s">
        <v>751</v>
      </c>
      <c r="E480" t="s">
        <v>35</v>
      </c>
      <c r="F480" t="s">
        <v>25</v>
      </c>
      <c r="G480" t="s">
        <v>43</v>
      </c>
      <c r="H480" t="s">
        <v>44</v>
      </c>
      <c r="I480" t="s">
        <v>38</v>
      </c>
      <c r="J480" t="s">
        <v>108</v>
      </c>
      <c r="K480" t="s">
        <v>108</v>
      </c>
      <c r="L480" t="s">
        <v>54</v>
      </c>
      <c r="M480" t="s">
        <v>31</v>
      </c>
      <c r="N480">
        <v>3</v>
      </c>
      <c r="O480" s="4">
        <v>114.29</v>
      </c>
      <c r="P480" s="5">
        <v>0.1</v>
      </c>
      <c r="Q480" s="4">
        <v>499.25</v>
      </c>
      <c r="R480" s="4">
        <f t="shared" si="14"/>
        <v>308.58300000000003</v>
      </c>
      <c r="S480" s="4">
        <f>R480*_xlfn.XLOOKUP(I480,Lookup_Lists!$A$2:$A$5,Lookup_Lists!$B$2:$B$5)-Q480-IF(T480="Yes",R480*0.2,0)</f>
        <v>-400.50343999999996</v>
      </c>
      <c r="T480" t="s">
        <v>32</v>
      </c>
      <c r="U480" s="6">
        <v>4.5</v>
      </c>
      <c r="V480" s="7">
        <f t="shared" si="15"/>
        <v>5</v>
      </c>
      <c r="W480">
        <f>IF(SalesDataTable[[#This Row],[Returned]]="Yes",1,0)</f>
        <v>0</v>
      </c>
    </row>
    <row r="481" spans="1:23">
      <c r="A481" t="s">
        <v>752</v>
      </c>
      <c r="B481" s="3">
        <v>45848</v>
      </c>
      <c r="C481" s="3">
        <v>45851</v>
      </c>
      <c r="D481" t="s">
        <v>399</v>
      </c>
      <c r="E481" t="s">
        <v>70</v>
      </c>
      <c r="F481" t="s">
        <v>25</v>
      </c>
      <c r="G481" t="s">
        <v>50</v>
      </c>
      <c r="H481" t="s">
        <v>78</v>
      </c>
      <c r="I481" t="s">
        <v>38</v>
      </c>
      <c r="J481" t="s">
        <v>39</v>
      </c>
      <c r="K481" t="s">
        <v>39</v>
      </c>
      <c r="L481" t="s">
        <v>46</v>
      </c>
      <c r="M481" t="s">
        <v>31</v>
      </c>
      <c r="N481">
        <v>4</v>
      </c>
      <c r="O481" s="4">
        <v>426.7</v>
      </c>
      <c r="P481" s="5">
        <v>0.25</v>
      </c>
      <c r="Q481" s="4">
        <v>564.66999999999996</v>
      </c>
      <c r="R481" s="4">
        <f t="shared" si="14"/>
        <v>1280.0999999999999</v>
      </c>
      <c r="S481" s="4">
        <f>R481*_xlfn.XLOOKUP(I481,Lookup_Lists!$A$2:$A$5,Lookup_Lists!$B$2:$B$5)-Q481-IF(T481="Yes",R481*0.2,0)</f>
        <v>-155.03799999999995</v>
      </c>
      <c r="T481" t="s">
        <v>32</v>
      </c>
      <c r="U481" s="6">
        <v>4.5</v>
      </c>
      <c r="V481" s="7">
        <f t="shared" si="15"/>
        <v>3</v>
      </c>
      <c r="W481">
        <f>IF(SalesDataTable[[#This Row],[Returned]]="Yes",1,0)</f>
        <v>0</v>
      </c>
    </row>
    <row r="482" spans="1:23">
      <c r="A482" t="s">
        <v>753</v>
      </c>
      <c r="B482" s="3">
        <v>45947</v>
      </c>
      <c r="C482" s="3">
        <v>45953</v>
      </c>
      <c r="D482" t="s">
        <v>399</v>
      </c>
      <c r="E482" t="s">
        <v>70</v>
      </c>
      <c r="F482" t="s">
        <v>25</v>
      </c>
      <c r="G482" t="s">
        <v>26</v>
      </c>
      <c r="H482" t="s">
        <v>82</v>
      </c>
      <c r="I482" t="s">
        <v>28</v>
      </c>
      <c r="J482" t="s">
        <v>99</v>
      </c>
      <c r="K482" t="s">
        <v>99</v>
      </c>
      <c r="L482" t="s">
        <v>30</v>
      </c>
      <c r="M482" t="s">
        <v>47</v>
      </c>
      <c r="N482">
        <v>2</v>
      </c>
      <c r="O482" s="4">
        <v>3340.01</v>
      </c>
      <c r="P482" s="5">
        <v>0</v>
      </c>
      <c r="Q482" s="4">
        <v>512.15</v>
      </c>
      <c r="R482" s="4">
        <f t="shared" si="14"/>
        <v>6680.02</v>
      </c>
      <c r="S482" s="4">
        <f>R482*_xlfn.XLOOKUP(I482,Lookup_Lists!$A$2:$A$5,Lookup_Lists!$B$2:$B$5)-Q482-IF(T482="Yes",R482*0.2,0)</f>
        <v>690.25360000000012</v>
      </c>
      <c r="T482" t="s">
        <v>32</v>
      </c>
      <c r="U482" s="6">
        <v>4.0999999999999996</v>
      </c>
      <c r="V482" s="7">
        <f t="shared" si="15"/>
        <v>6</v>
      </c>
      <c r="W482">
        <f>IF(SalesDataTable[[#This Row],[Returned]]="Yes",1,0)</f>
        <v>0</v>
      </c>
    </row>
    <row r="483" spans="1:23">
      <c r="A483" t="s">
        <v>754</v>
      </c>
      <c r="B483" s="3">
        <v>46022</v>
      </c>
      <c r="C483" s="3">
        <v>46026</v>
      </c>
      <c r="D483" t="s">
        <v>278</v>
      </c>
      <c r="E483" t="s">
        <v>35</v>
      </c>
      <c r="F483" t="s">
        <v>25</v>
      </c>
      <c r="G483" t="s">
        <v>50</v>
      </c>
      <c r="H483" t="s">
        <v>87</v>
      </c>
      <c r="I483" t="s">
        <v>52</v>
      </c>
      <c r="J483" t="s">
        <v>53</v>
      </c>
      <c r="K483" t="s">
        <v>53</v>
      </c>
      <c r="L483" t="s">
        <v>54</v>
      </c>
      <c r="M483" t="s">
        <v>89</v>
      </c>
      <c r="N483">
        <v>2</v>
      </c>
      <c r="O483" s="4">
        <v>570.83000000000004</v>
      </c>
      <c r="P483" s="5">
        <v>0.05</v>
      </c>
      <c r="Q483" s="4">
        <v>392.92</v>
      </c>
      <c r="R483" s="4">
        <f t="shared" si="14"/>
        <v>1084.577</v>
      </c>
      <c r="S483" s="4">
        <f>R483*_xlfn.XLOOKUP(I483,Lookup_Lists!$A$2:$A$5,Lookup_Lists!$B$2:$B$5)-Q483-IF(T483="Yes",R483*0.2,0)</f>
        <v>-110.92998</v>
      </c>
      <c r="T483" t="s">
        <v>32</v>
      </c>
      <c r="U483" s="6">
        <v>4.5</v>
      </c>
      <c r="V483" s="7">
        <f t="shared" si="15"/>
        <v>4</v>
      </c>
      <c r="W483">
        <f>IF(SalesDataTable[[#This Row],[Returned]]="Yes",1,0)</f>
        <v>0</v>
      </c>
    </row>
    <row r="484" spans="1:23">
      <c r="A484" t="s">
        <v>755</v>
      </c>
      <c r="B484" s="3">
        <v>45793</v>
      </c>
      <c r="C484" s="3">
        <v>45798</v>
      </c>
      <c r="D484" t="s">
        <v>362</v>
      </c>
      <c r="E484" t="s">
        <v>70</v>
      </c>
      <c r="F484" t="s">
        <v>25</v>
      </c>
      <c r="G484" t="s">
        <v>36</v>
      </c>
      <c r="H484" t="s">
        <v>138</v>
      </c>
      <c r="I484" t="s">
        <v>38</v>
      </c>
      <c r="J484" t="s">
        <v>45</v>
      </c>
      <c r="K484" t="s">
        <v>45</v>
      </c>
      <c r="L484" t="s">
        <v>64</v>
      </c>
      <c r="M484" t="s">
        <v>40</v>
      </c>
      <c r="N484">
        <v>2</v>
      </c>
      <c r="O484" s="4">
        <v>266.61</v>
      </c>
      <c r="P484" s="5">
        <v>0.05</v>
      </c>
      <c r="Q484" s="4">
        <v>639.78</v>
      </c>
      <c r="R484" s="4">
        <f t="shared" si="14"/>
        <v>506.55900000000003</v>
      </c>
      <c r="S484" s="4">
        <f>R484*_xlfn.XLOOKUP(I484,Lookup_Lists!$A$2:$A$5,Lookup_Lists!$B$2:$B$5)-Q484-IF(T484="Yes",R484*0.2,0)</f>
        <v>-477.68111999999996</v>
      </c>
      <c r="T484" t="s">
        <v>32</v>
      </c>
      <c r="U484" s="6">
        <v>3.7</v>
      </c>
      <c r="V484" s="7">
        <f t="shared" si="15"/>
        <v>5</v>
      </c>
      <c r="W484">
        <f>IF(SalesDataTable[[#This Row],[Returned]]="Yes",1,0)</f>
        <v>0</v>
      </c>
    </row>
    <row r="485" spans="1:23">
      <c r="A485" t="s">
        <v>756</v>
      </c>
      <c r="B485" s="3">
        <v>45891</v>
      </c>
      <c r="C485" s="3">
        <v>45895</v>
      </c>
      <c r="D485" t="s">
        <v>318</v>
      </c>
      <c r="E485" t="s">
        <v>24</v>
      </c>
      <c r="F485" t="s">
        <v>25</v>
      </c>
      <c r="G485" t="s">
        <v>43</v>
      </c>
      <c r="H485" t="s">
        <v>122</v>
      </c>
      <c r="I485" t="s">
        <v>38</v>
      </c>
      <c r="J485" t="s">
        <v>45</v>
      </c>
      <c r="K485" t="s">
        <v>45</v>
      </c>
      <c r="L485" t="s">
        <v>54</v>
      </c>
      <c r="M485" t="s">
        <v>55</v>
      </c>
      <c r="N485">
        <v>3</v>
      </c>
      <c r="O485" s="4">
        <v>231.94</v>
      </c>
      <c r="P485" s="5">
        <v>0</v>
      </c>
      <c r="Q485" s="4">
        <v>302.17</v>
      </c>
      <c r="R485" s="4">
        <f t="shared" si="14"/>
        <v>695.81999999999994</v>
      </c>
      <c r="S485" s="4">
        <f>R485*_xlfn.XLOOKUP(I485,Lookup_Lists!$A$2:$A$5,Lookup_Lists!$B$2:$B$5)-Q485-IF(T485="Yes",R485*0.2,0)</f>
        <v>-79.507600000000025</v>
      </c>
      <c r="T485" t="s">
        <v>32</v>
      </c>
      <c r="U485" s="6">
        <v>4.2</v>
      </c>
      <c r="V485" s="7">
        <f t="shared" si="15"/>
        <v>4</v>
      </c>
      <c r="W485">
        <f>IF(SalesDataTable[[#This Row],[Returned]]="Yes",1,0)</f>
        <v>0</v>
      </c>
    </row>
    <row r="486" spans="1:23">
      <c r="A486" t="s">
        <v>757</v>
      </c>
      <c r="B486" s="3">
        <v>45813</v>
      </c>
      <c r="C486" s="3">
        <v>45816</v>
      </c>
      <c r="D486" t="s">
        <v>383</v>
      </c>
      <c r="E486" t="s">
        <v>35</v>
      </c>
      <c r="F486" t="s">
        <v>25</v>
      </c>
      <c r="G486" t="s">
        <v>26</v>
      </c>
      <c r="H486" t="s">
        <v>27</v>
      </c>
      <c r="I486" t="s">
        <v>38</v>
      </c>
      <c r="J486" t="s">
        <v>45</v>
      </c>
      <c r="K486" t="s">
        <v>45</v>
      </c>
      <c r="L486" t="s">
        <v>54</v>
      </c>
      <c r="M486" t="s">
        <v>55</v>
      </c>
      <c r="N486">
        <v>5</v>
      </c>
      <c r="O486" s="4">
        <v>245.62</v>
      </c>
      <c r="P486" s="5">
        <v>0.15</v>
      </c>
      <c r="Q486" s="4">
        <v>377.03</v>
      </c>
      <c r="R486" s="4">
        <f t="shared" si="14"/>
        <v>1043.885</v>
      </c>
      <c r="S486" s="4">
        <f>R486*_xlfn.XLOOKUP(I486,Lookup_Lists!$A$2:$A$5,Lookup_Lists!$B$2:$B$5)-Q486-IF(T486="Yes",R486*0.2,0)</f>
        <v>-42.98679999999996</v>
      </c>
      <c r="T486" t="s">
        <v>32</v>
      </c>
      <c r="U486" s="6">
        <v>3.8</v>
      </c>
      <c r="V486" s="7">
        <f t="shared" si="15"/>
        <v>3</v>
      </c>
      <c r="W486">
        <f>IF(SalesDataTable[[#This Row],[Returned]]="Yes",1,0)</f>
        <v>0</v>
      </c>
    </row>
    <row r="487" spans="1:23">
      <c r="A487" t="s">
        <v>758</v>
      </c>
      <c r="B487" s="3">
        <v>45871</v>
      </c>
      <c r="C487" s="3">
        <v>45875</v>
      </c>
      <c r="D487" t="s">
        <v>478</v>
      </c>
      <c r="E487" t="s">
        <v>35</v>
      </c>
      <c r="F487" t="s">
        <v>25</v>
      </c>
      <c r="G487" t="s">
        <v>36</v>
      </c>
      <c r="H487" t="s">
        <v>37</v>
      </c>
      <c r="I487" t="s">
        <v>38</v>
      </c>
      <c r="J487" t="s">
        <v>45</v>
      </c>
      <c r="K487" t="s">
        <v>45</v>
      </c>
      <c r="L487" t="s">
        <v>64</v>
      </c>
      <c r="M487" t="s">
        <v>31</v>
      </c>
      <c r="N487">
        <v>1</v>
      </c>
      <c r="O487" s="4">
        <v>239.6</v>
      </c>
      <c r="P487" s="5">
        <v>0.1</v>
      </c>
      <c r="Q487" s="4">
        <v>517.75</v>
      </c>
      <c r="R487" s="4">
        <f t="shared" si="14"/>
        <v>215.64</v>
      </c>
      <c r="S487" s="4">
        <f>R487*_xlfn.XLOOKUP(I487,Lookup_Lists!$A$2:$A$5,Lookup_Lists!$B$2:$B$5)-Q487-IF(T487="Yes",R487*0.2,0)</f>
        <v>-448.74520000000001</v>
      </c>
      <c r="T487" t="s">
        <v>32</v>
      </c>
      <c r="U487" s="6">
        <v>5</v>
      </c>
      <c r="V487" s="7">
        <f t="shared" si="15"/>
        <v>4</v>
      </c>
      <c r="W487">
        <f>IF(SalesDataTable[[#This Row],[Returned]]="Yes",1,0)</f>
        <v>0</v>
      </c>
    </row>
    <row r="488" spans="1:23">
      <c r="A488" t="s">
        <v>759</v>
      </c>
      <c r="B488" s="3">
        <v>45734</v>
      </c>
      <c r="C488" s="3">
        <v>45741</v>
      </c>
      <c r="D488" t="s">
        <v>212</v>
      </c>
      <c r="E488" t="s">
        <v>35</v>
      </c>
      <c r="F488" t="s">
        <v>25</v>
      </c>
      <c r="G488" t="s">
        <v>36</v>
      </c>
      <c r="H488" t="s">
        <v>138</v>
      </c>
      <c r="I488" t="s">
        <v>28</v>
      </c>
      <c r="J488" t="s">
        <v>111</v>
      </c>
      <c r="K488" t="s">
        <v>111</v>
      </c>
      <c r="L488" t="s">
        <v>54</v>
      </c>
      <c r="M488" t="s">
        <v>89</v>
      </c>
      <c r="N488">
        <v>6</v>
      </c>
      <c r="O488" s="4">
        <v>1376.42</v>
      </c>
      <c r="P488" s="5">
        <v>0.1</v>
      </c>
      <c r="Q488" s="4">
        <v>572.04999999999995</v>
      </c>
      <c r="R488" s="4">
        <f t="shared" si="14"/>
        <v>7432.6680000000006</v>
      </c>
      <c r="S488" s="4">
        <f>R488*_xlfn.XLOOKUP(I488,Lookup_Lists!$A$2:$A$5,Lookup_Lists!$B$2:$B$5)-Q488-IF(T488="Yes",R488*0.2,0)</f>
        <v>765.83024</v>
      </c>
      <c r="T488" t="s">
        <v>32</v>
      </c>
      <c r="U488" s="6">
        <v>4.0999999999999996</v>
      </c>
      <c r="V488" s="7">
        <f t="shared" si="15"/>
        <v>7</v>
      </c>
      <c r="W488">
        <f>IF(SalesDataTable[[#This Row],[Returned]]="Yes",1,0)</f>
        <v>0</v>
      </c>
    </row>
    <row r="489" spans="1:23">
      <c r="A489" t="s">
        <v>760</v>
      </c>
      <c r="B489" s="3">
        <v>46020</v>
      </c>
      <c r="C489" s="3">
        <v>46023</v>
      </c>
      <c r="D489" t="s">
        <v>316</v>
      </c>
      <c r="E489" t="s">
        <v>70</v>
      </c>
      <c r="F489" t="s">
        <v>25</v>
      </c>
      <c r="G489" t="s">
        <v>50</v>
      </c>
      <c r="H489" t="s">
        <v>51</v>
      </c>
      <c r="I489" t="s">
        <v>52</v>
      </c>
      <c r="J489" t="s">
        <v>114</v>
      </c>
      <c r="K489" t="s">
        <v>114</v>
      </c>
      <c r="L489" t="s">
        <v>60</v>
      </c>
      <c r="M489" t="s">
        <v>31</v>
      </c>
      <c r="N489">
        <v>1</v>
      </c>
      <c r="O489" s="4">
        <v>9716.1299999999992</v>
      </c>
      <c r="P489" s="5">
        <v>0.2</v>
      </c>
      <c r="Q489" s="4">
        <v>294.3</v>
      </c>
      <c r="R489" s="4">
        <f t="shared" si="14"/>
        <v>7772.9039999999995</v>
      </c>
      <c r="S489" s="4">
        <f>R489*_xlfn.XLOOKUP(I489,Lookup_Lists!$A$2:$A$5,Lookup_Lists!$B$2:$B$5)-Q489-IF(T489="Yes",R489*0.2,0)</f>
        <v>1726.6550400000001</v>
      </c>
      <c r="T489" t="s">
        <v>32</v>
      </c>
      <c r="U489" s="6">
        <v>3.8</v>
      </c>
      <c r="V489" s="7">
        <f t="shared" si="15"/>
        <v>3</v>
      </c>
      <c r="W489">
        <f>IF(SalesDataTable[[#This Row],[Returned]]="Yes",1,0)</f>
        <v>0</v>
      </c>
    </row>
    <row r="490" spans="1:23">
      <c r="A490" t="s">
        <v>761</v>
      </c>
      <c r="B490" s="3">
        <v>45750</v>
      </c>
      <c r="C490" s="3">
        <v>45751</v>
      </c>
      <c r="D490" t="s">
        <v>553</v>
      </c>
      <c r="E490" t="s">
        <v>24</v>
      </c>
      <c r="F490" t="s">
        <v>25</v>
      </c>
      <c r="G490" t="s">
        <v>26</v>
      </c>
      <c r="H490" t="s">
        <v>67</v>
      </c>
      <c r="I490" t="s">
        <v>28</v>
      </c>
      <c r="J490" t="s">
        <v>99</v>
      </c>
      <c r="K490" t="s">
        <v>99</v>
      </c>
      <c r="L490" t="s">
        <v>30</v>
      </c>
      <c r="M490" t="s">
        <v>47</v>
      </c>
      <c r="N490">
        <v>3</v>
      </c>
      <c r="O490" s="4">
        <v>3596.05</v>
      </c>
      <c r="P490" s="5">
        <v>0.2</v>
      </c>
      <c r="Q490" s="4">
        <v>435.6</v>
      </c>
      <c r="R490" s="4">
        <f t="shared" si="14"/>
        <v>8630.5200000000023</v>
      </c>
      <c r="S490" s="4">
        <f>R490*_xlfn.XLOOKUP(I490,Lookup_Lists!$A$2:$A$5,Lookup_Lists!$B$2:$B$5)-Q490-IF(T490="Yes",R490*0.2,0)</f>
        <v>1117.8936000000003</v>
      </c>
      <c r="T490" t="s">
        <v>32</v>
      </c>
      <c r="U490" s="6">
        <v>4.9000000000000004</v>
      </c>
      <c r="V490" s="7">
        <f t="shared" si="15"/>
        <v>1</v>
      </c>
      <c r="W490">
        <f>IF(SalesDataTable[[#This Row],[Returned]]="Yes",1,0)</f>
        <v>0</v>
      </c>
    </row>
    <row r="491" spans="1:23">
      <c r="A491" t="s">
        <v>762</v>
      </c>
      <c r="B491" s="3">
        <v>45853</v>
      </c>
      <c r="C491" s="3">
        <v>45856</v>
      </c>
      <c r="D491" t="s">
        <v>224</v>
      </c>
      <c r="E491" t="s">
        <v>35</v>
      </c>
      <c r="F491" t="s">
        <v>25</v>
      </c>
      <c r="G491" t="s">
        <v>50</v>
      </c>
      <c r="H491" t="s">
        <v>51</v>
      </c>
      <c r="I491" t="s">
        <v>28</v>
      </c>
      <c r="J491" t="s">
        <v>75</v>
      </c>
      <c r="K491" t="s">
        <v>75</v>
      </c>
      <c r="L491" t="s">
        <v>54</v>
      </c>
      <c r="M491" t="s">
        <v>89</v>
      </c>
      <c r="N491">
        <v>1</v>
      </c>
      <c r="O491" s="4">
        <v>12822.14</v>
      </c>
      <c r="P491" s="5">
        <v>0.1</v>
      </c>
      <c r="Q491" s="4">
        <v>305.91000000000003</v>
      </c>
      <c r="R491" s="4">
        <f t="shared" si="14"/>
        <v>11539.925999999999</v>
      </c>
      <c r="S491" s="4">
        <f>R491*_xlfn.XLOOKUP(I491,Lookup_Lists!$A$2:$A$5,Lookup_Lists!$B$2:$B$5)-Q491-IF(T491="Yes",R491*0.2,0)</f>
        <v>1771.2766799999997</v>
      </c>
      <c r="T491" t="s">
        <v>32</v>
      </c>
      <c r="U491" s="6">
        <v>4.4000000000000004</v>
      </c>
      <c r="V491" s="7">
        <f t="shared" si="15"/>
        <v>3</v>
      </c>
      <c r="W491">
        <f>IF(SalesDataTable[[#This Row],[Returned]]="Yes",1,0)</f>
        <v>0</v>
      </c>
    </row>
    <row r="492" spans="1:23">
      <c r="A492" t="s">
        <v>763</v>
      </c>
      <c r="B492" s="3">
        <v>45750</v>
      </c>
      <c r="C492" s="3">
        <v>45751</v>
      </c>
      <c r="D492" t="s">
        <v>140</v>
      </c>
      <c r="E492" t="s">
        <v>35</v>
      </c>
      <c r="F492" t="s">
        <v>25</v>
      </c>
      <c r="G492" t="s">
        <v>36</v>
      </c>
      <c r="H492" t="s">
        <v>126</v>
      </c>
      <c r="I492" t="s">
        <v>58</v>
      </c>
      <c r="J492" t="s">
        <v>88</v>
      </c>
      <c r="K492" t="s">
        <v>88</v>
      </c>
      <c r="L492" t="s">
        <v>64</v>
      </c>
      <c r="M492" t="s">
        <v>55</v>
      </c>
      <c r="N492">
        <v>2</v>
      </c>
      <c r="O492" s="4">
        <v>8123.92</v>
      </c>
      <c r="P492" s="5">
        <v>0</v>
      </c>
      <c r="Q492" s="4">
        <v>439.18</v>
      </c>
      <c r="R492" s="4">
        <f t="shared" si="14"/>
        <v>16247.84</v>
      </c>
      <c r="S492" s="4">
        <f>R492*_xlfn.XLOOKUP(I492,Lookup_Lists!$A$2:$A$5,Lookup_Lists!$B$2:$B$5)-Q492-IF(T492="Yes",R492*0.2,0)</f>
        <v>3460.3016000000002</v>
      </c>
      <c r="T492" t="s">
        <v>32</v>
      </c>
      <c r="U492" s="6">
        <v>3.9</v>
      </c>
      <c r="V492" s="7">
        <f t="shared" si="15"/>
        <v>1</v>
      </c>
      <c r="W492">
        <f>IF(SalesDataTable[[#This Row],[Returned]]="Yes",1,0)</f>
        <v>0</v>
      </c>
    </row>
    <row r="493" spans="1:23">
      <c r="A493" t="s">
        <v>764</v>
      </c>
      <c r="B493" s="3">
        <v>45916</v>
      </c>
      <c r="C493" s="3">
        <v>45920</v>
      </c>
      <c r="D493" t="s">
        <v>236</v>
      </c>
      <c r="E493" t="s">
        <v>35</v>
      </c>
      <c r="F493" t="s">
        <v>25</v>
      </c>
      <c r="G493" t="s">
        <v>43</v>
      </c>
      <c r="H493" t="s">
        <v>102</v>
      </c>
      <c r="I493" t="s">
        <v>38</v>
      </c>
      <c r="J493" t="s">
        <v>39</v>
      </c>
      <c r="K493" t="s">
        <v>39</v>
      </c>
      <c r="L493" t="s">
        <v>46</v>
      </c>
      <c r="M493" t="s">
        <v>47</v>
      </c>
      <c r="N493">
        <v>3</v>
      </c>
      <c r="O493" s="4">
        <v>484.73</v>
      </c>
      <c r="P493" s="5">
        <v>0</v>
      </c>
      <c r="Q493" s="4">
        <v>417.64</v>
      </c>
      <c r="R493" s="4">
        <f t="shared" si="14"/>
        <v>1454.19</v>
      </c>
      <c r="S493" s="4">
        <f>R493*_xlfn.XLOOKUP(I493,Lookup_Lists!$A$2:$A$5,Lookup_Lists!$B$2:$B$5)-Q493-IF(T493="Yes",R493*0.2,0)</f>
        <v>47.700800000000015</v>
      </c>
      <c r="T493" t="s">
        <v>32</v>
      </c>
      <c r="U493" s="6">
        <v>4.0999999999999996</v>
      </c>
      <c r="V493" s="7">
        <f t="shared" si="15"/>
        <v>4</v>
      </c>
      <c r="W493">
        <f>IF(SalesDataTable[[#This Row],[Returned]]="Yes",1,0)</f>
        <v>0</v>
      </c>
    </row>
    <row r="494" spans="1:23">
      <c r="A494" t="s">
        <v>765</v>
      </c>
      <c r="B494" s="3">
        <v>45709</v>
      </c>
      <c r="C494" s="3">
        <v>45711</v>
      </c>
      <c r="D494" t="s">
        <v>337</v>
      </c>
      <c r="E494" t="s">
        <v>70</v>
      </c>
      <c r="F494" t="s">
        <v>25</v>
      </c>
      <c r="G494" t="s">
        <v>26</v>
      </c>
      <c r="H494" t="s">
        <v>82</v>
      </c>
      <c r="I494" t="s">
        <v>38</v>
      </c>
      <c r="J494" t="s">
        <v>45</v>
      </c>
      <c r="K494" t="s">
        <v>45</v>
      </c>
      <c r="L494" t="s">
        <v>54</v>
      </c>
      <c r="M494" t="s">
        <v>31</v>
      </c>
      <c r="N494">
        <v>1</v>
      </c>
      <c r="O494" s="4">
        <v>304.3</v>
      </c>
      <c r="P494" s="5">
        <v>0</v>
      </c>
      <c r="Q494" s="4">
        <v>646.19000000000005</v>
      </c>
      <c r="R494" s="4">
        <f t="shared" si="14"/>
        <v>304.3</v>
      </c>
      <c r="S494" s="4">
        <f>R494*_xlfn.XLOOKUP(I494,Lookup_Lists!$A$2:$A$5,Lookup_Lists!$B$2:$B$5)-Q494-IF(T494="Yes",R494*0.2,0)</f>
        <v>-548.81400000000008</v>
      </c>
      <c r="T494" t="s">
        <v>32</v>
      </c>
      <c r="U494" s="6">
        <v>3.9</v>
      </c>
      <c r="V494" s="7">
        <f t="shared" si="15"/>
        <v>2</v>
      </c>
      <c r="W494">
        <f>IF(SalesDataTable[[#This Row],[Returned]]="Yes",1,0)</f>
        <v>0</v>
      </c>
    </row>
    <row r="495" spans="1:23">
      <c r="A495" t="s">
        <v>766</v>
      </c>
      <c r="B495" s="3">
        <v>45942</v>
      </c>
      <c r="C495" s="3">
        <v>45946</v>
      </c>
      <c r="D495" t="s">
        <v>460</v>
      </c>
      <c r="E495" t="s">
        <v>35</v>
      </c>
      <c r="F495" t="s">
        <v>25</v>
      </c>
      <c r="G495" t="s">
        <v>36</v>
      </c>
      <c r="H495" t="s">
        <v>37</v>
      </c>
      <c r="I495" t="s">
        <v>38</v>
      </c>
      <c r="J495" t="s">
        <v>108</v>
      </c>
      <c r="K495" t="s">
        <v>108</v>
      </c>
      <c r="L495" t="s">
        <v>54</v>
      </c>
      <c r="M495" t="s">
        <v>47</v>
      </c>
      <c r="N495">
        <v>1</v>
      </c>
      <c r="O495" s="4">
        <v>114.63</v>
      </c>
      <c r="P495" s="5">
        <v>0.1</v>
      </c>
      <c r="Q495" s="4">
        <v>651.29</v>
      </c>
      <c r="R495" s="4">
        <f t="shared" si="14"/>
        <v>103.167</v>
      </c>
      <c r="S495" s="4">
        <f>R495*_xlfn.XLOOKUP(I495,Lookup_Lists!$A$2:$A$5,Lookup_Lists!$B$2:$B$5)-Q495-IF(T495="Yes",R495*0.2,0)</f>
        <v>-618.27656000000002</v>
      </c>
      <c r="T495" t="s">
        <v>32</v>
      </c>
      <c r="U495" s="6">
        <v>4.2</v>
      </c>
      <c r="V495" s="7">
        <f t="shared" si="15"/>
        <v>4</v>
      </c>
      <c r="W495">
        <f>IF(SalesDataTable[[#This Row],[Returned]]="Yes",1,0)</f>
        <v>0</v>
      </c>
    </row>
    <row r="496" spans="1:23">
      <c r="A496" t="s">
        <v>767</v>
      </c>
      <c r="B496" s="3">
        <v>45766</v>
      </c>
      <c r="C496" s="3">
        <v>45771</v>
      </c>
      <c r="D496" t="s">
        <v>470</v>
      </c>
      <c r="E496" t="s">
        <v>35</v>
      </c>
      <c r="F496" t="s">
        <v>25</v>
      </c>
      <c r="G496" t="s">
        <v>26</v>
      </c>
      <c r="H496" t="s">
        <v>153</v>
      </c>
      <c r="I496" t="s">
        <v>28</v>
      </c>
      <c r="J496" t="s">
        <v>111</v>
      </c>
      <c r="K496" t="s">
        <v>111</v>
      </c>
      <c r="L496" t="s">
        <v>30</v>
      </c>
      <c r="M496" t="s">
        <v>40</v>
      </c>
      <c r="N496">
        <v>4</v>
      </c>
      <c r="O496" s="4">
        <v>1415.58</v>
      </c>
      <c r="P496" s="5">
        <v>0.15</v>
      </c>
      <c r="Q496" s="4">
        <v>285.12</v>
      </c>
      <c r="R496" s="4">
        <f t="shared" si="14"/>
        <v>4812.9719999999998</v>
      </c>
      <c r="S496" s="4">
        <f>R496*_xlfn.XLOOKUP(I496,Lookup_Lists!$A$2:$A$5,Lookup_Lists!$B$2:$B$5)-Q496-IF(T496="Yes",R496*0.2,0)</f>
        <v>581.21495999999991</v>
      </c>
      <c r="T496" t="s">
        <v>32</v>
      </c>
      <c r="U496" s="6">
        <v>4.7</v>
      </c>
      <c r="V496" s="7">
        <f t="shared" si="15"/>
        <v>5</v>
      </c>
      <c r="W496">
        <f>IF(SalesDataTable[[#This Row],[Returned]]="Yes",1,0)</f>
        <v>0</v>
      </c>
    </row>
    <row r="497" spans="1:23">
      <c r="A497" t="s">
        <v>768</v>
      </c>
      <c r="B497" s="3">
        <v>45833</v>
      </c>
      <c r="C497" s="3">
        <v>45839</v>
      </c>
      <c r="D497" t="s">
        <v>769</v>
      </c>
      <c r="E497" t="s">
        <v>81</v>
      </c>
      <c r="F497" t="s">
        <v>25</v>
      </c>
      <c r="G497" t="s">
        <v>36</v>
      </c>
      <c r="H497" t="s">
        <v>37</v>
      </c>
      <c r="I497" t="s">
        <v>28</v>
      </c>
      <c r="J497" t="s">
        <v>123</v>
      </c>
      <c r="K497" t="s">
        <v>123</v>
      </c>
      <c r="L497" t="s">
        <v>54</v>
      </c>
      <c r="M497" t="s">
        <v>47</v>
      </c>
      <c r="N497">
        <v>6</v>
      </c>
      <c r="O497" s="4">
        <v>1761.37</v>
      </c>
      <c r="P497" s="5">
        <v>0.2</v>
      </c>
      <c r="Q497" s="4">
        <v>314.75</v>
      </c>
      <c r="R497" s="4">
        <f t="shared" si="14"/>
        <v>8454.5759999999991</v>
      </c>
      <c r="S497" s="4">
        <f>R497*_xlfn.XLOOKUP(I497,Lookup_Lists!$A$2:$A$5,Lookup_Lists!$B$2:$B$5)-Q497-IF(T497="Yes",R497*0.2,0)</f>
        <v>1207.0736799999997</v>
      </c>
      <c r="T497" t="s">
        <v>32</v>
      </c>
      <c r="U497" s="6">
        <v>3.4</v>
      </c>
      <c r="V497" s="7">
        <f t="shared" si="15"/>
        <v>6</v>
      </c>
      <c r="W497">
        <f>IF(SalesDataTable[[#This Row],[Returned]]="Yes",1,0)</f>
        <v>0</v>
      </c>
    </row>
    <row r="498" spans="1:23">
      <c r="A498" t="s">
        <v>770</v>
      </c>
      <c r="B498" s="3">
        <v>45969</v>
      </c>
      <c r="C498" s="3">
        <v>45973</v>
      </c>
      <c r="D498" t="s">
        <v>508</v>
      </c>
      <c r="E498" t="s">
        <v>81</v>
      </c>
      <c r="F498" t="s">
        <v>25</v>
      </c>
      <c r="G498" t="s">
        <v>26</v>
      </c>
      <c r="H498" t="s">
        <v>67</v>
      </c>
      <c r="I498" t="s">
        <v>38</v>
      </c>
      <c r="J498" t="s">
        <v>45</v>
      </c>
      <c r="K498" t="s">
        <v>45</v>
      </c>
      <c r="L498" t="s">
        <v>30</v>
      </c>
      <c r="M498" t="s">
        <v>31</v>
      </c>
      <c r="N498">
        <v>1</v>
      </c>
      <c r="O498" s="4">
        <v>297.18</v>
      </c>
      <c r="P498" s="5">
        <v>0.1</v>
      </c>
      <c r="Q498" s="4">
        <v>391.49</v>
      </c>
      <c r="R498" s="4">
        <f t="shared" si="14"/>
        <v>267.46199999999999</v>
      </c>
      <c r="S498" s="4">
        <f>R498*_xlfn.XLOOKUP(I498,Lookup_Lists!$A$2:$A$5,Lookup_Lists!$B$2:$B$5)-Q498-IF(T498="Yes",R498*0.2,0)</f>
        <v>-305.90215999999998</v>
      </c>
      <c r="T498" t="s">
        <v>32</v>
      </c>
      <c r="U498" s="6">
        <v>4.5</v>
      </c>
      <c r="V498" s="7">
        <f t="shared" si="15"/>
        <v>4</v>
      </c>
      <c r="W498">
        <f>IF(SalesDataTable[[#This Row],[Returned]]="Yes",1,0)</f>
        <v>0</v>
      </c>
    </row>
    <row r="499" spans="1:23">
      <c r="A499" t="s">
        <v>771</v>
      </c>
      <c r="B499" s="3">
        <v>45721</v>
      </c>
      <c r="C499" s="3">
        <v>45724</v>
      </c>
      <c r="D499" t="s">
        <v>633</v>
      </c>
      <c r="E499" t="s">
        <v>35</v>
      </c>
      <c r="F499" t="s">
        <v>25</v>
      </c>
      <c r="G499" t="s">
        <v>43</v>
      </c>
      <c r="H499" t="s">
        <v>102</v>
      </c>
      <c r="I499" t="s">
        <v>28</v>
      </c>
      <c r="J499" t="s">
        <v>29</v>
      </c>
      <c r="K499" t="s">
        <v>29</v>
      </c>
      <c r="L499" t="s">
        <v>54</v>
      </c>
      <c r="M499" t="s">
        <v>55</v>
      </c>
      <c r="N499">
        <v>6</v>
      </c>
      <c r="O499" s="4">
        <v>52695.41</v>
      </c>
      <c r="P499" s="5">
        <v>0</v>
      </c>
      <c r="Q499" s="4">
        <v>4833.8599999999997</v>
      </c>
      <c r="R499" s="4">
        <f t="shared" si="14"/>
        <v>316172.46000000002</v>
      </c>
      <c r="S499" s="4">
        <f>R499*_xlfn.XLOOKUP(I499,Lookup_Lists!$A$2:$A$5,Lookup_Lists!$B$2:$B$5)-Q499-IF(T499="Yes",R499*0.2,0)</f>
        <v>52077.182800000002</v>
      </c>
      <c r="T499" t="s">
        <v>32</v>
      </c>
      <c r="U499" s="6">
        <v>3.9</v>
      </c>
      <c r="V499" s="7">
        <f t="shared" si="15"/>
        <v>3</v>
      </c>
      <c r="W499">
        <f>IF(SalesDataTable[[#This Row],[Returned]]="Yes",1,0)</f>
        <v>0</v>
      </c>
    </row>
    <row r="500" spans="1:23">
      <c r="A500" t="s">
        <v>772</v>
      </c>
      <c r="B500" s="3">
        <v>46021</v>
      </c>
      <c r="C500" s="3">
        <v>46024</v>
      </c>
      <c r="D500" t="s">
        <v>525</v>
      </c>
      <c r="E500" t="s">
        <v>35</v>
      </c>
      <c r="F500" t="s">
        <v>25</v>
      </c>
      <c r="G500" t="s">
        <v>43</v>
      </c>
      <c r="H500" t="s">
        <v>63</v>
      </c>
      <c r="I500" t="s">
        <v>28</v>
      </c>
      <c r="J500" t="s">
        <v>111</v>
      </c>
      <c r="K500" t="s">
        <v>111</v>
      </c>
      <c r="L500" t="s">
        <v>60</v>
      </c>
      <c r="M500" t="s">
        <v>89</v>
      </c>
      <c r="N500">
        <v>1</v>
      </c>
      <c r="O500" s="4">
        <v>1381.62</v>
      </c>
      <c r="P500" s="5">
        <v>0.1</v>
      </c>
      <c r="Q500" s="4">
        <v>219.9</v>
      </c>
      <c r="R500" s="4">
        <f t="shared" si="14"/>
        <v>1243.4579999999999</v>
      </c>
      <c r="S500" s="4">
        <f>R500*_xlfn.XLOOKUP(I500,Lookup_Lists!$A$2:$A$5,Lookup_Lists!$B$2:$B$5)-Q500-IF(T500="Yes",R500*0.2,0)</f>
        <v>3.9224399999999662</v>
      </c>
      <c r="T500" t="s">
        <v>32</v>
      </c>
      <c r="U500" s="6">
        <v>4.5</v>
      </c>
      <c r="V500" s="7">
        <f t="shared" si="15"/>
        <v>3</v>
      </c>
      <c r="W500">
        <f>IF(SalesDataTable[[#This Row],[Returned]]="Yes",1,0)</f>
        <v>0</v>
      </c>
    </row>
    <row r="501" spans="1:23">
      <c r="A501" t="s">
        <v>773</v>
      </c>
      <c r="B501" s="3">
        <v>45800</v>
      </c>
      <c r="C501" s="3">
        <v>45805</v>
      </c>
      <c r="D501" t="s">
        <v>191</v>
      </c>
      <c r="E501" t="s">
        <v>70</v>
      </c>
      <c r="F501" t="s">
        <v>25</v>
      </c>
      <c r="G501" t="s">
        <v>26</v>
      </c>
      <c r="H501" t="s">
        <v>27</v>
      </c>
      <c r="I501" t="s">
        <v>28</v>
      </c>
      <c r="J501" t="s">
        <v>75</v>
      </c>
      <c r="K501" t="s">
        <v>75</v>
      </c>
      <c r="L501" t="s">
        <v>30</v>
      </c>
      <c r="M501" t="s">
        <v>40</v>
      </c>
      <c r="N501">
        <v>1</v>
      </c>
      <c r="O501" s="4">
        <v>11560.68</v>
      </c>
      <c r="P501" s="5">
        <v>0</v>
      </c>
      <c r="Q501" s="4">
        <v>551.57000000000005</v>
      </c>
      <c r="R501" s="4">
        <f t="shared" si="14"/>
        <v>11560.68</v>
      </c>
      <c r="S501" s="4">
        <f>R501*_xlfn.XLOOKUP(I501,Lookup_Lists!$A$2:$A$5,Lookup_Lists!$B$2:$B$5)-Q501-IF(T501="Yes",R501*0.2,0)</f>
        <v>1529.3523999999998</v>
      </c>
      <c r="T501" t="s">
        <v>32</v>
      </c>
      <c r="U501" s="6">
        <v>3.9</v>
      </c>
      <c r="V501" s="7">
        <f t="shared" si="15"/>
        <v>5</v>
      </c>
      <c r="W501">
        <f>IF(SalesDataTable[[#This Row],[Returned]]="Yes",1,0)</f>
        <v>0</v>
      </c>
    </row>
  </sheetData>
  <conditionalFormatting sqref="S2:S501">
    <cfRule type="cellIs" dxfId="0" priority="1" operator="lessThan">
      <formula>0</formula>
    </cfRule>
  </conditionalFormatting>
  <conditionalFormatting sqref="U2:U501">
    <cfRule type="colorScale" priority="2">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A42E-2499-4F6D-9442-18A5697E8AB0}">
  <dimension ref="A1:Z6"/>
  <sheetViews>
    <sheetView workbookViewId="0">
      <selection activeCell="F1" sqref="F1"/>
    </sheetView>
  </sheetViews>
  <sheetFormatPr defaultRowHeight="14.25"/>
  <cols>
    <col min="1" max="2" width="22" customWidth="1"/>
    <col min="4" max="4" width="22" customWidth="1"/>
    <col min="6" max="6" width="22" customWidth="1"/>
    <col min="8" max="8" width="22" customWidth="1"/>
    <col min="10" max="10" width="22" customWidth="1"/>
    <col min="12" max="12" width="22" customWidth="1"/>
  </cols>
  <sheetData>
    <row r="1" spans="1:26" ht="15">
      <c r="A1" s="21" t="s">
        <v>8</v>
      </c>
      <c r="B1" s="21" t="s">
        <v>798</v>
      </c>
      <c r="C1" s="21"/>
      <c r="D1" s="21" t="s">
        <v>4</v>
      </c>
      <c r="E1" s="21"/>
      <c r="F1" s="21" t="s">
        <v>6</v>
      </c>
      <c r="G1" s="21"/>
      <c r="H1" s="21" t="s">
        <v>11</v>
      </c>
      <c r="I1" s="21"/>
      <c r="J1" s="21" t="s">
        <v>12</v>
      </c>
      <c r="K1" s="21"/>
      <c r="L1" s="21" t="s">
        <v>19</v>
      </c>
      <c r="M1" s="22"/>
      <c r="N1" s="22"/>
      <c r="O1" s="22"/>
      <c r="P1" s="22"/>
      <c r="Q1" s="22"/>
      <c r="R1" s="22"/>
      <c r="S1" s="22"/>
      <c r="T1" s="22"/>
      <c r="U1" s="22"/>
      <c r="V1" s="22"/>
      <c r="W1" s="22"/>
      <c r="X1" s="22"/>
      <c r="Y1" s="22"/>
      <c r="Z1" s="22"/>
    </row>
    <row r="2" spans="1:26">
      <c r="A2" t="s">
        <v>28</v>
      </c>
      <c r="B2" s="5">
        <v>0.18</v>
      </c>
      <c r="D2" t="s">
        <v>35</v>
      </c>
      <c r="F2" t="s">
        <v>50</v>
      </c>
      <c r="H2" t="s">
        <v>54</v>
      </c>
      <c r="J2" t="s">
        <v>89</v>
      </c>
      <c r="L2" t="s">
        <v>119</v>
      </c>
    </row>
    <row r="3" spans="1:26">
      <c r="A3" t="s">
        <v>58</v>
      </c>
      <c r="B3" s="5">
        <v>0.24</v>
      </c>
      <c r="D3" t="s">
        <v>70</v>
      </c>
      <c r="F3" t="s">
        <v>26</v>
      </c>
      <c r="H3" t="s">
        <v>46</v>
      </c>
      <c r="J3" t="s">
        <v>40</v>
      </c>
      <c r="L3" t="s">
        <v>32</v>
      </c>
    </row>
    <row r="4" spans="1:26">
      <c r="A4" t="s">
        <v>38</v>
      </c>
      <c r="B4" s="5">
        <v>0.32</v>
      </c>
      <c r="D4" t="s">
        <v>24</v>
      </c>
      <c r="F4" t="s">
        <v>43</v>
      </c>
      <c r="H4" t="s">
        <v>30</v>
      </c>
      <c r="J4" t="s">
        <v>55</v>
      </c>
    </row>
    <row r="5" spans="1:26">
      <c r="A5" t="s">
        <v>52</v>
      </c>
      <c r="B5" s="5">
        <v>0.26</v>
      </c>
      <c r="D5" t="s">
        <v>81</v>
      </c>
      <c r="F5" t="s">
        <v>36</v>
      </c>
      <c r="H5" t="s">
        <v>64</v>
      </c>
      <c r="J5" t="s">
        <v>47</v>
      </c>
    </row>
    <row r="6" spans="1:26">
      <c r="H6" t="s">
        <v>60</v>
      </c>
      <c r="J6"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4A68-57A9-4150-99A7-1A1944BA2AB4}">
  <dimension ref="A3:D32"/>
  <sheetViews>
    <sheetView workbookViewId="0">
      <selection activeCell="B28" sqref="B28"/>
    </sheetView>
  </sheetViews>
  <sheetFormatPr defaultRowHeight="14.25"/>
  <cols>
    <col min="1" max="1" width="19.125" bestFit="1" customWidth="1"/>
    <col min="2" max="3" width="12.625" bestFit="1" customWidth="1"/>
    <col min="4" max="4" width="16.875" bestFit="1" customWidth="1"/>
  </cols>
  <sheetData>
    <row r="3" spans="1:3">
      <c r="A3" s="8" t="s">
        <v>8</v>
      </c>
      <c r="B3" t="s">
        <v>776</v>
      </c>
      <c r="C3" t="s">
        <v>775</v>
      </c>
    </row>
    <row r="4" spans="1:3">
      <c r="A4" t="s">
        <v>28</v>
      </c>
      <c r="B4" s="20">
        <v>5732221.2404999966</v>
      </c>
      <c r="C4" s="20">
        <v>852895.47519000049</v>
      </c>
    </row>
    <row r="5" spans="1:3">
      <c r="A5" t="s">
        <v>58</v>
      </c>
      <c r="B5" s="20">
        <v>2440570.8975000004</v>
      </c>
      <c r="C5" s="20">
        <v>498103.6618</v>
      </c>
    </row>
    <row r="6" spans="1:3">
      <c r="A6" t="s">
        <v>52</v>
      </c>
      <c r="B6" s="20">
        <v>815273.6864999996</v>
      </c>
      <c r="C6" s="20">
        <v>163090.54918999999</v>
      </c>
    </row>
    <row r="7" spans="1:3">
      <c r="A7" t="s">
        <v>38</v>
      </c>
      <c r="B7" s="20">
        <v>126080.76699999998</v>
      </c>
      <c r="C7" s="20">
        <v>-17652.460359999997</v>
      </c>
    </row>
    <row r="8" spans="1:3">
      <c r="A8" t="s">
        <v>774</v>
      </c>
      <c r="B8" s="4">
        <v>9114146.5914999954</v>
      </c>
      <c r="C8" s="4">
        <v>1496437.2258200005</v>
      </c>
    </row>
    <row r="27" spans="1:4">
      <c r="A27" s="8" t="s">
        <v>8</v>
      </c>
      <c r="B27" t="s">
        <v>776</v>
      </c>
      <c r="C27" t="s">
        <v>775</v>
      </c>
      <c r="D27" t="s">
        <v>801</v>
      </c>
    </row>
    <row r="28" spans="1:4">
      <c r="A28" t="s">
        <v>28</v>
      </c>
      <c r="B28" s="20">
        <v>5732221.2404999966</v>
      </c>
      <c r="C28" s="20">
        <v>852895.47519000049</v>
      </c>
      <c r="D28" s="6">
        <v>4.2988095238095267</v>
      </c>
    </row>
    <row r="29" spans="1:4">
      <c r="A29" t="s">
        <v>58</v>
      </c>
      <c r="B29" s="20">
        <v>2440570.8975000004</v>
      </c>
      <c r="C29" s="20">
        <v>498103.6618</v>
      </c>
      <c r="D29" s="6">
        <v>4.2931372549019606</v>
      </c>
    </row>
    <row r="30" spans="1:4">
      <c r="A30" t="s">
        <v>52</v>
      </c>
      <c r="B30" s="20">
        <v>815273.6864999996</v>
      </c>
      <c r="C30" s="20">
        <v>163090.54918999999</v>
      </c>
      <c r="D30" s="6">
        <v>4.2807228915662634</v>
      </c>
    </row>
    <row r="31" spans="1:4">
      <c r="A31" t="s">
        <v>38</v>
      </c>
      <c r="B31" s="20">
        <v>126080.76699999998</v>
      </c>
      <c r="C31" s="20">
        <v>-17652.460359999997</v>
      </c>
      <c r="D31" s="6">
        <v>4.2061224489795919</v>
      </c>
    </row>
    <row r="32" spans="1:4">
      <c r="A32" t="s">
        <v>774</v>
      </c>
      <c r="B32" s="4">
        <v>9114146.5915000029</v>
      </c>
      <c r="C32" s="4">
        <v>1496437.225819998</v>
      </c>
      <c r="D32" s="6">
        <v>4.2674000000000021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0684-7E3B-4AD0-B236-940E56C0799C}">
  <dimension ref="A3:C8"/>
  <sheetViews>
    <sheetView workbookViewId="0">
      <selection activeCell="C5" sqref="C5"/>
    </sheetView>
  </sheetViews>
  <sheetFormatPr defaultRowHeight="14.25"/>
  <cols>
    <col min="1" max="1" width="11.375" bestFit="1" customWidth="1"/>
    <col min="2" max="3" width="12.625" bestFit="1" customWidth="1"/>
    <col min="4" max="5" width="17.375" bestFit="1" customWidth="1"/>
  </cols>
  <sheetData>
    <row r="3" spans="1:3">
      <c r="A3" s="8" t="s">
        <v>6</v>
      </c>
      <c r="B3" t="s">
        <v>776</v>
      </c>
      <c r="C3" t="s">
        <v>775</v>
      </c>
    </row>
    <row r="4" spans="1:3">
      <c r="A4" t="s">
        <v>43</v>
      </c>
      <c r="B4" s="20">
        <v>2607497.0980000021</v>
      </c>
      <c r="C4" s="20">
        <v>418844.15267999988</v>
      </c>
    </row>
    <row r="5" spans="1:3">
      <c r="A5" t="s">
        <v>50</v>
      </c>
      <c r="B5" s="20">
        <v>2084247.9020000002</v>
      </c>
      <c r="C5" s="20">
        <v>367803.03826000006</v>
      </c>
    </row>
    <row r="6" spans="1:3">
      <c r="A6" t="s">
        <v>26</v>
      </c>
      <c r="B6" s="20">
        <v>2268019.2354999995</v>
      </c>
      <c r="C6" s="20">
        <v>363838.19371000002</v>
      </c>
    </row>
    <row r="7" spans="1:3">
      <c r="A7" t="s">
        <v>36</v>
      </c>
      <c r="B7" s="20">
        <v>2154382.3559999992</v>
      </c>
      <c r="C7" s="20">
        <v>345951.84116999985</v>
      </c>
    </row>
    <row r="8" spans="1:3">
      <c r="A8" t="s">
        <v>774</v>
      </c>
      <c r="B8" s="4">
        <v>9114146.591500001</v>
      </c>
      <c r="C8" s="4">
        <v>1496437.2258199998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AD89-9E0C-4E15-81F9-9B53AEABAF03}">
  <dimension ref="A3:J39"/>
  <sheetViews>
    <sheetView workbookViewId="0">
      <selection activeCell="M23" sqref="M23"/>
    </sheetView>
  </sheetViews>
  <sheetFormatPr defaultRowHeight="14.25"/>
  <cols>
    <col min="1" max="1" width="21.875" bestFit="1" customWidth="1"/>
    <col min="2" max="3" width="12.625" bestFit="1" customWidth="1"/>
    <col min="4" max="5" width="7.125" bestFit="1" customWidth="1"/>
    <col min="6" max="6" width="12.625" bestFit="1" customWidth="1"/>
  </cols>
  <sheetData>
    <row r="3" spans="1:3">
      <c r="A3" s="8" t="s">
        <v>777</v>
      </c>
      <c r="B3" t="s">
        <v>776</v>
      </c>
      <c r="C3" t="s">
        <v>775</v>
      </c>
    </row>
    <row r="4" spans="1:3">
      <c r="A4" t="s">
        <v>778</v>
      </c>
      <c r="B4" s="4">
        <v>605987.0675</v>
      </c>
      <c r="C4" s="4">
        <v>99784.884369999985</v>
      </c>
    </row>
    <row r="5" spans="1:3">
      <c r="A5" t="s">
        <v>779</v>
      </c>
      <c r="B5" s="4">
        <v>489588.35199999996</v>
      </c>
      <c r="C5" s="4">
        <v>80249.472249999992</v>
      </c>
    </row>
    <row r="6" spans="1:3">
      <c r="A6" t="s">
        <v>780</v>
      </c>
      <c r="B6" s="4">
        <v>1218851.4600000002</v>
      </c>
      <c r="C6" s="4">
        <v>198394.16687999998</v>
      </c>
    </row>
    <row r="7" spans="1:3">
      <c r="A7" t="s">
        <v>781</v>
      </c>
      <c r="B7" s="4">
        <v>959716.70400000026</v>
      </c>
      <c r="C7" s="4">
        <v>154358.76294000002</v>
      </c>
    </row>
    <row r="8" spans="1:3">
      <c r="A8" t="s">
        <v>782</v>
      </c>
      <c r="B8" s="4">
        <v>347485.69349999994</v>
      </c>
      <c r="C8" s="4">
        <v>51466.188670000018</v>
      </c>
    </row>
    <row r="9" spans="1:3">
      <c r="A9" t="s">
        <v>783</v>
      </c>
      <c r="B9" s="4">
        <v>1425448.7045000002</v>
      </c>
      <c r="C9" s="4">
        <v>245588.6940799999</v>
      </c>
    </row>
    <row r="10" spans="1:3">
      <c r="A10" t="s">
        <v>784</v>
      </c>
      <c r="B10" s="4">
        <v>390605.00899999996</v>
      </c>
      <c r="C10" s="4">
        <v>67516.879629999996</v>
      </c>
    </row>
    <row r="11" spans="1:3">
      <c r="A11" t="s">
        <v>785</v>
      </c>
      <c r="B11" s="4">
        <v>771290.90449999971</v>
      </c>
      <c r="C11" s="4">
        <v>124616.21324999996</v>
      </c>
    </row>
    <row r="12" spans="1:3">
      <c r="A12" t="s">
        <v>786</v>
      </c>
      <c r="B12" s="4">
        <v>429680.15300000005</v>
      </c>
      <c r="C12" s="4">
        <v>75723.352580000021</v>
      </c>
    </row>
    <row r="13" spans="1:3">
      <c r="A13" t="s">
        <v>787</v>
      </c>
      <c r="B13" s="4">
        <v>623210.08750000002</v>
      </c>
      <c r="C13" s="4">
        <v>99176.010700000013</v>
      </c>
    </row>
    <row r="14" spans="1:3">
      <c r="A14" t="s">
        <v>788</v>
      </c>
      <c r="B14" s="4">
        <v>936248.43900000001</v>
      </c>
      <c r="C14" s="4">
        <v>139943.52149999997</v>
      </c>
    </row>
    <row r="15" spans="1:3">
      <c r="A15" t="s">
        <v>789</v>
      </c>
      <c r="B15" s="4">
        <v>916034.01700000011</v>
      </c>
      <c r="C15" s="4">
        <v>159619.07897000006</v>
      </c>
    </row>
    <row r="16" spans="1:3">
      <c r="A16" t="s">
        <v>774</v>
      </c>
      <c r="B16" s="4">
        <v>9114146.591500001</v>
      </c>
      <c r="C16" s="4">
        <v>1496437.2258200001</v>
      </c>
    </row>
    <row r="26" spans="1:10">
      <c r="A26" s="8" t="s">
        <v>777</v>
      </c>
      <c r="B26" t="s">
        <v>799</v>
      </c>
      <c r="C26" t="s">
        <v>800</v>
      </c>
      <c r="D26" t="s">
        <v>792</v>
      </c>
    </row>
    <row r="27" spans="1:10">
      <c r="A27" t="s">
        <v>778</v>
      </c>
      <c r="B27" s="4">
        <v>605987.0675</v>
      </c>
      <c r="C27" s="4">
        <v>99784.884369999985</v>
      </c>
      <c r="D27" s="32">
        <v>30</v>
      </c>
      <c r="G27" t="str">
        <f>A27&amp;" "&amp;"2025"</f>
        <v>Jan 2025</v>
      </c>
      <c r="H27">
        <f t="shared" ref="H27:J27" si="0">B27</f>
        <v>605987.0675</v>
      </c>
      <c r="I27">
        <f t="shared" si="0"/>
        <v>99784.884369999985</v>
      </c>
      <c r="J27">
        <f t="shared" si="0"/>
        <v>30</v>
      </c>
    </row>
    <row r="28" spans="1:10">
      <c r="A28" t="s">
        <v>779</v>
      </c>
      <c r="B28" s="4">
        <v>489588.35199999996</v>
      </c>
      <c r="C28" s="4">
        <v>80249.472249999992</v>
      </c>
      <c r="D28" s="32">
        <v>41</v>
      </c>
      <c r="G28" t="str">
        <f t="shared" ref="G28:G38" si="1">A28&amp;" "&amp;"2025"</f>
        <v>Feb 2025</v>
      </c>
      <c r="H28">
        <f t="shared" ref="H28:H38" si="2">B28</f>
        <v>489588.35199999996</v>
      </c>
      <c r="I28">
        <f t="shared" ref="I28:I38" si="3">C28</f>
        <v>80249.472249999992</v>
      </c>
      <c r="J28">
        <f t="shared" ref="J28:J38" si="4">D28</f>
        <v>41</v>
      </c>
    </row>
    <row r="29" spans="1:10">
      <c r="A29" t="s">
        <v>780</v>
      </c>
      <c r="B29" s="4">
        <v>1218851.4600000002</v>
      </c>
      <c r="C29" s="4">
        <v>198394.16687999998</v>
      </c>
      <c r="D29" s="32">
        <v>47</v>
      </c>
      <c r="G29" t="str">
        <f t="shared" si="1"/>
        <v>Mar 2025</v>
      </c>
      <c r="H29">
        <f t="shared" si="2"/>
        <v>1218851.4600000002</v>
      </c>
      <c r="I29">
        <f t="shared" si="3"/>
        <v>198394.16687999998</v>
      </c>
      <c r="J29">
        <f t="shared" si="4"/>
        <v>47</v>
      </c>
    </row>
    <row r="30" spans="1:10">
      <c r="A30" t="s">
        <v>781</v>
      </c>
      <c r="B30" s="4">
        <v>959716.70400000026</v>
      </c>
      <c r="C30" s="4">
        <v>154358.76294000002</v>
      </c>
      <c r="D30" s="32">
        <v>45</v>
      </c>
      <c r="G30" t="str">
        <f t="shared" si="1"/>
        <v>Apr 2025</v>
      </c>
      <c r="H30">
        <f t="shared" si="2"/>
        <v>959716.70400000026</v>
      </c>
      <c r="I30">
        <f t="shared" si="3"/>
        <v>154358.76294000002</v>
      </c>
      <c r="J30">
        <f t="shared" si="4"/>
        <v>45</v>
      </c>
    </row>
    <row r="31" spans="1:10">
      <c r="A31" t="s">
        <v>782</v>
      </c>
      <c r="B31" s="4">
        <v>347485.69349999994</v>
      </c>
      <c r="C31" s="4">
        <v>51466.188670000018</v>
      </c>
      <c r="D31" s="32">
        <v>44</v>
      </c>
      <c r="G31" t="str">
        <f t="shared" si="1"/>
        <v>May 2025</v>
      </c>
      <c r="H31">
        <f t="shared" si="2"/>
        <v>347485.69349999994</v>
      </c>
      <c r="I31">
        <f t="shared" si="3"/>
        <v>51466.188670000018</v>
      </c>
      <c r="J31">
        <f t="shared" si="4"/>
        <v>44</v>
      </c>
    </row>
    <row r="32" spans="1:10">
      <c r="A32" t="s">
        <v>783</v>
      </c>
      <c r="B32" s="4">
        <v>1425448.7045000002</v>
      </c>
      <c r="C32" s="4">
        <v>245588.6940799999</v>
      </c>
      <c r="D32" s="32">
        <v>42</v>
      </c>
      <c r="G32" t="str">
        <f t="shared" si="1"/>
        <v>Jun 2025</v>
      </c>
      <c r="H32">
        <f t="shared" si="2"/>
        <v>1425448.7045000002</v>
      </c>
      <c r="I32">
        <f t="shared" si="3"/>
        <v>245588.6940799999</v>
      </c>
      <c r="J32">
        <f t="shared" si="4"/>
        <v>42</v>
      </c>
    </row>
    <row r="33" spans="1:10">
      <c r="A33" t="s">
        <v>784</v>
      </c>
      <c r="B33" s="4">
        <v>390605.00899999996</v>
      </c>
      <c r="C33" s="4">
        <v>67516.879629999996</v>
      </c>
      <c r="D33" s="32">
        <v>32</v>
      </c>
      <c r="G33" t="str">
        <f t="shared" si="1"/>
        <v>Jul 2025</v>
      </c>
      <c r="H33">
        <f t="shared" si="2"/>
        <v>390605.00899999996</v>
      </c>
      <c r="I33">
        <f t="shared" si="3"/>
        <v>67516.879629999996</v>
      </c>
      <c r="J33">
        <f t="shared" si="4"/>
        <v>32</v>
      </c>
    </row>
    <row r="34" spans="1:10">
      <c r="A34" t="s">
        <v>785</v>
      </c>
      <c r="B34" s="4">
        <v>771290.90449999971</v>
      </c>
      <c r="C34" s="4">
        <v>124616.21324999996</v>
      </c>
      <c r="D34" s="32">
        <v>43</v>
      </c>
      <c r="G34" t="str">
        <f t="shared" si="1"/>
        <v>Aug 2025</v>
      </c>
      <c r="H34">
        <f t="shared" si="2"/>
        <v>771290.90449999971</v>
      </c>
      <c r="I34">
        <f t="shared" si="3"/>
        <v>124616.21324999996</v>
      </c>
      <c r="J34">
        <f t="shared" si="4"/>
        <v>43</v>
      </c>
    </row>
    <row r="35" spans="1:10">
      <c r="A35" t="s">
        <v>786</v>
      </c>
      <c r="B35" s="4">
        <v>429680.15300000005</v>
      </c>
      <c r="C35" s="4">
        <v>75723.352580000021</v>
      </c>
      <c r="D35" s="32">
        <v>38</v>
      </c>
      <c r="G35" t="str">
        <f t="shared" si="1"/>
        <v>Sep 2025</v>
      </c>
      <c r="H35">
        <f t="shared" si="2"/>
        <v>429680.15300000005</v>
      </c>
      <c r="I35">
        <f t="shared" si="3"/>
        <v>75723.352580000021</v>
      </c>
      <c r="J35">
        <f t="shared" si="4"/>
        <v>38</v>
      </c>
    </row>
    <row r="36" spans="1:10">
      <c r="A36" t="s">
        <v>787</v>
      </c>
      <c r="B36" s="4">
        <v>623210.08750000002</v>
      </c>
      <c r="C36" s="4">
        <v>99176.010700000013</v>
      </c>
      <c r="D36" s="32">
        <v>44</v>
      </c>
      <c r="G36" t="str">
        <f t="shared" si="1"/>
        <v>Oct 2025</v>
      </c>
      <c r="H36">
        <f t="shared" si="2"/>
        <v>623210.08750000002</v>
      </c>
      <c r="I36">
        <f t="shared" si="3"/>
        <v>99176.010700000013</v>
      </c>
      <c r="J36">
        <f t="shared" si="4"/>
        <v>44</v>
      </c>
    </row>
    <row r="37" spans="1:10">
      <c r="A37" t="s">
        <v>788</v>
      </c>
      <c r="B37" s="4">
        <v>936248.43900000001</v>
      </c>
      <c r="C37" s="4">
        <v>139943.52149999997</v>
      </c>
      <c r="D37" s="32">
        <v>42</v>
      </c>
      <c r="G37" t="str">
        <f t="shared" si="1"/>
        <v>Nov 2025</v>
      </c>
      <c r="H37">
        <f t="shared" si="2"/>
        <v>936248.43900000001</v>
      </c>
      <c r="I37">
        <f t="shared" si="3"/>
        <v>139943.52149999997</v>
      </c>
      <c r="J37">
        <f t="shared" si="4"/>
        <v>42</v>
      </c>
    </row>
    <row r="38" spans="1:10">
      <c r="A38" t="s">
        <v>789</v>
      </c>
      <c r="B38" s="4">
        <v>916034.01700000011</v>
      </c>
      <c r="C38" s="4">
        <v>159619.07897000006</v>
      </c>
      <c r="D38" s="32">
        <v>52</v>
      </c>
      <c r="G38" t="str">
        <f t="shared" si="1"/>
        <v>Dec 2025</v>
      </c>
      <c r="H38">
        <f t="shared" si="2"/>
        <v>916034.01700000011</v>
      </c>
      <c r="I38">
        <f t="shared" si="3"/>
        <v>159619.07897000006</v>
      </c>
      <c r="J38">
        <f t="shared" si="4"/>
        <v>52</v>
      </c>
    </row>
    <row r="39" spans="1:10">
      <c r="A39" t="s">
        <v>774</v>
      </c>
      <c r="B39" s="4">
        <v>9114146.5914999936</v>
      </c>
      <c r="C39" s="4">
        <v>1496437.2258199991</v>
      </c>
      <c r="D39" s="32">
        <v>500</v>
      </c>
    </row>
  </sheetData>
  <pageMargins left="0.7" right="0.7" top="0.75" bottom="0.75" header="0.3" footer="0.3"/>
  <pageSetup paperSize="9" orientation="portrait" horizontalDpi="0" verticalDpi="0"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Analysis</vt:lpstr>
      <vt:lpstr>Sales_Data</vt:lpstr>
      <vt:lpstr>Lookup_Lists</vt:lpstr>
      <vt:lpstr>Sales and Profit by Category</vt:lpstr>
      <vt:lpstr>Sales and Profit by Region</vt:lpstr>
      <vt:lpstr>Monthly Sales and Profit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Nichole Munlawin</dc:creator>
  <cp:lastModifiedBy>Nichole Munlawin</cp:lastModifiedBy>
  <dcterms:created xsi:type="dcterms:W3CDTF">2026-05-13T06:54:52Z</dcterms:created>
  <dcterms:modified xsi:type="dcterms:W3CDTF">2026-05-20T14:02:15Z</dcterms:modified>
</cp:coreProperties>
</file>