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F:\Data Analytics\Data\Excel\For upload\small-dummy-data-dashboard\"/>
    </mc:Choice>
  </mc:AlternateContent>
  <xr:revisionPtr revIDLastSave="0" documentId="13_ncr:1_{55CDE75B-B32E-4D56-84E6-F12C6D637064}" xr6:coauthVersionLast="47" xr6:coauthVersionMax="47" xr10:uidLastSave="{00000000-0000-0000-0000-000000000000}"/>
  <bookViews>
    <workbookView xWindow="-120" yWindow="-120" windowWidth="29040" windowHeight="16440" xr2:uid="{00000000-000D-0000-FFFF-FFFF00000000}"/>
  </bookViews>
  <sheets>
    <sheet name="Dashboard" sheetId="8" r:id="rId1"/>
    <sheet name="Analysis" sheetId="10" r:id="rId2"/>
    <sheet name="Transactions" sheetId="1" r:id="rId3"/>
    <sheet name="Customers" sheetId="2" r:id="rId4"/>
    <sheet name="Analyze" sheetId="7" r:id="rId5"/>
    <sheet name="Products" sheetId="3" r:id="rId6"/>
  </sheets>
  <definedNames>
    <definedName name="_xlcn.WorksheetConnection_small_dummy_data_analysis_practice.xlsxCustomersTable1" hidden="1">CustomersTable[]</definedName>
    <definedName name="_xlcn.WorksheetConnection_small_dummy_data_analysis_practice.xlsxProductsTable1" hidden="1">ProductsTable[]</definedName>
    <definedName name="_xlcn.WorksheetConnection_small_dummy_data_analysis_practice.xlsxTransactionsTable1" hidden="1">TransactionsTable[]</definedName>
    <definedName name="Slicer_Region">#N/A</definedName>
  </definedNames>
  <calcPr calcId="191029"/>
  <pivotCaches>
    <pivotCache cacheId="0" r:id="rId7"/>
    <pivotCache cacheId="1" r:id="rId8"/>
    <pivotCache cacheId="2" r:id="rId9"/>
    <pivotCache cacheId="3"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ransactionsTable" name="TransactionsTable" connection="WorksheetConnection_small_dummy_data_analysis_practice.xlsx!TransactionsTable"/>
          <x15:modelTable id="ProductsTable" name="ProductsTable" connection="WorksheetConnection_small_dummy_data_analysis_practice.xlsx!ProductsTable"/>
          <x15:modelTable id="CustomersTable" name="CustomersTable" connection="WorksheetConnection_small_dummy_data_analysis_practice.xlsx!CustomersTable"/>
        </x15:modelTables>
        <x15:modelRelationships>
          <x15:modelRelationship fromTable="TransactionsTable" fromColumn="Customer ID" toTable="CustomersTable" toColumn="Customer ID"/>
          <x15:modelRelationship fromTable="TransactionsTable" fromColumn="Product ID" toTable="ProductsTable" toColumn="Product ID"/>
        </x15:modelRelationships>
        <x15:extLst>
          <ext xmlns:x16="http://schemas.microsoft.com/office/spreadsheetml/2014/11/main" uri="{9835A34E-60A6-4A7C-AAB8-D5F71C897F49}">
            <x16:modelTimeGroupings>
              <x16:modelTimeGrouping tableName="TransactionsTable"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7" l="1"/>
  <c r="D53" i="7"/>
  <c r="D55" i="7" s="1"/>
  <c r="F15" i="7"/>
  <c r="G15" i="7"/>
  <c r="H15" i="7"/>
  <c r="F16" i="7"/>
  <c r="G16" i="7"/>
  <c r="H16" i="7"/>
  <c r="F17" i="7"/>
  <c r="G17" i="7"/>
  <c r="H17" i="7"/>
  <c r="G14" i="7"/>
  <c r="H14" i="7"/>
  <c r="F14" i="7"/>
  <c r="D13" i="8"/>
  <c r="E13" i="8"/>
  <c r="F13" i="8"/>
  <c r="D14" i="8"/>
  <c r="E14" i="8"/>
  <c r="F14" i="8"/>
  <c r="D15" i="8"/>
  <c r="E15" i="8"/>
  <c r="F15" i="8"/>
  <c r="D16" i="8"/>
  <c r="E16" i="8"/>
  <c r="F16" i="8"/>
  <c r="I13" i="8"/>
  <c r="J13" i="8"/>
  <c r="K13" i="8"/>
  <c r="I14" i="8"/>
  <c r="J14" i="8"/>
  <c r="K14" i="8"/>
  <c r="I15" i="8"/>
  <c r="J15" i="8"/>
  <c r="K15" i="8"/>
  <c r="I16" i="8"/>
  <c r="J16" i="8"/>
  <c r="K16" i="8"/>
  <c r="J12" i="8"/>
  <c r="K12" i="8"/>
  <c r="I12" i="8"/>
  <c r="E12" i="8"/>
  <c r="F12" i="8"/>
  <c r="D12" i="8"/>
  <c r="F4" i="7"/>
  <c r="G4" i="7"/>
  <c r="H4" i="7"/>
  <c r="F5" i="7"/>
  <c r="G5" i="7"/>
  <c r="H5" i="7"/>
  <c r="F6" i="7"/>
  <c r="G6" i="7"/>
  <c r="H6" i="7"/>
  <c r="F7" i="7"/>
  <c r="G7" i="7"/>
  <c r="H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E0ABA5-62EE-4A7E-9F11-AF47067BFE7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1A2E4764-3FE7-4F04-8AF9-60DB78F8B6F7}" name="WorksheetConnection_small_dummy_data_analysis_practice.xlsx!CustomersTable" type="102" refreshedVersion="8" minRefreshableVersion="5">
    <extLst>
      <ext xmlns:x15="http://schemas.microsoft.com/office/spreadsheetml/2010/11/main" uri="{DE250136-89BD-433C-8126-D09CA5730AF9}">
        <x15:connection id="CustomersTable">
          <x15:rangePr sourceName="_xlcn.WorksheetConnection_small_dummy_data_analysis_practice.xlsxCustomersTable1"/>
        </x15:connection>
      </ext>
    </extLst>
  </connection>
  <connection id="3" xr16:uid="{758E1F3E-5ED1-4C5A-BD4D-F80A1006296D}" name="WorksheetConnection_small_dummy_data_analysis_practice.xlsx!ProductsTable" type="102" refreshedVersion="8" minRefreshableVersion="5">
    <extLst>
      <ext xmlns:x15="http://schemas.microsoft.com/office/spreadsheetml/2010/11/main" uri="{DE250136-89BD-433C-8126-D09CA5730AF9}">
        <x15:connection id="ProductsTable">
          <x15:rangePr sourceName="_xlcn.WorksheetConnection_small_dummy_data_analysis_practice.xlsxProductsTable1"/>
        </x15:connection>
      </ext>
    </extLst>
  </connection>
  <connection id="4" xr16:uid="{14A340B3-3F42-443C-A1BB-FAEF0EC89923}" name="WorksheetConnection_small_dummy_data_analysis_practice.xlsx!TransactionsTable" type="102" refreshedVersion="8" minRefreshableVersion="5">
    <extLst>
      <ext xmlns:x15="http://schemas.microsoft.com/office/spreadsheetml/2010/11/main" uri="{DE250136-89BD-433C-8126-D09CA5730AF9}">
        <x15:connection id="TransactionsTable">
          <x15:rangePr sourceName="_xlcn.WorksheetConnection_small_dummy_data_analysis_practice.xlsxTransactionsTable1"/>
        </x15:connection>
      </ext>
    </extLst>
  </connection>
</connections>
</file>

<file path=xl/sharedStrings.xml><?xml version="1.0" encoding="utf-8"?>
<sst xmlns="http://schemas.openxmlformats.org/spreadsheetml/2006/main" count="899" uniqueCount="309">
  <si>
    <t>Order ID</t>
  </si>
  <si>
    <t>Order Date</t>
  </si>
  <si>
    <t>Customer ID</t>
  </si>
  <si>
    <t>Product ID</t>
  </si>
  <si>
    <t>Sales Channel</t>
  </si>
  <si>
    <t>Payment Method</t>
  </si>
  <si>
    <t>Quantity</t>
  </si>
  <si>
    <t>Unit Price</t>
  </si>
  <si>
    <t>Discount %</t>
  </si>
  <si>
    <t>Shipping Fee</t>
  </si>
  <si>
    <t>Gross Sales</t>
  </si>
  <si>
    <t>Discount Amount</t>
  </si>
  <si>
    <t>Net Sales</t>
  </si>
  <si>
    <t>Unit Cost</t>
  </si>
  <si>
    <t>Total Cost</t>
  </si>
  <si>
    <t>Profit</t>
  </si>
  <si>
    <t>Order Status</t>
  </si>
  <si>
    <t>Satisfaction Score</t>
  </si>
  <si>
    <t>ORD-0052</t>
  </si>
  <si>
    <t>CUST-012</t>
  </si>
  <si>
    <t>PROD-003</t>
  </si>
  <si>
    <t>Retail</t>
  </si>
  <si>
    <t>Cash</t>
  </si>
  <si>
    <t>Cancelled</t>
  </si>
  <si>
    <t>ORD-0078</t>
  </si>
  <si>
    <t>CUST-002</t>
  </si>
  <si>
    <t>PROD-004</t>
  </si>
  <si>
    <t>Marketplace</t>
  </si>
  <si>
    <t>GCash</t>
  </si>
  <si>
    <t>Returned</t>
  </si>
  <si>
    <t>ORD-0099</t>
  </si>
  <si>
    <t>CUST-003</t>
  </si>
  <si>
    <t>PROD-011</t>
  </si>
  <si>
    <t>Completed</t>
  </si>
  <si>
    <t>ORD-0083</t>
  </si>
  <si>
    <t>CUST-011</t>
  </si>
  <si>
    <t>PROD-014</t>
  </si>
  <si>
    <t>ORD-0048</t>
  </si>
  <si>
    <t>CUST-013</t>
  </si>
  <si>
    <t>PROD-010</t>
  </si>
  <si>
    <t>ORD-0025</t>
  </si>
  <si>
    <t>CUST-020</t>
  </si>
  <si>
    <t>Online Store</t>
  </si>
  <si>
    <t>ORD-0005</t>
  </si>
  <si>
    <t>Reseller</t>
  </si>
  <si>
    <t>ORD-0019</t>
  </si>
  <si>
    <t>PROD-001</t>
  </si>
  <si>
    <t>ORD-0013</t>
  </si>
  <si>
    <t>CUST-016</t>
  </si>
  <si>
    <t>ORD-0007</t>
  </si>
  <si>
    <t>CUST-006</t>
  </si>
  <si>
    <t>PROD-008</t>
  </si>
  <si>
    <t>ORD-0006</t>
  </si>
  <si>
    <t>ORD-0008</t>
  </si>
  <si>
    <t>CUST-005</t>
  </si>
  <si>
    <t>PROD-006</t>
  </si>
  <si>
    <t>Bank Transfer</t>
  </si>
  <si>
    <t>ORD-0033</t>
  </si>
  <si>
    <t>PROD-007</t>
  </si>
  <si>
    <t>ORD-0079</t>
  </si>
  <si>
    <t>CUST-010</t>
  </si>
  <si>
    <t>PROD-009</t>
  </si>
  <si>
    <t>ORD-0097</t>
  </si>
  <si>
    <t>CUST-018</t>
  </si>
  <si>
    <t>ORD-0009</t>
  </si>
  <si>
    <t>CUST-008</t>
  </si>
  <si>
    <t>ORD-0063</t>
  </si>
  <si>
    <t>Credit Card</t>
  </si>
  <si>
    <t>ORD-0004</t>
  </si>
  <si>
    <t>ORD-0096</t>
  </si>
  <si>
    <t>PROD-005</t>
  </si>
  <si>
    <t>ORD-0027</t>
  </si>
  <si>
    <t>CUST-004</t>
  </si>
  <si>
    <t>PROD-002</t>
  </si>
  <si>
    <t>ORD-0038</t>
  </si>
  <si>
    <t>ORD-0024</t>
  </si>
  <si>
    <t>ORD-0091</t>
  </si>
  <si>
    <t>ORD-0051</t>
  </si>
  <si>
    <t>ORD-0046</t>
  </si>
  <si>
    <t>ORD-0073</t>
  </si>
  <si>
    <t>ORD-0069</t>
  </si>
  <si>
    <t>ORD-0068</t>
  </si>
  <si>
    <t>PROD-012</t>
  </si>
  <si>
    <t>ORD-0056</t>
  </si>
  <si>
    <t>CUST-015</t>
  </si>
  <si>
    <t>ORD-0001</t>
  </si>
  <si>
    <t>CUST-007</t>
  </si>
  <si>
    <t>ORD-0050</t>
  </si>
  <si>
    <t>CUST-001</t>
  </si>
  <si>
    <t>ORD-0015</t>
  </si>
  <si>
    <t>ORD-0066</t>
  </si>
  <si>
    <t>CUST-019</t>
  </si>
  <si>
    <t>ORD-0049</t>
  </si>
  <si>
    <t>ORD-0057</t>
  </si>
  <si>
    <t>ORD-0003</t>
  </si>
  <si>
    <t>PROD-015</t>
  </si>
  <si>
    <t>ORD-0022</t>
  </si>
  <si>
    <t>ORD-0032</t>
  </si>
  <si>
    <t>ORD-0081</t>
  </si>
  <si>
    <t>ORD-0031</t>
  </si>
  <si>
    <t>ORD-0062</t>
  </si>
  <si>
    <t>ORD-0064</t>
  </si>
  <si>
    <t>ORD-0041</t>
  </si>
  <si>
    <t>ORD-0076</t>
  </si>
  <si>
    <t>ORD-0075</t>
  </si>
  <si>
    <t>ORD-0044</t>
  </si>
  <si>
    <t>ORD-0082</t>
  </si>
  <si>
    <t>ORD-0014</t>
  </si>
  <si>
    <t>ORD-0093</t>
  </si>
  <si>
    <t>ORD-0028</t>
  </si>
  <si>
    <t>ORD-0088</t>
  </si>
  <si>
    <t>ORD-0077</t>
  </si>
  <si>
    <t>CUST-017</t>
  </si>
  <si>
    <t>ORD-0045</t>
  </si>
  <si>
    <t>ORD-0089</t>
  </si>
  <si>
    <t>ORD-0010</t>
  </si>
  <si>
    <t>ORD-0002</t>
  </si>
  <si>
    <t>ORD-0065</t>
  </si>
  <si>
    <t>ORD-0035</t>
  </si>
  <si>
    <t>ORD-0059</t>
  </si>
  <si>
    <t>ORD-0058</t>
  </si>
  <si>
    <t>ORD-0029</t>
  </si>
  <si>
    <t>ORD-0100</t>
  </si>
  <si>
    <t>ORD-0054</t>
  </si>
  <si>
    <t>ORD-0067</t>
  </si>
  <si>
    <t>ORD-0034</t>
  </si>
  <si>
    <t>CUST-009</t>
  </si>
  <si>
    <t>ORD-0017</t>
  </si>
  <si>
    <t>ORD-0021</t>
  </si>
  <si>
    <t>ORD-0030</t>
  </si>
  <si>
    <t>PROD-013</t>
  </si>
  <si>
    <t>ORD-0040</t>
  </si>
  <si>
    <t>ORD-0090</t>
  </si>
  <si>
    <t>ORD-0047</t>
  </si>
  <si>
    <t>ORD-0085</t>
  </si>
  <si>
    <t>ORD-0016</t>
  </si>
  <si>
    <t>ORD-0072</t>
  </si>
  <si>
    <t>ORD-0039</t>
  </si>
  <si>
    <t>ORD-0037</t>
  </si>
  <si>
    <t>ORD-0012</t>
  </si>
  <si>
    <t>ORD-0042</t>
  </si>
  <si>
    <t>ORD-0043</t>
  </si>
  <si>
    <t>ORD-0095</t>
  </si>
  <si>
    <t>ORD-0070</t>
  </si>
  <si>
    <t>ORD-0036</t>
  </si>
  <si>
    <t>ORD-0026</t>
  </si>
  <si>
    <t>ORD-0080</t>
  </si>
  <si>
    <t>ORD-0020</t>
  </si>
  <si>
    <t>ORD-0071</t>
  </si>
  <si>
    <t>ORD-0018</t>
  </si>
  <si>
    <t>ORD-0094</t>
  </si>
  <si>
    <t>ORD-0074</t>
  </si>
  <si>
    <t>ORD-0011</t>
  </si>
  <si>
    <t>ORD-0084</t>
  </si>
  <si>
    <t>ORD-0098</t>
  </si>
  <si>
    <t>ORD-0086</t>
  </si>
  <si>
    <t>ORD-0087</t>
  </si>
  <si>
    <t>ORD-0055</t>
  </si>
  <si>
    <t>CUST-014</t>
  </si>
  <si>
    <t>ORD-0092</t>
  </si>
  <si>
    <t>ORD-0053</t>
  </si>
  <si>
    <t>ORD-0061</t>
  </si>
  <si>
    <t>ORD-0060</t>
  </si>
  <si>
    <t>ORD-0023</t>
  </si>
  <si>
    <t>Customer Name</t>
  </si>
  <si>
    <t>Segment</t>
  </si>
  <si>
    <t>Region</t>
  </si>
  <si>
    <t>City</t>
  </si>
  <si>
    <t>Signup Date</t>
  </si>
  <si>
    <t>Customer 01</t>
  </si>
  <si>
    <t>Consumer</t>
  </si>
  <si>
    <t>North</t>
  </si>
  <si>
    <t>Caloocan</t>
  </si>
  <si>
    <t>Customer 02</t>
  </si>
  <si>
    <t>South</t>
  </si>
  <si>
    <t>Makati</t>
  </si>
  <si>
    <t>Customer 03</t>
  </si>
  <si>
    <t>Small Business</t>
  </si>
  <si>
    <t>Customer 04</t>
  </si>
  <si>
    <t>Manila</t>
  </si>
  <si>
    <t>Customer 05</t>
  </si>
  <si>
    <t>Quezon City</t>
  </si>
  <si>
    <t>Customer 06</t>
  </si>
  <si>
    <t>Customer 07</t>
  </si>
  <si>
    <t>Mindanao</t>
  </si>
  <si>
    <t>Cagayan de Oro</t>
  </si>
  <si>
    <t>Customer 08</t>
  </si>
  <si>
    <t>Central</t>
  </si>
  <si>
    <t>Cebu City</t>
  </si>
  <si>
    <t>Customer 09</t>
  </si>
  <si>
    <t>Corporate</t>
  </si>
  <si>
    <t>Customer 10</t>
  </si>
  <si>
    <t>Customer 11</t>
  </si>
  <si>
    <t>Customer 12</t>
  </si>
  <si>
    <t>Mandaue</t>
  </si>
  <si>
    <t>Customer 13</t>
  </si>
  <si>
    <t>Customer 14</t>
  </si>
  <si>
    <t>Customer 15</t>
  </si>
  <si>
    <t>Lapu-Lapu</t>
  </si>
  <si>
    <t>Customer 16</t>
  </si>
  <si>
    <t>Customer 17</t>
  </si>
  <si>
    <t>Customer 18</t>
  </si>
  <si>
    <t>Customer 19</t>
  </si>
  <si>
    <t>Customer 20</t>
  </si>
  <si>
    <t>Product Name</t>
  </si>
  <si>
    <t>Category</t>
  </si>
  <si>
    <t>List Price</t>
  </si>
  <si>
    <t>Bluetooth Speaker</t>
  </si>
  <si>
    <t>Electronics</t>
  </si>
  <si>
    <t>Wireless Mouse</t>
  </si>
  <si>
    <t>USB-C Hub</t>
  </si>
  <si>
    <t>Webcam</t>
  </si>
  <si>
    <t>Notebook Pack</t>
  </si>
  <si>
    <t>Office Supplies</t>
  </si>
  <si>
    <t>Pen Set</t>
  </si>
  <si>
    <t>Desk Organizer</t>
  </si>
  <si>
    <t>Printer Paper</t>
  </si>
  <si>
    <t>Coffee Mug</t>
  </si>
  <si>
    <t>Home</t>
  </si>
  <si>
    <t>LED Desk Lamp</t>
  </si>
  <si>
    <t>Storage Box</t>
  </si>
  <si>
    <t>Water Bottle</t>
  </si>
  <si>
    <t>T-Shirt</t>
  </si>
  <si>
    <t>Apparel</t>
  </si>
  <si>
    <t>Cap</t>
  </si>
  <si>
    <t>Hoodie</t>
  </si>
  <si>
    <t>NA</t>
  </si>
  <si>
    <t>DASHBOARD</t>
  </si>
  <si>
    <t>Total Sales</t>
  </si>
  <si>
    <t>Row Labels</t>
  </si>
  <si>
    <t>Grand Total</t>
  </si>
  <si>
    <t>Sum of Net Sales</t>
  </si>
  <si>
    <t>Sum of Profit</t>
  </si>
  <si>
    <t>Jan</t>
  </si>
  <si>
    <t>Feb</t>
  </si>
  <si>
    <t>Mar</t>
  </si>
  <si>
    <t>Apr</t>
  </si>
  <si>
    <t>May</t>
  </si>
  <si>
    <t>Jun</t>
  </si>
  <si>
    <t>Jul</t>
  </si>
  <si>
    <t>Aug</t>
  </si>
  <si>
    <t>Sep</t>
  </si>
  <si>
    <t>Oct</t>
  </si>
  <si>
    <t>Nov</t>
  </si>
  <si>
    <t>Dec</t>
  </si>
  <si>
    <t>Order Date (Month)</t>
  </si>
  <si>
    <t>Sales and Profit by Region</t>
  </si>
  <si>
    <t>Sales and Profit by Category</t>
  </si>
  <si>
    <t>Monthly Sales and Profit FY 2025</t>
  </si>
  <si>
    <t>Count of Order ID</t>
  </si>
  <si>
    <t>Total Return Rate</t>
  </si>
  <si>
    <t>Value</t>
  </si>
  <si>
    <t>Pointer</t>
  </si>
  <si>
    <t>Avg. Satisfaction Score</t>
  </si>
  <si>
    <t>Customer Satisfaction Score</t>
  </si>
  <si>
    <t>Business question</t>
  </si>
  <si>
    <t>Insight</t>
  </si>
  <si>
    <t>Implication</t>
  </si>
  <si>
    <t>Suggested Action</t>
  </si>
  <si>
    <t>How is the business performing overall?</t>
  </si>
  <si>
    <t>Profitability is strong, but 40% of orders not completing cleanly and a below-neutral satisfaction score create meaningful leakage risk.</t>
  </si>
  <si>
    <t>Prioritize reducing returns and cancellations while investigating satisfaction drivers by product, region, and fulfillment step.</t>
  </si>
  <si>
    <t>Which region leads sales?</t>
  </si>
  <si>
    <t>North leads with 82,149 sales and 34,104 profit, or 29.6% of total sales. Central is close behind with 80,334 sales and 34,164 profit.</t>
  </si>
  <si>
    <t>Revenue is concentrated in North and Central, suggesting these markets have the strongest current demand and execution.</t>
  </si>
  <si>
    <t>Protect stock availability and service levels in North/Central, then replicate their channel or promotion playbook in lower-performing regions.</t>
  </si>
  <si>
    <t>Which region needs the most attention?</t>
  </si>
  <si>
    <t>South is the lowest region with 48,793 sales and 19,793 profit, contributing only 17.6% of total sales.</t>
  </si>
  <si>
    <t>South underperformance limits total growth and may signal weaker demand generation, distribution, or customer fit.</t>
  </si>
  <si>
    <t>Run a South-region diagnostic on product mix, pricing, promotions, delivery performance, and customer feedback.</t>
  </si>
  <si>
    <t>Which region has the strongest margin?</t>
  </si>
  <si>
    <t>Central has the highest margin at 42.5%, followed by North at 41.5%, South at 40.6%, and Mindanao at 39.7%.</t>
  </si>
  <si>
    <t>Central appears to be the most efficient region, while Mindanao has the most margin improvement room.</t>
  </si>
  <si>
    <t>Use Central as the operating benchmark and test targeted margin actions in Mindanao.</t>
  </si>
  <si>
    <t>Which category drives revenue?</t>
  </si>
  <si>
    <t>Electronics generates 187,857 sales and 72,967 profit, representing 67.7% of total sales.</t>
  </si>
  <si>
    <t>The business is highly dependent on Electronics, creating concentration risk if demand, inventory, or supplier economics shift.</t>
  </si>
  <si>
    <t>Maintain Electronics availability and campaigns, but diversify growth into profitable non-Electronics categories.</t>
  </si>
  <si>
    <t>Which categories offer margin upside?</t>
  </si>
  <si>
    <t>Apparel has the highest margin at 47.2%, followed by Office Supplies at 46.0% and Home at 45.5%; Electronics margin is lower at 38.8%.</t>
  </si>
  <si>
    <t>Smaller categories are more profitable, so mix shift can improve profit even without proportional sales growth.</t>
  </si>
  <si>
    <t>Promote bundles, recommendations, and merchandising that attach Apparel, Office Supplies, and Home to Electronics orders.</t>
  </si>
  <si>
    <t>What is the strongest month?</t>
  </si>
  <si>
    <t>May is the best month with 47,321 sales and 19,416 profit, equal to 17.0% of annual sales.</t>
  </si>
  <si>
    <t>May likely reflects a successful campaign, seasonal lift, or operational peak that can inform repeatable planning.</t>
  </si>
  <si>
    <t>Investigate May drivers and reuse the strongest promotion, inventory, and channel tactics in future campaigns.</t>
  </si>
  <si>
    <t>What are the weakest months?</t>
  </si>
  <si>
    <t>November is the weakest month with 10,717 sales and 5,057 profit; September is also weak with 13,201 sales and 5,581 profit.</t>
  </si>
  <si>
    <t>Late-year softness or execution gaps create risk to steady sales coverage and resource planning.</t>
  </si>
  <si>
    <t>Create a September-to-November demand plan with targeted offers, inventory readiness, and weekly conversion tracking.</t>
  </si>
  <si>
    <t>Is monthly performance consistent?</t>
  </si>
  <si>
    <t>Monthly sales range from 10,717 in November to 47,321 in May, meaning the best month is about 4.4x the weakest month.</t>
  </si>
  <si>
    <t>High volatility makes inventory, staffing, and cash planning harder.</t>
  </si>
  <si>
    <t>Adopt a rolling monthly forecast and trigger review thresholds for months pacing materially below average.</t>
  </si>
  <si>
    <t>Are order outcomes healthy?</t>
  </si>
  <si>
    <t>Only 60% of orders are completed, while 21% are returned and 19% are cancelled.</t>
  </si>
  <si>
    <t>A 40% non-completion rate suggests substantial revenue leakage and possible customer experience issues.</t>
  </si>
  <si>
    <t>Set a near-term target to lift completed orders above 75% by reducing top cancellation and return causes.</t>
  </si>
  <si>
    <t>Is customer satisfaction adequate?</t>
  </si>
  <si>
    <t>Average satisfaction for completed orders is 2.88 / 5, equivalent to 57.7 on a 100-point gauge.</t>
  </si>
  <si>
    <t>Customer experience is below a healthy benchmark and may be linked to returns, repeat purchase risk, or support burden.</t>
  </si>
  <si>
    <t>Review low-score orders, survey detractors, and address service, delivery, and product-quality pain points.</t>
  </si>
  <si>
    <t>What is the highest-priority growth lever?</t>
  </si>
  <si>
    <t>The clearest opportunity is to improve South-region performance, grow high-margin non-Electronics categories, and reduce order leakage.</t>
  </si>
  <si>
    <t>These three levers can improve both revenue resilience and profitability without relying only on Electronics growth.</t>
  </si>
  <si>
    <t>Launch a 90-day action plan with KPIs for South sales, non-Electronics mix, completion rate, return rate, cancellation rate, and satisfaction.</t>
  </si>
  <si>
    <t>Dashboard Analysis</t>
  </si>
  <si>
    <r>
      <t xml:space="preserve">Dashboard shows total sales of </t>
    </r>
    <r>
      <rPr>
        <sz val="11"/>
        <rFont val="Carlito"/>
      </rPr>
      <t>277,677 and profit of 114,402, a 41.2% profit margin. Completed orders are 60%, returned orders 21%, cancelled orders 19%, and average satisfaction is 2.88 / 5.</t>
    </r>
  </si>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</sst>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1"/>
      <color rgb="FFFFFFFF"/>
      <name val="Carlito"/>
    </font>
    <font>
      <b/>
      <sz val="11"/>
      <name val="Carlito"/>
    </font>
    <font>
      <sz val="11"/>
      <name val="Carlito"/>
    </font>
    <font>
      <b/>
      <sz val="12"/>
      <color theme="0"/>
      <name val="Carlito"/>
    </font>
    <font>
      <b/>
      <sz val="14"/>
      <color theme="0"/>
      <name val="Carlito"/>
    </font>
    <font>
      <b/>
      <sz val="22"/>
      <color theme="0"/>
      <name val="Carlito"/>
    </font>
    <font>
      <b/>
      <sz val="28"/>
      <color theme="0"/>
      <name val="Carlito"/>
    </font>
    <font>
      <sz val="11"/>
      <color rgb="FF000000"/>
      <name val="Carlito"/>
    </font>
    <font>
      <b/>
      <sz val="20"/>
      <color rgb="FFFFFFFF"/>
      <name val="Carlito"/>
    </font>
    <font>
      <b/>
      <sz val="12"/>
      <color rgb="FFFFFFFF"/>
      <name val="Carlito"/>
    </font>
  </fonts>
  <fills count="8">
    <fill>
      <patternFill patternType="none"/>
    </fill>
    <fill>
      <patternFill patternType="gray125"/>
    </fill>
    <fill>
      <patternFill patternType="solid">
        <fgColor rgb="FF1F4E78"/>
      </patternFill>
    </fill>
    <fill>
      <patternFill patternType="solid">
        <fgColor theme="3" tint="9.9978637043366805E-2"/>
        <bgColor indexed="64"/>
      </patternFill>
    </fill>
    <fill>
      <patternFill patternType="solid">
        <fgColor theme="4" tint="0.59999389629810485"/>
        <bgColor indexed="64"/>
      </patternFill>
    </fill>
    <fill>
      <patternFill patternType="solid">
        <fgColor rgb="FFFFFFFF"/>
        <bgColor indexed="64"/>
      </patternFill>
    </fill>
    <fill>
      <patternFill patternType="solid">
        <fgColor rgb="FF153D64"/>
        <bgColor indexed="64"/>
      </patternFill>
    </fill>
    <fill>
      <patternFill patternType="solid">
        <fgColor rgb="FFEEF6FC"/>
        <bgColor indexed="64"/>
      </patternFill>
    </fill>
  </fills>
  <borders count="6">
    <border>
      <left/>
      <right/>
      <top/>
      <bottom/>
      <diagonal/>
    </border>
    <border>
      <left/>
      <right/>
      <top/>
      <bottom/>
      <diagonal/>
    </border>
    <border>
      <left/>
      <right/>
      <top style="thin">
        <color indexed="64"/>
      </top>
      <bottom style="thin">
        <color indexed="64"/>
      </bottom>
      <diagonal/>
    </border>
    <border>
      <left style="thin">
        <color rgb="FF9BBAD3"/>
      </left>
      <right style="thin">
        <color rgb="FF9BBAD3"/>
      </right>
      <top style="thin">
        <color rgb="FF9BBAD3"/>
      </top>
      <bottom style="thin">
        <color rgb="FF9BBAD3"/>
      </bottom>
      <diagonal/>
    </border>
    <border>
      <left style="thin">
        <color rgb="FF9BBAD3"/>
      </left>
      <right style="thin">
        <color rgb="FF9BBAD3"/>
      </right>
      <top/>
      <bottom style="thin">
        <color rgb="FF9BBAD3"/>
      </bottom>
      <diagonal/>
    </border>
    <border>
      <left style="thin">
        <color rgb="FF9BBAD3"/>
      </left>
      <right style="thin">
        <color rgb="FF9BBAD3"/>
      </right>
      <top style="thin">
        <color rgb="FF9BBAD3"/>
      </top>
      <bottom style="thick">
        <color rgb="FF153D64"/>
      </bottom>
      <diagonal/>
    </border>
  </borders>
  <cellStyleXfs count="2">
    <xf numFmtId="0" fontId="0" fillId="0" borderId="0"/>
    <xf numFmtId="9" fontId="3" fillId="0" borderId="0" applyFont="0" applyFill="0" applyBorder="0" applyAlignment="0" applyProtection="0"/>
  </cellStyleXfs>
  <cellXfs count="26">
    <xf numFmtId="0" fontId="0" fillId="0" borderId="0" xfId="0"/>
    <xf numFmtId="0" fontId="1" fillId="2" borderId="0" xfId="0" applyFont="1" applyFill="1" applyAlignment="1">
      <alignment horizontal="center" vertical="center"/>
    </xf>
    <xf numFmtId="9" fontId="0" fillId="0" borderId="0" xfId="0" applyNumberFormat="1"/>
    <xf numFmtId="4" fontId="0" fillId="0" borderId="0" xfId="0" applyNumberFormat="1"/>
    <xf numFmtId="2" fontId="0" fillId="0" borderId="0" xfId="0" applyNumberFormat="1"/>
    <xf numFmtId="14" fontId="0" fillId="0" borderId="0" xfId="0" applyNumberFormat="1"/>
    <xf numFmtId="0" fontId="0" fillId="3" borderId="0" xfId="0" applyFill="1"/>
    <xf numFmtId="0" fontId="7" fillId="3" borderId="1" xfId="0" applyFont="1" applyFill="1" applyBorder="1" applyAlignment="1">
      <alignment horizontal="centerContinuous" vertical="center"/>
    </xf>
    <xf numFmtId="0" fontId="0" fillId="0" borderId="0" xfId="0" pivotButton="1"/>
    <xf numFmtId="0" fontId="0" fillId="0" borderId="0" xfId="0" applyAlignment="1">
      <alignment horizontal="left"/>
    </xf>
    <xf numFmtId="3" fontId="0" fillId="0" borderId="0" xfId="0" applyNumberFormat="1"/>
    <xf numFmtId="0" fontId="2" fillId="4" borderId="2" xfId="0" applyFont="1" applyFill="1" applyBorder="1"/>
    <xf numFmtId="0" fontId="4" fillId="3" borderId="0" xfId="0" applyFont="1" applyFill="1" applyAlignment="1">
      <alignment horizontal="center"/>
    </xf>
    <xf numFmtId="3" fontId="2" fillId="4" borderId="2" xfId="0" applyNumberFormat="1" applyFont="1" applyFill="1" applyBorder="1"/>
    <xf numFmtId="10" fontId="0" fillId="0" borderId="0" xfId="0" applyNumberFormat="1"/>
    <xf numFmtId="9" fontId="0" fillId="0" borderId="0" xfId="1" applyFont="1"/>
    <xf numFmtId="2" fontId="0" fillId="0" borderId="0" xfId="1" applyNumberFormat="1" applyFont="1"/>
    <xf numFmtId="3" fontId="2" fillId="0" borderId="1" xfId="0" applyNumberFormat="1" applyFont="1" applyBorder="1"/>
    <xf numFmtId="0" fontId="2" fillId="0" borderId="1" xfId="0" applyFont="1" applyBorder="1"/>
    <xf numFmtId="0" fontId="10" fillId="6" borderId="4"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8" fillId="7" borderId="3" xfId="0" applyFont="1" applyFill="1" applyBorder="1" applyAlignment="1">
      <alignment horizontal="left" vertical="center" wrapText="1"/>
    </xf>
    <xf numFmtId="0" fontId="5" fillId="3" borderId="0" xfId="0" applyFont="1" applyFill="1" applyAlignment="1">
      <alignment horizontal="center"/>
    </xf>
    <xf numFmtId="0" fontId="6" fillId="3" borderId="0" xfId="0" applyFont="1" applyFill="1" applyAlignment="1">
      <alignment horizontal="center"/>
    </xf>
    <xf numFmtId="0" fontId="5" fillId="3" borderId="1" xfId="0" applyFont="1" applyFill="1" applyBorder="1" applyAlignment="1">
      <alignment horizontal="center"/>
    </xf>
    <xf numFmtId="0" fontId="9" fillId="6" borderId="5" xfId="0" applyFont="1" applyFill="1" applyBorder="1" applyAlignment="1">
      <alignment horizontal="center" vertical="center" wrapText="1"/>
    </xf>
  </cellXfs>
  <cellStyles count="2">
    <cellStyle name="Normal" xfId="0" builtinId="0"/>
    <cellStyle name="Percent" xfId="1" builtinId="5"/>
  </cellStyles>
  <dxfs count="17">
    <dxf>
      <font>
        <color rgb="FFB91C1C"/>
      </font>
    </dxf>
    <dxf>
      <numFmt numFmtId="3" formatCode="#,##0"/>
    </dxf>
    <dxf>
      <numFmt numFmtId="3" formatCode="#,##0"/>
    </dxf>
    <dxf>
      <numFmt numFmtId="13" formatCode="0%"/>
    </dxf>
    <dxf>
      <numFmt numFmtId="14" formatCode="0.00%"/>
    </dxf>
    <dxf>
      <numFmt numFmtId="3" formatCode="#,##0"/>
    </dxf>
    <dxf>
      <numFmt numFmtId="3" formatCode="#,##0"/>
    </dxf>
    <dxf>
      <numFmt numFmtId="19" formatCode="dd/mm/yyyy"/>
    </dxf>
    <dxf>
      <numFmt numFmtId="19" formatCode="dd/mm/yyyy"/>
    </dxf>
    <dxf>
      <font>
        <b val="0"/>
        <i val="0"/>
        <strike val="0"/>
        <condense val="0"/>
        <extend val="0"/>
        <outline val="0"/>
        <shadow val="0"/>
        <u val="none"/>
        <vertAlign val="baseline"/>
        <sz val="11"/>
        <color rgb="FF000000"/>
        <name val="Carlito"/>
        <scheme val="none"/>
      </font>
      <numFmt numFmtId="0" formatCode="General"/>
      <fill>
        <patternFill patternType="none">
          <fgColor indexed="64"/>
          <bgColor rgb="FFFFFFFF"/>
        </patternFill>
      </fill>
      <alignment horizontal="left" vertical="center" textRotation="0" wrapText="1" indent="0" justifyLastLine="0" shrinkToFit="0" readingOrder="0"/>
      <border diagonalUp="0" diagonalDown="0" outline="0">
        <left style="thin">
          <color rgb="FF9BBAD3"/>
        </left>
        <right/>
        <top style="thin">
          <color rgb="FF9BBAD3"/>
        </top>
        <bottom style="thin">
          <color rgb="FF9BBAD3"/>
        </bottom>
      </border>
    </dxf>
    <dxf>
      <font>
        <b val="0"/>
        <i val="0"/>
        <strike val="0"/>
        <condense val="0"/>
        <extend val="0"/>
        <outline val="0"/>
        <shadow val="0"/>
        <u val="none"/>
        <vertAlign val="baseline"/>
        <sz val="11"/>
        <color rgb="FF000000"/>
        <name val="Carlito"/>
        <scheme val="none"/>
      </font>
      <numFmt numFmtId="0" formatCode="General"/>
      <fill>
        <patternFill patternType="none">
          <fgColor indexed="64"/>
          <bgColor rgb="FFFFFFFF"/>
        </patternFill>
      </fill>
      <alignment horizontal="left" vertical="center" textRotation="0" wrapText="1" indent="0" justifyLastLine="0" shrinkToFit="0" readingOrder="0"/>
      <border diagonalUp="0" diagonalDown="0" outline="0">
        <left style="thin">
          <color rgb="FF9BBAD3"/>
        </left>
        <right style="thin">
          <color rgb="FF9BBAD3"/>
        </right>
        <top style="thin">
          <color rgb="FF9BBAD3"/>
        </top>
        <bottom style="thin">
          <color rgb="FF9BBAD3"/>
        </bottom>
      </border>
    </dxf>
    <dxf>
      <font>
        <b val="0"/>
        <i val="0"/>
        <strike val="0"/>
        <condense val="0"/>
        <extend val="0"/>
        <outline val="0"/>
        <shadow val="0"/>
        <u val="none"/>
        <vertAlign val="baseline"/>
        <sz val="11"/>
        <color rgb="FF000000"/>
        <name val="Carlito"/>
        <scheme val="none"/>
      </font>
      <numFmt numFmtId="0" formatCode="General"/>
      <fill>
        <patternFill patternType="none">
          <fgColor indexed="64"/>
          <bgColor rgb="FFFFF2CC"/>
        </patternFill>
      </fill>
      <alignment horizontal="left" vertical="center" textRotation="0" wrapText="1" indent="0" justifyLastLine="0" shrinkToFit="0" readingOrder="0"/>
      <border diagonalUp="0" diagonalDown="0" outline="0">
        <left style="thin">
          <color rgb="FF9BBAD3"/>
        </left>
        <right style="thin">
          <color rgb="FF9BBAD3"/>
        </right>
        <top style="thin">
          <color rgb="FF9BBAD3"/>
        </top>
        <bottom style="thin">
          <color rgb="FF9BBAD3"/>
        </bottom>
      </border>
    </dxf>
    <dxf>
      <font>
        <b val="0"/>
        <i val="0"/>
        <strike val="0"/>
        <condense val="0"/>
        <extend val="0"/>
        <outline val="0"/>
        <shadow val="0"/>
        <u val="none"/>
        <vertAlign val="baseline"/>
        <sz val="11"/>
        <color rgb="FF000000"/>
        <name val="Carlito"/>
        <scheme val="none"/>
      </font>
      <numFmt numFmtId="0" formatCode="General"/>
      <fill>
        <patternFill patternType="none">
          <fgColor indexed="64"/>
          <bgColor rgb="FFFFFFFF"/>
        </patternFill>
      </fill>
      <alignment horizontal="left" vertical="center" textRotation="0" wrapText="1" indent="0" justifyLastLine="0" shrinkToFit="0" readingOrder="0"/>
      <border diagonalUp="0" diagonalDown="0" outline="0">
        <left/>
        <right style="thin">
          <color rgb="FF9BBAD3"/>
        </right>
        <top style="thin">
          <color rgb="FF9BBAD3"/>
        </top>
        <bottom style="thin">
          <color rgb="FF9BBAD3"/>
        </bottom>
      </border>
    </dxf>
    <dxf>
      <border outline="0">
        <left style="thin">
          <color rgb="FFD9E2F3"/>
        </left>
        <right style="thin">
          <color rgb="FFD9E2F3"/>
        </right>
        <top style="thin">
          <color rgb="FFD9E2F3"/>
        </top>
        <bottom style="thin">
          <color rgb="FFD9E2F3"/>
        </bottom>
      </border>
    </dxf>
    <dxf>
      <font>
        <b val="0"/>
        <i val="0"/>
        <strike val="0"/>
        <condense val="0"/>
        <extend val="0"/>
        <outline val="0"/>
        <shadow val="0"/>
        <u val="none"/>
        <vertAlign val="baseline"/>
        <sz val="11"/>
        <color rgb="FF000000"/>
        <name val="Carlito"/>
        <scheme val="none"/>
      </font>
      <numFmt numFmtId="0" formatCode="General"/>
      <fill>
        <patternFill patternType="none">
          <fgColor indexed="64"/>
          <bgColor rgb="FFFFFFFF"/>
        </patternFill>
      </fill>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12"/>
        <color rgb="FFFFFFFF"/>
        <name val="Carlito"/>
        <scheme val="none"/>
      </font>
      <numFmt numFmtId="0" formatCode="General"/>
      <fill>
        <patternFill patternType="solid">
          <fgColor indexed="64"/>
          <bgColor rgb="FF153D64"/>
        </patternFill>
      </fill>
      <alignment horizontal="center" vertical="center" textRotation="0" wrapText="1" indent="0" justifyLastLine="0" shrinkToFit="0" readingOrder="0"/>
      <border diagonalUp="0" diagonalDown="0">
        <left style="thin">
          <color rgb="FF9BBAD3"/>
        </left>
        <right style="thin">
          <color rgb="FF9BBAD3"/>
        </right>
        <top/>
        <bottom/>
        <vertical style="thin">
          <color rgb="FF9BBAD3"/>
        </vertical>
        <horizontal style="thin">
          <color rgb="FF9BBAD3"/>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4.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solidFill>
            <a:ln>
              <a:noFill/>
            </a:ln>
            <a:effectLst/>
          </c:spPr>
          <c:invertIfNegative val="0"/>
          <c:cat>
            <c:strRef>
              <c:f>Analyze!$F$4:$F$7</c:f>
              <c:strCache>
                <c:ptCount val="4"/>
                <c:pt idx="0">
                  <c:v>Central</c:v>
                </c:pt>
                <c:pt idx="1">
                  <c:v>Mindanao</c:v>
                </c:pt>
                <c:pt idx="2">
                  <c:v>North</c:v>
                </c:pt>
                <c:pt idx="3">
                  <c:v>South</c:v>
                </c:pt>
              </c:strCache>
            </c:strRef>
          </c:cat>
          <c:val>
            <c:numRef>
              <c:f>Analyze!$G$4:$G$7</c:f>
              <c:numCache>
                <c:formatCode>General</c:formatCode>
                <c:ptCount val="4"/>
                <c:pt idx="0">
                  <c:v>80334.25</c:v>
                </c:pt>
                <c:pt idx="1">
                  <c:v>66400.38</c:v>
                </c:pt>
                <c:pt idx="2">
                  <c:v>82148.649999999994</c:v>
                </c:pt>
                <c:pt idx="3">
                  <c:v>48793.279999999999</c:v>
                </c:pt>
              </c:numCache>
            </c:numRef>
          </c:val>
          <c:extLst>
            <c:ext xmlns:c16="http://schemas.microsoft.com/office/drawing/2014/chart" uri="{C3380CC4-5D6E-409C-BE32-E72D297353CC}">
              <c16:uniqueId val="{00000000-B29F-4E77-B896-5122ED02ADFE}"/>
            </c:ext>
          </c:extLst>
        </c:ser>
        <c:ser>
          <c:idx val="1"/>
          <c:order val="1"/>
          <c:tx>
            <c:v>Profit</c:v>
          </c:tx>
          <c:spPr>
            <a:solidFill>
              <a:schemeClr val="accent2"/>
            </a:solidFill>
            <a:ln>
              <a:noFill/>
            </a:ln>
            <a:effectLst/>
          </c:spPr>
          <c:invertIfNegative val="0"/>
          <c:cat>
            <c:strRef>
              <c:f>Analyze!$F$4:$F$7</c:f>
              <c:strCache>
                <c:ptCount val="4"/>
                <c:pt idx="0">
                  <c:v>Central</c:v>
                </c:pt>
                <c:pt idx="1">
                  <c:v>Mindanao</c:v>
                </c:pt>
                <c:pt idx="2">
                  <c:v>North</c:v>
                </c:pt>
                <c:pt idx="3">
                  <c:v>South</c:v>
                </c:pt>
              </c:strCache>
            </c:strRef>
          </c:cat>
          <c:val>
            <c:numRef>
              <c:f>Analyze!$H$4:$H$7</c:f>
              <c:numCache>
                <c:formatCode>General</c:formatCode>
                <c:ptCount val="4"/>
                <c:pt idx="0">
                  <c:v>34164.25</c:v>
                </c:pt>
                <c:pt idx="1">
                  <c:v>26340.38</c:v>
                </c:pt>
                <c:pt idx="2">
                  <c:v>34103.65</c:v>
                </c:pt>
                <c:pt idx="3">
                  <c:v>19793.28</c:v>
                </c:pt>
              </c:numCache>
            </c:numRef>
          </c:val>
          <c:extLst>
            <c:ext xmlns:c16="http://schemas.microsoft.com/office/drawing/2014/chart" uri="{C3380CC4-5D6E-409C-BE32-E72D297353CC}">
              <c16:uniqueId val="{00000001-B29F-4E77-B896-5122ED02ADFE}"/>
            </c:ext>
          </c:extLst>
        </c:ser>
        <c:dLbls>
          <c:showLegendKey val="0"/>
          <c:showVal val="0"/>
          <c:showCatName val="0"/>
          <c:showSerName val="0"/>
          <c:showPercent val="0"/>
          <c:showBubbleSize val="0"/>
        </c:dLbls>
        <c:gapWidth val="219"/>
        <c:overlap val="-27"/>
        <c:axId val="1744707599"/>
        <c:axId val="880109647"/>
      </c:barChart>
      <c:catAx>
        <c:axId val="174470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109647"/>
        <c:crosses val="autoZero"/>
        <c:auto val="1"/>
        <c:lblAlgn val="ctr"/>
        <c:lblOffset val="100"/>
        <c:noMultiLvlLbl val="0"/>
      </c:catAx>
      <c:valAx>
        <c:axId val="880109647"/>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07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solidFill>
            <a:ln>
              <a:noFill/>
            </a:ln>
            <a:effectLst/>
          </c:spPr>
          <c:invertIfNegative val="0"/>
          <c:cat>
            <c:strRef>
              <c:f>Analyze!$F$14:$F$17</c:f>
              <c:strCache>
                <c:ptCount val="4"/>
                <c:pt idx="0">
                  <c:v>Apparel</c:v>
                </c:pt>
                <c:pt idx="1">
                  <c:v>Electronics</c:v>
                </c:pt>
                <c:pt idx="2">
                  <c:v>Home</c:v>
                </c:pt>
                <c:pt idx="3">
                  <c:v>Office Supplies</c:v>
                </c:pt>
              </c:strCache>
            </c:strRef>
          </c:cat>
          <c:val>
            <c:numRef>
              <c:f>Analyze!$G$14:$G$17</c:f>
              <c:numCache>
                <c:formatCode>General</c:formatCode>
                <c:ptCount val="4"/>
                <c:pt idx="0">
                  <c:v>21509.200000000001</c:v>
                </c:pt>
                <c:pt idx="1">
                  <c:v>187857.26</c:v>
                </c:pt>
                <c:pt idx="2">
                  <c:v>33718</c:v>
                </c:pt>
                <c:pt idx="3">
                  <c:v>34592.1</c:v>
                </c:pt>
              </c:numCache>
            </c:numRef>
          </c:val>
          <c:extLst>
            <c:ext xmlns:c16="http://schemas.microsoft.com/office/drawing/2014/chart" uri="{C3380CC4-5D6E-409C-BE32-E72D297353CC}">
              <c16:uniqueId val="{00000000-C83A-44DD-97AD-963D9EA8A3DC}"/>
            </c:ext>
          </c:extLst>
        </c:ser>
        <c:ser>
          <c:idx val="1"/>
          <c:order val="1"/>
          <c:tx>
            <c:v>Profit</c:v>
          </c:tx>
          <c:spPr>
            <a:solidFill>
              <a:schemeClr val="accent2"/>
            </a:solidFill>
            <a:ln>
              <a:noFill/>
            </a:ln>
            <a:effectLst/>
          </c:spPr>
          <c:invertIfNegative val="0"/>
          <c:cat>
            <c:strRef>
              <c:f>Analyze!$F$14:$F$17</c:f>
              <c:strCache>
                <c:ptCount val="4"/>
                <c:pt idx="0">
                  <c:v>Apparel</c:v>
                </c:pt>
                <c:pt idx="1">
                  <c:v>Electronics</c:v>
                </c:pt>
                <c:pt idx="2">
                  <c:v>Home</c:v>
                </c:pt>
                <c:pt idx="3">
                  <c:v>Office Supplies</c:v>
                </c:pt>
              </c:strCache>
            </c:strRef>
          </c:cat>
          <c:val>
            <c:numRef>
              <c:f>Analyze!$H$14:$H$17</c:f>
              <c:numCache>
                <c:formatCode>General</c:formatCode>
                <c:ptCount val="4"/>
                <c:pt idx="0">
                  <c:v>10159.200000000001</c:v>
                </c:pt>
                <c:pt idx="1">
                  <c:v>72967.259999999995</c:v>
                </c:pt>
                <c:pt idx="2">
                  <c:v>15348</c:v>
                </c:pt>
                <c:pt idx="3">
                  <c:v>15927.1</c:v>
                </c:pt>
              </c:numCache>
            </c:numRef>
          </c:val>
          <c:extLst>
            <c:ext xmlns:c16="http://schemas.microsoft.com/office/drawing/2014/chart" uri="{C3380CC4-5D6E-409C-BE32-E72D297353CC}">
              <c16:uniqueId val="{00000001-C83A-44DD-97AD-963D9EA8A3DC}"/>
            </c:ext>
          </c:extLst>
        </c:ser>
        <c:dLbls>
          <c:showLegendKey val="0"/>
          <c:showVal val="0"/>
          <c:showCatName val="0"/>
          <c:showSerName val="0"/>
          <c:showPercent val="0"/>
          <c:showBubbleSize val="0"/>
        </c:dLbls>
        <c:gapWidth val="219"/>
        <c:overlap val="-27"/>
        <c:axId val="874087983"/>
        <c:axId val="874087023"/>
      </c:barChart>
      <c:catAx>
        <c:axId val="87408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087023"/>
        <c:crosses val="autoZero"/>
        <c:auto val="1"/>
        <c:lblAlgn val="ctr"/>
        <c:lblOffset val="100"/>
        <c:noMultiLvlLbl val="0"/>
      </c:catAx>
      <c:valAx>
        <c:axId val="874087023"/>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08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[Small Dummy Data (Dashboard).xlsx]Analyze!PivotTable4</c:name>
    <c:fmtId val="5"/>
  </c:pivotSource>
  <c:chart>
    <c:autoTitleDeleted val="0"/>
    <c:pivotFmts>
      <c:pivotFmt>
        <c:idx val="0"/>
        <c:spPr>
          <a:solidFill>
            <a:schemeClr val="accent1"/>
          </a:solidFill>
          <a:ln w="28575" cap="rnd">
            <a:solidFill>
              <a:schemeClr val="accent1"/>
            </a:solidFill>
            <a:round/>
          </a:ln>
          <a:effectLst/>
        </c:spPr>
        <c:marker>
          <c:symbol val="circle"/>
          <c:size val="4"/>
          <c:spPr>
            <a:solidFill>
              <a:schemeClr val="bg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4"/>
          <c:spPr>
            <a:solidFill>
              <a:schemeClr val="bg1"/>
            </a:solidFill>
            <a:ln w="127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4"/>
          <c:spPr>
            <a:solidFill>
              <a:schemeClr val="bg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4"/>
          <c:spPr>
            <a:solidFill>
              <a:schemeClr val="bg1"/>
            </a:solidFill>
            <a:ln w="127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6"/>
          <c:spPr>
            <a:solidFill>
              <a:schemeClr val="bg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6"/>
          <c:spPr>
            <a:solidFill>
              <a:schemeClr val="bg1"/>
            </a:solidFill>
            <a:ln w="127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Analyze!$C$23</c:f>
              <c:strCache>
                <c:ptCount val="1"/>
                <c:pt idx="0">
                  <c:v>Sum of Net Sales</c:v>
                </c:pt>
              </c:strCache>
            </c:strRef>
          </c:tx>
          <c:spPr>
            <a:ln w="38100" cap="rnd">
              <a:solidFill>
                <a:schemeClr val="accent1"/>
              </a:solidFill>
              <a:round/>
            </a:ln>
            <a:effectLst/>
          </c:spPr>
          <c:marker>
            <c:symbol val="circle"/>
            <c:size val="6"/>
            <c:spPr>
              <a:solidFill>
                <a:schemeClr val="bg1"/>
              </a:solidFill>
              <a:ln w="12700">
                <a:solidFill>
                  <a:schemeClr val="accent1"/>
                </a:solidFill>
              </a:ln>
              <a:effectLst/>
            </c:spPr>
          </c:marker>
          <c:cat>
            <c:strRef>
              <c:f>Analyze!$B$24:$B$36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Analyze!$C$24:$C$36</c:f>
              <c:numCache>
                <c:formatCode>#,##0</c:formatCode>
                <c:ptCount val="12"/>
                <c:pt idx="0">
                  <c:v>18719.099999999999</c:v>
                </c:pt>
                <c:pt idx="1">
                  <c:v>20586.150000000001</c:v>
                </c:pt>
                <c:pt idx="2">
                  <c:v>20480.25</c:v>
                </c:pt>
                <c:pt idx="3">
                  <c:v>28154.9</c:v>
                </c:pt>
                <c:pt idx="4">
                  <c:v>47321.05</c:v>
                </c:pt>
                <c:pt idx="5">
                  <c:v>18673.95</c:v>
                </c:pt>
                <c:pt idx="6">
                  <c:v>31764.25</c:v>
                </c:pt>
                <c:pt idx="7">
                  <c:v>31500.65</c:v>
                </c:pt>
                <c:pt idx="8">
                  <c:v>13200.88</c:v>
                </c:pt>
                <c:pt idx="9">
                  <c:v>23309.98</c:v>
                </c:pt>
                <c:pt idx="10">
                  <c:v>10717.3</c:v>
                </c:pt>
                <c:pt idx="11">
                  <c:v>13248.1</c:v>
                </c:pt>
              </c:numCache>
            </c:numRef>
          </c:val>
          <c:smooth val="0"/>
          <c:extLst>
            <c:ext xmlns:c16="http://schemas.microsoft.com/office/drawing/2014/chart" uri="{C3380CC4-5D6E-409C-BE32-E72D297353CC}">
              <c16:uniqueId val="{00000000-DD37-4CB7-9DC2-3F70163A6F2A}"/>
            </c:ext>
          </c:extLst>
        </c:ser>
        <c:ser>
          <c:idx val="1"/>
          <c:order val="1"/>
          <c:tx>
            <c:strRef>
              <c:f>Analyze!$D$23</c:f>
              <c:strCache>
                <c:ptCount val="1"/>
                <c:pt idx="0">
                  <c:v>Sum of Profit</c:v>
                </c:pt>
              </c:strCache>
            </c:strRef>
          </c:tx>
          <c:spPr>
            <a:ln w="38100" cap="rnd">
              <a:solidFill>
                <a:schemeClr val="accent2"/>
              </a:solidFill>
              <a:round/>
            </a:ln>
            <a:effectLst/>
          </c:spPr>
          <c:marker>
            <c:symbol val="circle"/>
            <c:size val="6"/>
            <c:spPr>
              <a:solidFill>
                <a:schemeClr val="bg1"/>
              </a:solidFill>
              <a:ln w="12700">
                <a:solidFill>
                  <a:schemeClr val="accent2"/>
                </a:solidFill>
              </a:ln>
              <a:effectLst/>
            </c:spPr>
          </c:marker>
          <c:cat>
            <c:strRef>
              <c:f>Analyze!$B$24:$B$36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Analyze!$D$24:$D$36</c:f>
              <c:numCache>
                <c:formatCode>#,##0</c:formatCode>
                <c:ptCount val="12"/>
                <c:pt idx="0">
                  <c:v>7379.1</c:v>
                </c:pt>
                <c:pt idx="1">
                  <c:v>9251.15</c:v>
                </c:pt>
                <c:pt idx="2">
                  <c:v>8560.25</c:v>
                </c:pt>
                <c:pt idx="3">
                  <c:v>9634.9</c:v>
                </c:pt>
                <c:pt idx="4">
                  <c:v>19416.05</c:v>
                </c:pt>
                <c:pt idx="5">
                  <c:v>8333.9500000000007</c:v>
                </c:pt>
                <c:pt idx="6">
                  <c:v>13569.25</c:v>
                </c:pt>
                <c:pt idx="7">
                  <c:v>12340.65</c:v>
                </c:pt>
                <c:pt idx="8">
                  <c:v>5580.88</c:v>
                </c:pt>
                <c:pt idx="9">
                  <c:v>10049.98</c:v>
                </c:pt>
                <c:pt idx="10">
                  <c:v>5057.3</c:v>
                </c:pt>
                <c:pt idx="11">
                  <c:v>5228.1000000000004</c:v>
                </c:pt>
              </c:numCache>
            </c:numRef>
          </c:val>
          <c:smooth val="0"/>
          <c:extLst>
            <c:ext xmlns:c16="http://schemas.microsoft.com/office/drawing/2014/chart" uri="{C3380CC4-5D6E-409C-BE32-E72D297353CC}">
              <c16:uniqueId val="{00000001-DD37-4CB7-9DC2-3F70163A6F2A}"/>
            </c:ext>
          </c:extLst>
        </c:ser>
        <c:dLbls>
          <c:showLegendKey val="0"/>
          <c:showVal val="0"/>
          <c:showCatName val="0"/>
          <c:showSerName val="0"/>
          <c:showPercent val="0"/>
          <c:showBubbleSize val="0"/>
        </c:dLbls>
        <c:marker val="1"/>
        <c:smooth val="0"/>
        <c:axId val="589027663"/>
        <c:axId val="589024783"/>
      </c:lineChart>
      <c:catAx>
        <c:axId val="58902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89024783"/>
        <c:crosses val="autoZero"/>
        <c:auto val="1"/>
        <c:lblAlgn val="ctr"/>
        <c:lblOffset val="100"/>
        <c:noMultiLvlLbl val="0"/>
      </c:catAx>
      <c:valAx>
        <c:axId val="589024783"/>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027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[Small Dummy Data (Dashboard).xlsx]Analyze!PivotTable5</c:name>
    <c:fmtId val="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24045814878690813"/>
                  <c:h val="0.18340296004666085"/>
                </c:manualLayout>
              </c15:layout>
            </c:ext>
          </c:extLst>
        </c:dLbl>
      </c:pivotFmt>
      <c:pivotFmt>
        <c:idx val="11"/>
        <c:spPr>
          <a:solidFill>
            <a:schemeClr val="accent2"/>
          </a:solidFill>
          <a:ln w="19050">
            <a:solidFill>
              <a:schemeClr val="lt1"/>
            </a:solidFill>
          </a:ln>
          <a:effectLst/>
        </c:spPr>
      </c:pivotFmt>
    </c:pivotFmts>
    <c:plotArea>
      <c:layout/>
      <c:pieChart>
        <c:varyColors val="1"/>
        <c:ser>
          <c:idx val="0"/>
          <c:order val="0"/>
          <c:tx>
            <c:strRef>
              <c:f>Analyze!$C$40</c:f>
              <c:strCache>
                <c:ptCount val="1"/>
                <c:pt idx="0">
                  <c:v>Total</c:v>
                </c:pt>
              </c:strCache>
            </c:strRef>
          </c:tx>
          <c:explosion val="1"/>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CEC-4575-BDE2-3DCFE09D84B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CEC-4575-BDE2-3DCFE09D84B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CEC-4575-BDE2-3DCFE09D84BE}"/>
              </c:ext>
            </c:extLst>
          </c:dPt>
          <c:dLbls>
            <c:dLbl>
              <c:idx val="1"/>
              <c:dLblPos val="ctr"/>
              <c:showLegendKey val="0"/>
              <c:showVal val="0"/>
              <c:showCatName val="1"/>
              <c:showSerName val="0"/>
              <c:showPercent val="1"/>
              <c:showBubbleSize val="0"/>
              <c:extLst>
                <c:ext xmlns:c15="http://schemas.microsoft.com/office/drawing/2012/chart" uri="{CE6537A1-D6FC-4f65-9D91-7224C49458BB}">
                  <c15:layout>
                    <c:manualLayout>
                      <c:w val="0.24045814878690813"/>
                      <c:h val="0.18340296004666085"/>
                    </c:manualLayout>
                  </c15:layout>
                </c:ext>
                <c:ext xmlns:c16="http://schemas.microsoft.com/office/drawing/2014/chart" uri="{C3380CC4-5D6E-409C-BE32-E72D297353CC}">
                  <c16:uniqueId val="{00000003-9CEC-4575-BDE2-3DCFE09D84B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Analyze!$B$41:$B$44</c:f>
              <c:strCache>
                <c:ptCount val="3"/>
                <c:pt idx="0">
                  <c:v>Cancelled</c:v>
                </c:pt>
                <c:pt idx="1">
                  <c:v>Completed</c:v>
                </c:pt>
                <c:pt idx="2">
                  <c:v>Returned</c:v>
                </c:pt>
              </c:strCache>
            </c:strRef>
          </c:cat>
          <c:val>
            <c:numRef>
              <c:f>Analyze!$C$41:$C$44</c:f>
              <c:numCache>
                <c:formatCode>0%</c:formatCode>
                <c:ptCount val="3"/>
                <c:pt idx="0">
                  <c:v>0.19</c:v>
                </c:pt>
                <c:pt idx="1">
                  <c:v>0.6</c:v>
                </c:pt>
                <c:pt idx="2">
                  <c:v>0.21</c:v>
                </c:pt>
              </c:numCache>
            </c:numRef>
          </c:val>
          <c:extLst>
            <c:ext xmlns:c16="http://schemas.microsoft.com/office/drawing/2014/chart" uri="{C3380CC4-5D6E-409C-BE32-E72D297353CC}">
              <c16:uniqueId val="{00000006-9CEC-4575-BDE2-3DCFE09D84BE}"/>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FF00"/>
            </a:solid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01-EFDD-40DA-AFB4-810471EF6B39}"/>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EFDD-40DA-AFB4-810471EF6B39}"/>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EFDD-40DA-AFB4-810471EF6B39}"/>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EFDD-40DA-AFB4-810471EF6B39}"/>
              </c:ext>
            </c:extLst>
          </c:dPt>
          <c:dPt>
            <c:idx val="4"/>
            <c:bubble3D val="0"/>
            <c:spPr>
              <a:noFill/>
              <a:ln w="19050">
                <a:solidFill>
                  <a:schemeClr val="lt1"/>
                </a:solidFill>
              </a:ln>
              <a:effectLst/>
            </c:spPr>
            <c:extLst>
              <c:ext xmlns:c16="http://schemas.microsoft.com/office/drawing/2014/chart" uri="{C3380CC4-5D6E-409C-BE32-E72D297353CC}">
                <c16:uniqueId val="{00000009-EFDD-40DA-AFB4-810471EF6B39}"/>
              </c:ext>
            </c:extLst>
          </c:dPt>
          <c:dLbls>
            <c:dLbl>
              <c:idx val="0"/>
              <c:delete val="1"/>
              <c:extLst>
                <c:ext xmlns:c15="http://schemas.microsoft.com/office/drawing/2012/chart" uri="{CE6537A1-D6FC-4f65-9D91-7224C49458BB}"/>
                <c:ext xmlns:c16="http://schemas.microsoft.com/office/drawing/2014/chart" uri="{C3380CC4-5D6E-409C-BE32-E72D297353CC}">
                  <c16:uniqueId val="{00000001-EFDD-40DA-AFB4-810471EF6B39}"/>
                </c:ext>
              </c:extLst>
            </c:dLbl>
            <c:dLbl>
              <c:idx val="1"/>
              <c:tx>
                <c:rich>
                  <a:bodyPr/>
                  <a:lstStyle/>
                  <a:p>
                    <a:r>
                      <a:rPr lang="en-US"/>
                      <a:t>Bad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FDD-40DA-AFB4-810471EF6B39}"/>
                </c:ext>
              </c:extLst>
            </c:dLbl>
            <c:dLbl>
              <c:idx val="2"/>
              <c:tx>
                <c:rich>
                  <a:bodyPr/>
                  <a:lstStyle/>
                  <a:p>
                    <a:r>
                      <a:rPr lang="en-US"/>
                      <a:t>Fair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FDD-40DA-AFB4-810471EF6B39}"/>
                </c:ext>
              </c:extLst>
            </c:dLbl>
            <c:dLbl>
              <c:idx val="3"/>
              <c:tx>
                <c:rich>
                  <a:bodyPr/>
                  <a:lstStyle/>
                  <a:p>
                    <a:r>
                      <a:rPr lang="en-US"/>
                      <a:t>Best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FDD-40DA-AFB4-810471EF6B39}"/>
                </c:ext>
              </c:extLst>
            </c:dLbl>
            <c:dLbl>
              <c:idx val="4"/>
              <c:delete val="1"/>
              <c:extLst>
                <c:ext xmlns:c15="http://schemas.microsoft.com/office/drawing/2012/chart" uri="{CE6537A1-D6FC-4f65-9D91-7224C49458BB}"/>
                <c:ext xmlns:c16="http://schemas.microsoft.com/office/drawing/2014/chart" uri="{C3380CC4-5D6E-409C-BE32-E72D297353CC}">
                  <c16:uniqueId val="{00000009-EFDD-40DA-AFB4-810471EF6B3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Analyze!$B$53:$B$57</c:f>
              <c:numCache>
                <c:formatCode>0%</c:formatCode>
                <c:ptCount val="5"/>
                <c:pt idx="0">
                  <c:v>0</c:v>
                </c:pt>
                <c:pt idx="1">
                  <c:v>0.25</c:v>
                </c:pt>
                <c:pt idx="2">
                  <c:v>0.5</c:v>
                </c:pt>
                <c:pt idx="3">
                  <c:v>0.25</c:v>
                </c:pt>
                <c:pt idx="4">
                  <c:v>1</c:v>
                </c:pt>
              </c:numCache>
            </c:numRef>
          </c:val>
          <c:extLst>
            <c:ext xmlns:c16="http://schemas.microsoft.com/office/drawing/2014/chart" uri="{C3380CC4-5D6E-409C-BE32-E72D297353CC}">
              <c16:uniqueId val="{0000000A-EFDD-40DA-AFB4-810471EF6B39}"/>
            </c:ext>
          </c:extLst>
        </c:ser>
        <c:dLbls>
          <c:showLegendKey val="0"/>
          <c:showVal val="0"/>
          <c:showCatName val="0"/>
          <c:showSerName val="0"/>
          <c:showPercent val="0"/>
          <c:showBubbleSize val="0"/>
          <c:showLeaderLines val="1"/>
        </c:dLbls>
        <c:firstSliceAng val="270"/>
        <c:holeSize val="55"/>
      </c:doughnutChart>
      <c:pieChart>
        <c:varyColors val="1"/>
        <c:ser>
          <c:idx val="1"/>
          <c:order val="1"/>
          <c:tx>
            <c:v>Pointer</c:v>
          </c:tx>
          <c:dPt>
            <c:idx val="0"/>
            <c:bubble3D val="0"/>
            <c:spPr>
              <a:noFill/>
              <a:ln w="19050">
                <a:solidFill>
                  <a:schemeClr val="lt1"/>
                </a:solidFill>
              </a:ln>
              <a:effectLst/>
            </c:spPr>
            <c:extLst>
              <c:ext xmlns:c16="http://schemas.microsoft.com/office/drawing/2014/chart" uri="{C3380CC4-5D6E-409C-BE32-E72D297353CC}">
                <c16:uniqueId val="{0000000C-EFDD-40DA-AFB4-810471EF6B39}"/>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E-EFDD-40DA-AFB4-810471EF6B39}"/>
              </c:ext>
            </c:extLst>
          </c:dPt>
          <c:dPt>
            <c:idx val="2"/>
            <c:bubble3D val="0"/>
            <c:spPr>
              <a:noFill/>
              <a:ln w="19050">
                <a:solidFill>
                  <a:schemeClr val="lt1"/>
                </a:solidFill>
              </a:ln>
              <a:effectLst/>
            </c:spPr>
            <c:extLst>
              <c:ext xmlns:c16="http://schemas.microsoft.com/office/drawing/2014/chart" uri="{C3380CC4-5D6E-409C-BE32-E72D297353CC}">
                <c16:uniqueId val="{00000010-EFDD-40DA-AFB4-810471EF6B39}"/>
              </c:ext>
            </c:extLst>
          </c:dPt>
          <c:dLbls>
            <c:dLbl>
              <c:idx val="1"/>
              <c:tx>
                <c:strRef>
                  <c:f>Analyze!$D$50</c:f>
                  <c:strCache>
                    <c:ptCount val="1"/>
                    <c:pt idx="0">
                      <c:v>2.88</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{0111ABB3-337B-4996-BBAF-868D189D15B2}</c15:txfldGUID>
                      <c15:f>Analyze!$D$50</c15:f>
                      <c15:dlblFieldTableCache>
                        <c:ptCount val="1"/>
                        <c:pt idx="0">
                          <c:v>2.88</c:v>
                        </c:pt>
                      </c15:dlblFieldTableCache>
                    </c15:dlblFTEntry>
                  </c15:dlblFieldTable>
                  <c15:showDataLabelsRange val="0"/>
                </c:ext>
                <c:ext xmlns:c16="http://schemas.microsoft.com/office/drawing/2014/chart" uri="{C3380CC4-5D6E-409C-BE32-E72D297353CC}">
                  <c16:uniqueId val="{0000000E-EFDD-40DA-AFB4-810471EF6B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Analyze!$D$53:$D$55</c:f>
              <c:numCache>
                <c:formatCode>0.00</c:formatCode>
                <c:ptCount val="3"/>
                <c:pt idx="0">
                  <c:v>57.666666666666664</c:v>
                </c:pt>
                <c:pt idx="1">
                  <c:v>2</c:v>
                </c:pt>
                <c:pt idx="2">
                  <c:v>140.33333333333334</c:v>
                </c:pt>
              </c:numCache>
            </c:numRef>
          </c:val>
          <c:extLst>
            <c:ext xmlns:c16="http://schemas.microsoft.com/office/drawing/2014/chart" uri="{C3380CC4-5D6E-409C-BE32-E72D297353CC}">
              <c16:uniqueId val="{00000011-EFDD-40DA-AFB4-810471EF6B39}"/>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[Small Dummy Data (Dashboard).xlsx]Analyze!PivotTable4</c:name>
    <c:fmtId val="3"/>
  </c:pivotSource>
  <c:chart>
    <c:autoTitleDeleted val="0"/>
    <c:pivotFmts>
      <c:pivotFmt>
        <c:idx val="0"/>
        <c:spPr>
          <a:ln w="28575" cap="rnd">
            <a:solidFill>
              <a:schemeClr val="accent1"/>
            </a:solidFill>
            <a:round/>
          </a:ln>
          <a:effectLst/>
        </c:spPr>
        <c:marker>
          <c:symbol val="circle"/>
          <c:size val="4"/>
          <c:spPr>
            <a:solidFill>
              <a:schemeClr val="bg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4"/>
          <c:spPr>
            <a:solidFill>
              <a:schemeClr val="bg1"/>
            </a:solidFill>
            <a:ln w="127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Analyze!$C$23</c:f>
              <c:strCache>
                <c:ptCount val="1"/>
                <c:pt idx="0">
                  <c:v>Sum of Net Sales</c:v>
                </c:pt>
              </c:strCache>
            </c:strRef>
          </c:tx>
          <c:spPr>
            <a:ln w="28575" cap="rnd">
              <a:solidFill>
                <a:schemeClr val="accent1"/>
              </a:solidFill>
              <a:round/>
            </a:ln>
            <a:effectLst/>
          </c:spPr>
          <c:marker>
            <c:symbol val="circle"/>
            <c:size val="4"/>
            <c:spPr>
              <a:solidFill>
                <a:schemeClr val="bg1"/>
              </a:solidFill>
              <a:ln w="12700">
                <a:solidFill>
                  <a:schemeClr val="accent1"/>
                </a:solidFill>
              </a:ln>
              <a:effectLst/>
            </c:spPr>
          </c:marker>
          <c:cat>
            <c:strRef>
              <c:f>Analyze!$B$24:$B$36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Analyze!$C$24:$C$36</c:f>
              <c:numCache>
                <c:formatCode>#,##0</c:formatCode>
                <c:ptCount val="12"/>
                <c:pt idx="0">
                  <c:v>18719.099999999999</c:v>
                </c:pt>
                <c:pt idx="1">
                  <c:v>20586.150000000001</c:v>
                </c:pt>
                <c:pt idx="2">
                  <c:v>20480.25</c:v>
                </c:pt>
                <c:pt idx="3">
                  <c:v>28154.9</c:v>
                </c:pt>
                <c:pt idx="4">
                  <c:v>47321.05</c:v>
                </c:pt>
                <c:pt idx="5">
                  <c:v>18673.95</c:v>
                </c:pt>
                <c:pt idx="6">
                  <c:v>31764.25</c:v>
                </c:pt>
                <c:pt idx="7">
                  <c:v>31500.65</c:v>
                </c:pt>
                <c:pt idx="8">
                  <c:v>13200.88</c:v>
                </c:pt>
                <c:pt idx="9">
                  <c:v>23309.98</c:v>
                </c:pt>
                <c:pt idx="10">
                  <c:v>10717.3</c:v>
                </c:pt>
                <c:pt idx="11">
                  <c:v>13248.1</c:v>
                </c:pt>
              </c:numCache>
            </c:numRef>
          </c:val>
          <c:smooth val="0"/>
          <c:extLst>
            <c:ext xmlns:c16="http://schemas.microsoft.com/office/drawing/2014/chart" uri="{C3380CC4-5D6E-409C-BE32-E72D297353CC}">
              <c16:uniqueId val="{00000000-CF21-449A-9BDB-F85F76C9323E}"/>
            </c:ext>
          </c:extLst>
        </c:ser>
        <c:ser>
          <c:idx val="1"/>
          <c:order val="1"/>
          <c:tx>
            <c:strRef>
              <c:f>Analyze!$D$23</c:f>
              <c:strCache>
                <c:ptCount val="1"/>
                <c:pt idx="0">
                  <c:v>Sum of Profit</c:v>
                </c:pt>
              </c:strCache>
            </c:strRef>
          </c:tx>
          <c:spPr>
            <a:ln w="28575" cap="rnd">
              <a:solidFill>
                <a:schemeClr val="accent2"/>
              </a:solidFill>
              <a:round/>
            </a:ln>
            <a:effectLst/>
          </c:spPr>
          <c:marker>
            <c:symbol val="circle"/>
            <c:size val="4"/>
            <c:spPr>
              <a:solidFill>
                <a:schemeClr val="bg1"/>
              </a:solidFill>
              <a:ln w="12700">
                <a:solidFill>
                  <a:schemeClr val="accent2"/>
                </a:solidFill>
              </a:ln>
              <a:effectLst/>
            </c:spPr>
          </c:marker>
          <c:cat>
            <c:strRef>
              <c:f>Analyze!$B$24:$B$36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Analyze!$D$24:$D$36</c:f>
              <c:numCache>
                <c:formatCode>#,##0</c:formatCode>
                <c:ptCount val="12"/>
                <c:pt idx="0">
                  <c:v>7379.1</c:v>
                </c:pt>
                <c:pt idx="1">
                  <c:v>9251.15</c:v>
                </c:pt>
                <c:pt idx="2">
                  <c:v>8560.25</c:v>
                </c:pt>
                <c:pt idx="3">
                  <c:v>9634.9</c:v>
                </c:pt>
                <c:pt idx="4">
                  <c:v>19416.05</c:v>
                </c:pt>
                <c:pt idx="5">
                  <c:v>8333.9500000000007</c:v>
                </c:pt>
                <c:pt idx="6">
                  <c:v>13569.25</c:v>
                </c:pt>
                <c:pt idx="7">
                  <c:v>12340.65</c:v>
                </c:pt>
                <c:pt idx="8">
                  <c:v>5580.88</c:v>
                </c:pt>
                <c:pt idx="9">
                  <c:v>10049.98</c:v>
                </c:pt>
                <c:pt idx="10">
                  <c:v>5057.3</c:v>
                </c:pt>
                <c:pt idx="11">
                  <c:v>5228.1000000000004</c:v>
                </c:pt>
              </c:numCache>
            </c:numRef>
          </c:val>
          <c:smooth val="0"/>
          <c:extLst>
            <c:ext xmlns:c16="http://schemas.microsoft.com/office/drawing/2014/chart" uri="{C3380CC4-5D6E-409C-BE32-E72D297353CC}">
              <c16:uniqueId val="{00000001-CF21-449A-9BDB-F85F76C9323E}"/>
            </c:ext>
          </c:extLst>
        </c:ser>
        <c:dLbls>
          <c:showLegendKey val="0"/>
          <c:showVal val="0"/>
          <c:showCatName val="0"/>
          <c:showSerName val="0"/>
          <c:showPercent val="0"/>
          <c:showBubbleSize val="0"/>
        </c:dLbls>
        <c:marker val="1"/>
        <c:smooth val="0"/>
        <c:axId val="589027663"/>
        <c:axId val="589024783"/>
      </c:lineChart>
      <c:catAx>
        <c:axId val="58902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024783"/>
        <c:crosses val="autoZero"/>
        <c:auto val="1"/>
        <c:lblAlgn val="ctr"/>
        <c:lblOffset val="100"/>
        <c:noMultiLvlLbl val="0"/>
      </c:catAx>
      <c:valAx>
        <c:axId val="589024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027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[Small Dummy Data (Dashboard).xlsx]Analyze!PivotTable5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FFF00"/>
          </a:solidFill>
          <a:ln w="19050">
            <a:solidFill>
              <a:schemeClr val="lt1"/>
            </a:solidFill>
          </a:ln>
          <a:effectLst/>
        </c:spPr>
      </c:pivotFmt>
      <c:pivotFmt>
        <c:idx val="3"/>
        <c:spPr>
          <a:solidFill>
            <a:srgbClr val="FF0000"/>
          </a:solidFill>
          <a:ln w="19050">
            <a:solidFill>
              <a:schemeClr val="lt1"/>
            </a:solidFill>
          </a:ln>
          <a:effectLst/>
        </c:spPr>
      </c:pivotFmt>
    </c:pivotFmts>
    <c:plotArea>
      <c:layout/>
      <c:pieChart>
        <c:varyColors val="1"/>
        <c:ser>
          <c:idx val="0"/>
          <c:order val="0"/>
          <c:tx>
            <c:strRef>
              <c:f>Analyze!$C$40</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3-E484-4BFC-8FF1-6CD858DEF3B5}"/>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2-E484-4BFC-8FF1-6CD858DEF3B5}"/>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4-E484-4BFC-8FF1-6CD858DEF3B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Analyze!$B$41:$B$44</c:f>
              <c:strCache>
                <c:ptCount val="3"/>
                <c:pt idx="0">
                  <c:v>Cancelled</c:v>
                </c:pt>
                <c:pt idx="1">
                  <c:v>Completed</c:v>
                </c:pt>
                <c:pt idx="2">
                  <c:v>Returned</c:v>
                </c:pt>
              </c:strCache>
            </c:strRef>
          </c:cat>
          <c:val>
            <c:numRef>
              <c:f>Analyze!$C$41:$C$44</c:f>
              <c:numCache>
                <c:formatCode>0%</c:formatCode>
                <c:ptCount val="3"/>
                <c:pt idx="0">
                  <c:v>0.19</c:v>
                </c:pt>
                <c:pt idx="1">
                  <c:v>0.6</c:v>
                </c:pt>
                <c:pt idx="2">
                  <c:v>0.21</c:v>
                </c:pt>
              </c:numCache>
            </c:numRef>
          </c:val>
          <c:extLst>
            <c:ext xmlns:c16="http://schemas.microsoft.com/office/drawing/2014/chart" uri="{C3380CC4-5D6E-409C-BE32-E72D297353CC}">
              <c16:uniqueId val="{00000000-E484-4BFC-8FF1-6CD858DEF3B5}"/>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FF00"/>
            </a:solid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01-979B-4037-B7EB-FE1A1C877EFE}"/>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AE68-4322-B265-7487C5609D2C}"/>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979B-4037-B7EB-FE1A1C877EFE}"/>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3-AE68-4322-B265-7487C5609D2C}"/>
              </c:ext>
            </c:extLst>
          </c:dPt>
          <c:dPt>
            <c:idx val="4"/>
            <c:bubble3D val="0"/>
            <c:spPr>
              <a:noFill/>
              <a:ln w="19050">
                <a:solidFill>
                  <a:schemeClr val="lt1"/>
                </a:solidFill>
              </a:ln>
              <a:effectLst/>
            </c:spPr>
            <c:extLst>
              <c:ext xmlns:c16="http://schemas.microsoft.com/office/drawing/2014/chart" uri="{C3380CC4-5D6E-409C-BE32-E72D297353CC}">
                <c16:uniqueId val="{00000001-AE68-4322-B265-7487C5609D2C}"/>
              </c:ext>
            </c:extLst>
          </c:dPt>
          <c:val>
            <c:numRef>
              <c:f>Analyze!$B$53:$B$57</c:f>
              <c:numCache>
                <c:formatCode>0%</c:formatCode>
                <c:ptCount val="5"/>
                <c:pt idx="0">
                  <c:v>0</c:v>
                </c:pt>
                <c:pt idx="1">
                  <c:v>0.25</c:v>
                </c:pt>
                <c:pt idx="2">
                  <c:v>0.5</c:v>
                </c:pt>
                <c:pt idx="3">
                  <c:v>0.25</c:v>
                </c:pt>
                <c:pt idx="4">
                  <c:v>1</c:v>
                </c:pt>
              </c:numCache>
            </c:numRef>
          </c:val>
          <c:extLst>
            <c:ext xmlns:c16="http://schemas.microsoft.com/office/drawing/2014/chart" uri="{C3380CC4-5D6E-409C-BE32-E72D297353CC}">
              <c16:uniqueId val="{00000000-AE68-4322-B265-7487C5609D2C}"/>
            </c:ext>
          </c:extLst>
        </c:ser>
        <c:dLbls>
          <c:showLegendKey val="0"/>
          <c:showVal val="0"/>
          <c:showCatName val="0"/>
          <c:showSerName val="0"/>
          <c:showPercent val="0"/>
          <c:showBubbleSize val="0"/>
          <c:showLeaderLines val="1"/>
        </c:dLbls>
        <c:firstSliceAng val="270"/>
        <c:holeSize val="55"/>
      </c:doughnutChart>
      <c:pieChart>
        <c:varyColors val="1"/>
        <c:ser>
          <c:idx val="1"/>
          <c:order val="1"/>
          <c:tx>
            <c:v>Pointer</c:v>
          </c:tx>
          <c:dPt>
            <c:idx val="0"/>
            <c:bubble3D val="0"/>
            <c:spPr>
              <a:noFill/>
              <a:ln w="19050">
                <a:solidFill>
                  <a:schemeClr val="lt1"/>
                </a:solidFill>
              </a:ln>
              <a:effectLst/>
            </c:spPr>
            <c:extLst>
              <c:ext xmlns:c16="http://schemas.microsoft.com/office/drawing/2014/chart" uri="{C3380CC4-5D6E-409C-BE32-E72D297353CC}">
                <c16:uniqueId val="{00000006-AE68-4322-B265-7487C5609D2C}"/>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7-AE68-4322-B265-7487C5609D2C}"/>
              </c:ext>
            </c:extLst>
          </c:dPt>
          <c:dPt>
            <c:idx val="2"/>
            <c:bubble3D val="0"/>
            <c:spPr>
              <a:noFill/>
              <a:ln w="19050">
                <a:solidFill>
                  <a:schemeClr val="lt1"/>
                </a:solidFill>
              </a:ln>
              <a:effectLst/>
            </c:spPr>
            <c:extLst>
              <c:ext xmlns:c16="http://schemas.microsoft.com/office/drawing/2014/chart" uri="{C3380CC4-5D6E-409C-BE32-E72D297353CC}">
                <c16:uniqueId val="{00000005-AE68-4322-B265-7487C5609D2C}"/>
              </c:ext>
            </c:extLst>
          </c:dPt>
          <c:dLbls>
            <c:dLbl>
              <c:idx val="1"/>
              <c:tx>
                <c:strRef>
                  <c:f>Analyze!$D$50</c:f>
                  <c:strCache>
                    <c:ptCount val="1"/>
                    <c:pt idx="0">
                      <c:v>2.88</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{D2703031-026B-4F20-A674-1634460102F0}</c15:txfldGUID>
                      <c15:f>Analyze!$D$50</c15:f>
                      <c15:dlblFieldTableCache>
                        <c:ptCount val="1"/>
                        <c:pt idx="0">
                          <c:v>2.88</c:v>
                        </c:pt>
                      </c15:dlblFieldTableCache>
                    </c15:dlblFTEntry>
                  </c15:dlblFieldTable>
                  <c15:showDataLabelsRange val="0"/>
                </c:ext>
                <c:ext xmlns:c16="http://schemas.microsoft.com/office/drawing/2014/chart" uri="{C3380CC4-5D6E-409C-BE32-E72D297353CC}">
                  <c16:uniqueId val="{00000007-AE68-4322-B265-7487C5609D2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Analyze!$D$53:$D$55</c:f>
              <c:numCache>
                <c:formatCode>0.00</c:formatCode>
                <c:ptCount val="3"/>
                <c:pt idx="0">
                  <c:v>57.666666666666664</c:v>
                </c:pt>
                <c:pt idx="1">
                  <c:v>2</c:v>
                </c:pt>
                <c:pt idx="2">
                  <c:v>140.33333333333334</c:v>
                </c:pt>
              </c:numCache>
            </c:numRef>
          </c:val>
          <c:extLst>
            <c:ext xmlns:c16="http://schemas.microsoft.com/office/drawing/2014/chart" uri="{C3380CC4-5D6E-409C-BE32-E72D297353CC}">
              <c16:uniqueId val="{00000004-AE68-4322-B265-7487C5609D2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xdr:colOff>
      <xdr:row>19</xdr:row>
      <xdr:rowOff>0</xdr:rowOff>
    </xdr:from>
    <xdr:to>
      <xdr:col>6</xdr:col>
      <xdr:colOff>0</xdr:colOff>
      <xdr:row>34</xdr:row>
      <xdr:rowOff>76200</xdr:rowOff>
    </xdr:to>
    <xdr:graphicFrame macro="">
      <xdr:nvGraphicFramePr>
        <xdr:cNvPr id="2" name="Chart 1">
          <a:extLst>
            <a:ext uri="{FF2B5EF4-FFF2-40B4-BE49-F238E27FC236}">
              <a16:creationId xmlns:a16="http://schemas.microsoft.com/office/drawing/2014/main" id="{AD3288CB-A7A3-4AB0-9209-1BAAED153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19</xdr:row>
      <xdr:rowOff>9525</xdr:rowOff>
    </xdr:from>
    <xdr:to>
      <xdr:col>11</xdr:col>
      <xdr:colOff>0</xdr:colOff>
      <xdr:row>34</xdr:row>
      <xdr:rowOff>85725</xdr:rowOff>
    </xdr:to>
    <xdr:graphicFrame macro="">
      <xdr:nvGraphicFramePr>
        <xdr:cNvPr id="3" name="Chart 2">
          <a:extLst>
            <a:ext uri="{FF2B5EF4-FFF2-40B4-BE49-F238E27FC236}">
              <a16:creationId xmlns:a16="http://schemas.microsoft.com/office/drawing/2014/main" id="{36568584-9352-4353-BDFA-007A7B936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18</xdr:row>
      <xdr:rowOff>1</xdr:rowOff>
    </xdr:from>
    <xdr:to>
      <xdr:col>22</xdr:col>
      <xdr:colOff>0</xdr:colOff>
      <xdr:row>35</xdr:row>
      <xdr:rowOff>0</xdr:rowOff>
    </xdr:to>
    <xdr:graphicFrame macro="">
      <xdr:nvGraphicFramePr>
        <xdr:cNvPr id="4" name="Chart 3">
          <a:extLst>
            <a:ext uri="{FF2B5EF4-FFF2-40B4-BE49-F238E27FC236}">
              <a16:creationId xmlns:a16="http://schemas.microsoft.com/office/drawing/2014/main" id="{958C28CB-EAAC-4370-84A0-67E6914EE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65314</xdr:colOff>
      <xdr:row>1</xdr:row>
      <xdr:rowOff>0</xdr:rowOff>
    </xdr:from>
    <xdr:to>
      <xdr:col>2</xdr:col>
      <xdr:colOff>512989</xdr:colOff>
      <xdr:row>8</xdr:row>
      <xdr:rowOff>161925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5F36107A-D28F-4783-A6F8-5CA504C4E4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314" y="638175"/>
              <a:ext cx="1552575" cy="14763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557892</xdr:colOff>
      <xdr:row>2</xdr:row>
      <xdr:rowOff>81642</xdr:rowOff>
    </xdr:from>
    <xdr:to>
      <xdr:col>4</xdr:col>
      <xdr:colOff>748393</xdr:colOff>
      <xdr:row>9</xdr:row>
      <xdr:rowOff>0</xdr:rowOff>
    </xdr:to>
    <xdr:sp macro="" textlink="">
      <xdr:nvSpPr>
        <xdr:cNvPr id="6" name="Rectangle: Rounded Corners 5">
          <a:extLst>
            <a:ext uri="{FF2B5EF4-FFF2-40B4-BE49-F238E27FC236}">
              <a16:creationId xmlns:a16="http://schemas.microsoft.com/office/drawing/2014/main" id="{CA4D37BE-3871-A259-BDDA-799A110E5FB5}"/>
            </a:ext>
          </a:extLst>
        </xdr:cNvPr>
        <xdr:cNvSpPr/>
      </xdr:nvSpPr>
      <xdr:spPr>
        <a:xfrm>
          <a:off x="2215242" y="900792"/>
          <a:ext cx="1381126" cy="1232808"/>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600" b="1"/>
            <a:t>Total</a:t>
          </a:r>
          <a:r>
            <a:rPr lang="en-PH" sz="1600" b="1" baseline="0"/>
            <a:t> Sales</a:t>
          </a:r>
          <a:endParaRPr lang="en-PH" sz="1600" b="1"/>
        </a:p>
      </xdr:txBody>
    </xdr:sp>
    <xdr:clientData/>
  </xdr:twoCellAnchor>
  <xdr:oneCellAnchor>
    <xdr:from>
      <xdr:col>3</xdr:col>
      <xdr:colOff>666751</xdr:colOff>
      <xdr:row>4</xdr:row>
      <xdr:rowOff>175533</xdr:rowOff>
    </xdr:from>
    <xdr:ext cx="1200072" cy="468013"/>
    <xdr:sp macro="" textlink="Analyze!C8">
      <xdr:nvSpPr>
        <xdr:cNvPr id="10" name="TextBox 9">
          <a:extLst>
            <a:ext uri="{FF2B5EF4-FFF2-40B4-BE49-F238E27FC236}">
              <a16:creationId xmlns:a16="http://schemas.microsoft.com/office/drawing/2014/main" id="{ED460BF1-69A5-6E98-15D2-3FD3FCA664D5}"/>
            </a:ext>
          </a:extLst>
        </xdr:cNvPr>
        <xdr:cNvSpPr txBox="1"/>
      </xdr:nvSpPr>
      <xdr:spPr>
        <a:xfrm>
          <a:off x="2324101" y="1404258"/>
          <a:ext cx="12000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A274BE2-0EF4-4F61-98D8-3301F7C5DC91}" type="TxLink">
            <a:rPr lang="en-US" sz="2400" b="1" i="0" u="none" strike="noStrike">
              <a:solidFill>
                <a:schemeClr val="bg1"/>
              </a:solidFill>
              <a:latin typeface="Carlito"/>
            </a:rPr>
            <a:pPr/>
            <a:t>277,677</a:t>
          </a:fld>
          <a:endParaRPr lang="en-PH" sz="2400" b="1">
            <a:solidFill>
              <a:schemeClr val="bg1"/>
            </a:solidFill>
          </a:endParaRPr>
        </a:p>
      </xdr:txBody>
    </xdr:sp>
    <xdr:clientData/>
  </xdr:oneCellAnchor>
  <xdr:twoCellAnchor>
    <xdr:from>
      <xdr:col>5</xdr:col>
      <xdr:colOff>114300</xdr:colOff>
      <xdr:row>2</xdr:row>
      <xdr:rowOff>81642</xdr:rowOff>
    </xdr:from>
    <xdr:to>
      <xdr:col>6</xdr:col>
      <xdr:colOff>304801</xdr:colOff>
      <xdr:row>9</xdr:row>
      <xdr:rowOff>0</xdr:rowOff>
    </xdr:to>
    <xdr:sp macro="" textlink="">
      <xdr:nvSpPr>
        <xdr:cNvPr id="11" name="Rectangle: Rounded Corners 10">
          <a:extLst>
            <a:ext uri="{FF2B5EF4-FFF2-40B4-BE49-F238E27FC236}">
              <a16:creationId xmlns:a16="http://schemas.microsoft.com/office/drawing/2014/main" id="{B9941A2E-FF92-8FAC-3723-7C8DF8BE2773}"/>
            </a:ext>
          </a:extLst>
        </xdr:cNvPr>
        <xdr:cNvSpPr/>
      </xdr:nvSpPr>
      <xdr:spPr>
        <a:xfrm>
          <a:off x="4152900" y="900792"/>
          <a:ext cx="1381126" cy="1232808"/>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600" b="1"/>
            <a:t>Total Profit </a:t>
          </a:r>
        </a:p>
      </xdr:txBody>
    </xdr:sp>
    <xdr:clientData/>
  </xdr:twoCellAnchor>
  <xdr:twoCellAnchor>
    <xdr:from>
      <xdr:col>7</xdr:col>
      <xdr:colOff>361949</xdr:colOff>
      <xdr:row>2</xdr:row>
      <xdr:rowOff>81642</xdr:rowOff>
    </xdr:from>
    <xdr:to>
      <xdr:col>9</xdr:col>
      <xdr:colOff>0</xdr:colOff>
      <xdr:row>9</xdr:row>
      <xdr:rowOff>0</xdr:rowOff>
    </xdr:to>
    <xdr:sp macro="" textlink="">
      <xdr:nvSpPr>
        <xdr:cNvPr id="12" name="Rectangle: Rounded Corners 11">
          <a:extLst>
            <a:ext uri="{FF2B5EF4-FFF2-40B4-BE49-F238E27FC236}">
              <a16:creationId xmlns:a16="http://schemas.microsoft.com/office/drawing/2014/main" id="{BFBD5330-FA91-7BAD-1E97-F74ABB97E1AA}"/>
            </a:ext>
          </a:extLst>
        </xdr:cNvPr>
        <xdr:cNvSpPr/>
      </xdr:nvSpPr>
      <xdr:spPr>
        <a:xfrm>
          <a:off x="6143624" y="900792"/>
          <a:ext cx="1381126" cy="1232808"/>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600" b="1"/>
            <a:t>Return Rate</a:t>
          </a:r>
        </a:p>
      </xdr:txBody>
    </xdr:sp>
    <xdr:clientData/>
  </xdr:twoCellAnchor>
  <xdr:twoCellAnchor>
    <xdr:from>
      <xdr:col>9</xdr:col>
      <xdr:colOff>638174</xdr:colOff>
      <xdr:row>2</xdr:row>
      <xdr:rowOff>81642</xdr:rowOff>
    </xdr:from>
    <xdr:to>
      <xdr:col>10</xdr:col>
      <xdr:colOff>828675</xdr:colOff>
      <xdr:row>9</xdr:row>
      <xdr:rowOff>0</xdr:rowOff>
    </xdr:to>
    <xdr:sp macro="" textlink="">
      <xdr:nvSpPr>
        <xdr:cNvPr id="13" name="Rectangle: Rounded Corners 12">
          <a:extLst>
            <a:ext uri="{FF2B5EF4-FFF2-40B4-BE49-F238E27FC236}">
              <a16:creationId xmlns:a16="http://schemas.microsoft.com/office/drawing/2014/main" id="{A1CF1D77-A3CC-E575-177B-9A6549CB11C0}"/>
            </a:ext>
          </a:extLst>
        </xdr:cNvPr>
        <xdr:cNvSpPr/>
      </xdr:nvSpPr>
      <xdr:spPr>
        <a:xfrm>
          <a:off x="8162924" y="900792"/>
          <a:ext cx="1381126" cy="1232808"/>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400" b="1"/>
            <a:t>Satisfaction Score</a:t>
          </a:r>
        </a:p>
      </xdr:txBody>
    </xdr:sp>
    <xdr:clientData/>
  </xdr:twoCellAnchor>
  <xdr:oneCellAnchor>
    <xdr:from>
      <xdr:col>5</xdr:col>
      <xdr:colOff>200026</xdr:colOff>
      <xdr:row>4</xdr:row>
      <xdr:rowOff>175533</xdr:rowOff>
    </xdr:from>
    <xdr:ext cx="1200072" cy="468013"/>
    <xdr:sp macro="" textlink="Analyze!D8">
      <xdr:nvSpPr>
        <xdr:cNvPr id="14" name="TextBox 13">
          <a:extLst>
            <a:ext uri="{FF2B5EF4-FFF2-40B4-BE49-F238E27FC236}">
              <a16:creationId xmlns:a16="http://schemas.microsoft.com/office/drawing/2014/main" id="{2AE5F573-B205-52A8-C7B1-934D1CD59779}"/>
            </a:ext>
          </a:extLst>
        </xdr:cNvPr>
        <xdr:cNvSpPr txBox="1"/>
      </xdr:nvSpPr>
      <xdr:spPr>
        <a:xfrm>
          <a:off x="4238626" y="1404258"/>
          <a:ext cx="12000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456764D7-434B-40C9-BBAB-6256E73C6C0B}" type="TxLink">
            <a:rPr lang="en-US" sz="2400" b="1" i="0" u="none" strike="noStrike">
              <a:solidFill>
                <a:schemeClr val="bg1"/>
              </a:solidFill>
              <a:latin typeface="Carlito"/>
              <a:ea typeface="+mn-ea"/>
              <a:cs typeface="+mn-cs"/>
            </a:rPr>
            <a:pPr marL="0" indent="0"/>
            <a:t>114,402</a:t>
          </a:fld>
          <a:endParaRPr lang="en-PH" sz="2400" b="1" i="0" u="none" strike="noStrike">
            <a:solidFill>
              <a:schemeClr val="bg1"/>
            </a:solidFill>
            <a:latin typeface="Carlito"/>
            <a:ea typeface="+mn-ea"/>
            <a:cs typeface="+mn-cs"/>
          </a:endParaRPr>
        </a:p>
      </xdr:txBody>
    </xdr:sp>
    <xdr:clientData/>
  </xdr:oneCellAnchor>
  <xdr:twoCellAnchor>
    <xdr:from>
      <xdr:col>11</xdr:col>
      <xdr:colOff>455958</xdr:colOff>
      <xdr:row>3</xdr:row>
      <xdr:rowOff>0</xdr:rowOff>
    </xdr:from>
    <xdr:to>
      <xdr:col>16</xdr:col>
      <xdr:colOff>257175</xdr:colOff>
      <xdr:row>16</xdr:row>
      <xdr:rowOff>0</xdr:rowOff>
    </xdr:to>
    <xdr:graphicFrame macro="">
      <xdr:nvGraphicFramePr>
        <xdr:cNvPr id="15" name="Chart 14">
          <a:extLst>
            <a:ext uri="{FF2B5EF4-FFF2-40B4-BE49-F238E27FC236}">
              <a16:creationId xmlns:a16="http://schemas.microsoft.com/office/drawing/2014/main" id="{2641028E-CEC5-480F-8919-B03F06A74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190500</xdr:colOff>
      <xdr:row>4</xdr:row>
      <xdr:rowOff>166008</xdr:rowOff>
    </xdr:from>
    <xdr:ext cx="742949" cy="468013"/>
    <xdr:sp macro="" textlink="Analyze!C43">
      <xdr:nvSpPr>
        <xdr:cNvPr id="16" name="TextBox 15">
          <a:extLst>
            <a:ext uri="{FF2B5EF4-FFF2-40B4-BE49-F238E27FC236}">
              <a16:creationId xmlns:a16="http://schemas.microsoft.com/office/drawing/2014/main" id="{C44E812B-41D3-2902-6403-763EBD6C06BE}"/>
            </a:ext>
          </a:extLst>
        </xdr:cNvPr>
        <xdr:cNvSpPr txBox="1"/>
      </xdr:nvSpPr>
      <xdr:spPr>
        <a:xfrm>
          <a:off x="6524625" y="1394733"/>
          <a:ext cx="74294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F7E83DE-F14C-4A36-AF4E-04194D2E8D90}" type="TxLink">
            <a:rPr lang="en-US" sz="2400" b="1" i="0" u="none" strike="noStrike">
              <a:solidFill>
                <a:schemeClr val="bg1"/>
              </a:solidFill>
              <a:latin typeface="Carlito"/>
              <a:ea typeface="+mn-ea"/>
              <a:cs typeface="+mn-cs"/>
            </a:rPr>
            <a:pPr marL="0" indent="0"/>
            <a:t>21%</a:t>
          </a:fld>
          <a:endParaRPr lang="en-PH" sz="2400" b="1" i="0" u="none" strike="noStrike">
            <a:solidFill>
              <a:schemeClr val="bg1"/>
            </a:solidFill>
            <a:latin typeface="Carlito"/>
            <a:ea typeface="+mn-ea"/>
            <a:cs typeface="+mn-cs"/>
          </a:endParaRPr>
        </a:p>
      </xdr:txBody>
    </xdr:sp>
    <xdr:clientData/>
  </xdr:oneCellAnchor>
  <xdr:twoCellAnchor>
    <xdr:from>
      <xdr:col>15</xdr:col>
      <xdr:colOff>600075</xdr:colOff>
      <xdr:row>3</xdr:row>
      <xdr:rowOff>1</xdr:rowOff>
    </xdr:from>
    <xdr:to>
      <xdr:col>22</xdr:col>
      <xdr:colOff>0</xdr:colOff>
      <xdr:row>17</xdr:row>
      <xdr:rowOff>1</xdr:rowOff>
    </xdr:to>
    <xdr:graphicFrame macro="">
      <xdr:nvGraphicFramePr>
        <xdr:cNvPr id="17" name="Chart 16">
          <a:extLst>
            <a:ext uri="{FF2B5EF4-FFF2-40B4-BE49-F238E27FC236}">
              <a16:creationId xmlns:a16="http://schemas.microsoft.com/office/drawing/2014/main" id="{73660CA1-4D7C-4C31-90EF-0E19407BE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9</xdr:col>
      <xdr:colOff>942975</xdr:colOff>
      <xdr:row>5</xdr:row>
      <xdr:rowOff>13608</xdr:rowOff>
    </xdr:from>
    <xdr:ext cx="742949" cy="468013"/>
    <xdr:sp macro="" textlink="Analyze!D50">
      <xdr:nvSpPr>
        <xdr:cNvPr id="18" name="TextBox 17">
          <a:extLst>
            <a:ext uri="{FF2B5EF4-FFF2-40B4-BE49-F238E27FC236}">
              <a16:creationId xmlns:a16="http://schemas.microsoft.com/office/drawing/2014/main" id="{B9C16BD9-6D24-6A6E-07A5-F6CC1BA7FE31}"/>
            </a:ext>
          </a:extLst>
        </xdr:cNvPr>
        <xdr:cNvSpPr txBox="1"/>
      </xdr:nvSpPr>
      <xdr:spPr>
        <a:xfrm>
          <a:off x="8467725" y="1423308"/>
          <a:ext cx="74294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B449FC82-752D-4DF2-B974-4E0C7955E301}" type="TxLink">
            <a:rPr lang="en-US" sz="2400" b="1" i="0" u="none" strike="noStrike">
              <a:solidFill>
                <a:schemeClr val="bg1"/>
              </a:solidFill>
              <a:latin typeface="Carlito"/>
              <a:ea typeface="+mn-ea"/>
              <a:cs typeface="+mn-cs"/>
            </a:rPr>
            <a:pPr marL="0" indent="0"/>
            <a:t>2.88</a:t>
          </a:fld>
          <a:endParaRPr lang="en-PH" sz="2400" b="1" i="0" u="none" strike="noStrike">
            <a:solidFill>
              <a:schemeClr val="bg1"/>
            </a:solidFill>
            <a:latin typeface="Carlito"/>
            <a:ea typeface="+mn-ea"/>
            <a:cs typeface="+mn-cs"/>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176212</xdr:colOff>
      <xdr:row>19</xdr:row>
      <xdr:rowOff>61912</xdr:rowOff>
    </xdr:from>
    <xdr:to>
      <xdr:col>11</xdr:col>
      <xdr:colOff>633412</xdr:colOff>
      <xdr:row>34</xdr:row>
      <xdr:rowOff>90487</xdr:rowOff>
    </xdr:to>
    <xdr:graphicFrame macro="">
      <xdr:nvGraphicFramePr>
        <xdr:cNvPr id="4" name="Chart 3">
          <a:extLst>
            <a:ext uri="{FF2B5EF4-FFF2-40B4-BE49-F238E27FC236}">
              <a16:creationId xmlns:a16="http://schemas.microsoft.com/office/drawing/2014/main" id="{A7CB2BAB-C6FC-0769-8F5F-C11046FEF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74544</xdr:colOff>
      <xdr:row>30</xdr:row>
      <xdr:rowOff>65432</xdr:rowOff>
    </xdr:from>
    <xdr:to>
      <xdr:col>8</xdr:col>
      <xdr:colOff>298174</xdr:colOff>
      <xdr:row>45</xdr:row>
      <xdr:rowOff>75371</xdr:rowOff>
    </xdr:to>
    <xdr:graphicFrame macro="">
      <xdr:nvGraphicFramePr>
        <xdr:cNvPr id="7" name="Chart 6">
          <a:extLst>
            <a:ext uri="{FF2B5EF4-FFF2-40B4-BE49-F238E27FC236}">
              <a16:creationId xmlns:a16="http://schemas.microsoft.com/office/drawing/2014/main" id="{29A406F7-D223-E960-FCE9-8E20BB2E5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728869</xdr:colOff>
      <xdr:row>48</xdr:row>
      <xdr:rowOff>65432</xdr:rowOff>
    </xdr:from>
    <xdr:to>
      <xdr:col>11</xdr:col>
      <xdr:colOff>231913</xdr:colOff>
      <xdr:row>63</xdr:row>
      <xdr:rowOff>75371</xdr:rowOff>
    </xdr:to>
    <xdr:graphicFrame macro="">
      <xdr:nvGraphicFramePr>
        <xdr:cNvPr id="8" name="Chart 7">
          <a:extLst>
            <a:ext uri="{FF2B5EF4-FFF2-40B4-BE49-F238E27FC236}">
              <a16:creationId xmlns:a16="http://schemas.microsoft.com/office/drawing/2014/main" id="{9C8488EA-BF3A-BCEA-2614-57E23C044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63909" refreshedDate="46156.855146412039" createdVersion="5" refreshedVersion="8" minRefreshableVersion="3" recordCount="0" supportSubquery="1" supportAdvancedDrill="1" xr:uid="{F31EFBFB-1890-461E-8BCA-E86B535A5EFA}">
  <cacheSource type="external" connectionId="1"/>
  <cacheFields count="3">
    <cacheField name="[Measures].[Sum of Profit]" caption="Sum of Profit" numFmtId="0" hierarchy="36" level="32767"/>
    <cacheField name="[ProductsTable].[Category].[Category]" caption="Category" numFmtId="0" hierarchy="8" level="1">
      <sharedItems count="4">
        <s v="Apparel"/>
        <s v="Electronics"/>
        <s v="Home"/>
        <s v="Office Supplies"/>
      </sharedItems>
    </cacheField>
    <cacheField name="[Measures].[Sum of Net Sales]" caption="Sum of Net Sales" numFmtId="0" hierarchy="35" level="32767"/>
  </cacheFields>
  <cacheHierarchies count="39">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Customer Name]" caption="Customer Name" attribute="1" defaultMemberUniqueName="[CustomersTable].[Customer Name].[All]" allUniqueName="[CustomersTable].[Customer Name].[All]" dimensionUniqueName="[CustomersTable]" displayFolder="" count="0" memberValueDatatype="130"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City]" caption="City" attribute="1" defaultMemberUniqueName="[CustomersTable].[City].[All]" allUniqueName="[CustomersTable].[City].[All]" dimensionUniqueName="[CustomersTable]" displayFolder="" count="0" memberValueDatatype="130" unbalanced="0"/>
    <cacheHierarchy uniqueName="[CustomersTable].[Signup Date]" caption="Signup Date" attribute="1" time="1" defaultMemberUniqueName="[CustomersTable].[Signup Date].[All]" allUniqueName="[CustomersTable].[Signup Date].[All]" dimensionUniqueName="[CustomersTable]" displayFolder="" count="0" memberValueDatatype="7" unbalanced="0"/>
    <cacheHierarchy uniqueName="[ProductsTable].[Product ID]" caption="Product ID" attribute="1" defaultMemberUniqueName="[ProductsTable].[Product ID].[All]" allUniqueName="[ProductsTable].[Product ID].[All]" dimensionUniqueName="[ProductsTable]" displayFolder="" count="0" memberValueDatatype="130" unbalanced="0"/>
    <cacheHierarchy uniqueName="[ProductsTable].[Product Name]" caption="Product Name" attribute="1" defaultMemberUniqueName="[ProductsTable].[Product Name].[All]" allUniqueName="[ProductsTable].[Product Name].[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fieldsUsage count="2">
        <fieldUsage x="-1"/>
        <fieldUsage x="1"/>
      </fieldsUsage>
    </cacheHierarchy>
    <cacheHierarchy uniqueName="[ProductsTable].[Unit Cost]" caption="Unit Cost" attribute="1" defaultMemberUniqueName="[ProductsTable].[Unit Cost].[All]" allUniqueName="[ProductsTable].[Unit Cost].[All]" dimensionUniqueName="[ProductsTable]" displayFolder="" count="0" memberValueDatatype="20" unbalanced="0"/>
    <cacheHierarchy uniqueName="[ProductsTable].[List Price]" caption="List Price" attribute="1" defaultMemberUniqueName="[ProductsTable].[List Price].[All]" allUniqueName="[ProductsTable].[List Price].[All]" dimensionUniqueName="[ProductsTable]" displayFolder="" count="0" memberValueDatatype="20" unbalanced="0"/>
    <cacheHierarchy uniqueName="[TransactionsTable].[Order ID]" caption="Order ID" attribute="1" defaultMemberUniqueName="[TransactionsTable].[Order ID].[All]" allUniqueName="[TransactionsTable].[Order ID].[All]" dimensionUniqueName="[TransactionsTable]" displayFolder="" count="0" memberValueDatatype="130" unbalanced="0"/>
    <cacheHierarchy uniqueName="[TransactionsTable].[Order Date]" caption="Order Date" attribute="1" time="1" defaultMemberUniqueName="[TransactionsTable].[Order Date].[All]" allUniqueName="[TransactionsTable].[Order Date].[All]" dimensionUniqueName="[TransactionsTable]" displayFolder="" count="0" memberValueDatatype="7" unbalanced="0"/>
    <cacheHierarchy uniqueName="[TransactionsTable].[Customer ID]" caption="Customer ID" attribute="1" defaultMemberUniqueName="[TransactionsTable].[Customer ID].[All]" allUniqueName="[TransactionsTable].[Customer ID].[All]" dimensionUniqueName="[TransactionsTable]" displayFolder="" count="0" memberValueDatatype="130" unbalanced="0"/>
    <cacheHierarchy uniqueName="[TransactionsTable].[Product ID]" caption="Product ID" attribute="1" defaultMemberUniqueName="[TransactionsTable].[Product ID].[All]" allUniqueName="[TransactionsTable].[Product ID].[All]" dimensionUniqueName="[TransactionsTable]" displayFolder="" count="0" memberValueDatatype="130" unbalanced="0"/>
    <cacheHierarchy uniqueName="[TransactionsTable].[Sales Channel]" caption="Sales Channel" attribute="1" defaultMemberUniqueName="[TransactionsTable].[Sales Channel].[All]" allUniqueName="[TransactionsTable].[Sales Channel].[All]" dimensionUniqueName="[TransactionsTable]" displayFolder="" count="0" memberValueDatatype="130" unbalanced="0"/>
    <cacheHierarchy uniqueName="[TransactionsTable].[Payment Method]" caption="Payment Method" attribute="1" defaultMemberUniqueName="[TransactionsTable].[Payment Method].[All]" allUniqueName="[TransactionsTable].[Payment Method].[All]" dimensionUniqueName="[TransactionsTable]" displayFolder="" count="0" memberValueDatatype="130" unbalanced="0"/>
    <cacheHierarchy uniqueName="[TransactionsTable].[Quantity]" caption="Quantity" attribute="1" defaultMemberUniqueName="[TransactionsTable].[Quantity].[All]" allUniqueName="[TransactionsTable].[Quantity].[All]" dimensionUniqueName="[TransactionsTable]" displayFolder="" count="0" memberValueDatatype="20" unbalanced="0"/>
    <cacheHierarchy uniqueName="[TransactionsTable].[Unit Price]" caption="Unit Price" attribute="1" defaultMemberUniqueName="[TransactionsTable].[Unit Price].[All]" allUniqueName="[TransactionsTable].[Unit Price].[All]" dimensionUniqueName="[TransactionsTable]" displayFolder="" count="0" memberValueDatatype="5" unbalanced="0"/>
    <cacheHierarchy uniqueName="[TransactionsTable].[Discount %]" caption="Discount %" attribute="1" defaultMemberUniqueName="[TransactionsTable].[Discount %].[All]" allUniqueName="[TransactionsTable].[Discount %].[All]" dimensionUniqueName="[TransactionsTable]" displayFolder="" count="0" memberValueDatatype="5" unbalanced="0"/>
    <cacheHierarchy uniqueName="[TransactionsTable].[Shipping Fee]" caption="Shipping Fee" attribute="1" defaultMemberUniqueName="[TransactionsTable].[Shipping Fee].[All]" allUniqueName="[TransactionsTable].[Shipping Fee].[All]" dimensionUniqueName="[TransactionsTable]" displayFolder="" count="0" memberValueDatatype="20" unbalanced="0"/>
    <cacheHierarchy uniqueName="[TransactionsTable].[Gross Sales]" caption="Gross Sales" attribute="1" defaultMemberUniqueName="[TransactionsTable].[Gross Sales].[All]" allUniqueName="[TransactionsTable].[Gross Sales].[All]" dimensionUniqueName="[TransactionsTable]" displayFolder="" count="0" memberValueDatatype="5" unbalanced="0"/>
    <cacheHierarchy uniqueName="[TransactionsTable].[Discount Amount]" caption="Discount Amount" attribute="1" defaultMemberUniqueName="[TransactionsTable].[Discount Amount].[All]" allUniqueName="[TransactionsTable].[Discount Amount].[All]" dimensionUniqueName="[TransactionsTable]" displayFolder="" count="0" memberValueDatatype="5" unbalanced="0"/>
    <cacheHierarchy uniqueName="[TransactionsTable].[Net Sales]" caption="Net Sales" attribute="1" defaultMemberUniqueName="[TransactionsTable].[Net Sales].[All]" allUniqueName="[TransactionsTable].[Net Sales].[All]" dimensionUniqueName="[TransactionsTable]" displayFolder="" count="0" memberValueDatatype="5" unbalanced="0"/>
    <cacheHierarchy uniqueName="[TransactionsTable].[Unit Cost]" caption="Unit Cost" attribute="1" defaultMemberUniqueName="[TransactionsTable].[Unit Cost].[All]" allUniqueName="[TransactionsTable].[Unit Cost].[All]" dimensionUniqueName="[TransactionsTable]" displayFolder="" count="0" memberValueDatatype="20" unbalanced="0"/>
    <cacheHierarchy uniqueName="[TransactionsTable].[Total Cost]" caption="Total Cost" attribute="1" defaultMemberUniqueName="[TransactionsTable].[Total Cost].[All]" allUniqueName="[TransactionsTable].[Total Cost].[All]" dimensionUniqueName="[TransactionsTable]" displayFolder="" count="0" memberValueDatatype="20" unbalanced="0"/>
    <cacheHierarchy uniqueName="[TransactionsTable].[Profit]" caption="Profit" attribute="1" defaultMemberUniqueName="[TransactionsTable].[Profit].[All]" allUniqueName="[TransactionsTable].[Profit].[All]" dimensionUniqueName="[TransactionsTable]" displayFolder="" count="0" memberValueDatatype="5" unbalanced="0"/>
    <cacheHierarchy uniqueName="[TransactionsTable].[Order Status]" caption="Order Status" attribute="1" defaultMemberUniqueName="[TransactionsTable].[Order Status].[All]" allUniqueName="[TransactionsTable].[Order Status].[All]" dimensionUniqueName="[TransactionsTable]" displayFolder="" count="0" memberValueDatatype="130" unbalanced="0"/>
    <cacheHierarchy uniqueName="[TransactionsTable].[Satisfaction Score]" caption="Satisfaction Score" attribute="1" defaultMemberUniqueName="[TransactionsTable].[Satisfaction Score].[All]" allUniqueName="[TransactionsTable].[Satisfaction Score].[All]" dimensionUniqueName="[TransactionsTable]" displayFolder="" count="0" memberValueDatatype="130" unbalanced="0"/>
    <cacheHierarchy uniqueName="[TransactionsTable].[Order Date (Month)]" caption="Order Date (Month)" attribute="1" defaultMemberUniqueName="[TransactionsTable].[Order Date (Month)].[All]" allUniqueName="[TransactionsTable].[Order Date (Month)].[All]" dimensionUniqueName="[TransactionsTable]" displayFolder="" count="0" memberValueDatatype="130" unbalanced="0"/>
    <cacheHierarchy uniqueName="[TransactionsTable].[Order Date (Month Index)]" caption="Order Date (Month Index)" attribute="1" defaultMemberUniqueName="[TransactionsTable].[Order Date (Month Index)].[All]" allUniqueName="[TransactionsTable].[Order Date (Month Index)].[All]" dimensionUniqueName="[TransactionsTable]" displayFolder="" count="0" memberValueDatatype="20" unbalanced="0" hidden="1"/>
    <cacheHierarchy uniqueName="[Measures].[__XL_Count TransactionsTable]" caption="__XL_Count TransactionsTable" measure="1" displayFolder="" measureGroup="TransactionsTable" count="0" hidden="1"/>
    <cacheHierarchy uniqueName="[Measures].[__XL_Count CustomersTable]" caption="__XL_Count CustomersTable" measure="1" displayFolder="" measureGroup="CustomersTable" count="0" hidden="1"/>
    <cacheHierarchy uniqueName="[Measures].[__XL_Count ProductsTable]" caption="__XL_Count ProductsTable" measure="1" displayFolder="" measureGroup="ProductsTable" count="0" hidden="1"/>
    <cacheHierarchy uniqueName="[Measures].[__No measures defined]" caption="__No measures defined" measure="1" displayFolder="" count="0" hidden="1"/>
    <cacheHierarchy uniqueName="[Measures].[Sum of Net Sales]" caption="Sum of Net Sales" measure="1" displayFolder="" measureGroup="TransactionsTable"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TransactionsTable"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Order Status]" caption="Count of Order Status" measure="1" displayFolder="" measureGroup="TransactionsTable"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ransactionsTable" count="0" hidden="1">
      <extLst>
        <ext xmlns:x15="http://schemas.microsoft.com/office/spreadsheetml/2010/11/main" uri="{B97F6D7D-B522-45F9-BDA1-12C45D357490}">
          <x15:cacheHierarchy aggregatedColumn="11"/>
        </ext>
      </extLst>
    </cacheHierarchy>
  </cacheHierarchies>
  <kpis count="0"/>
  <dimensions count="4">
    <dimension name="CustomersTable" uniqueName="[CustomersTable]" caption="CustomersTable"/>
    <dimension measure="1" name="Measures" uniqueName="[Measures]" caption="Measures"/>
    <dimension name="ProductsTable" uniqueName="[ProductsTable]" caption="ProductsTable"/>
    <dimension name="TransactionsTable" uniqueName="[TransactionsTable]" caption="TransactionsTable"/>
  </dimensions>
  <measureGroups count="3">
    <measureGroup name="CustomersTable" caption="CustomersTable"/>
    <measureGroup name="ProductsTable" caption="ProductsTable"/>
    <measureGroup name="TransactionsTable" caption="Transactions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63909" refreshedDate="46156.855145949077" createdVersion="5" refreshedVersion="8" minRefreshableVersion="3" recordCount="0" supportSubquery="1" supportAdvancedDrill="1" xr:uid="{CF4D5C86-BCF0-4C38-B32C-2F49945321F7}">
  <cacheSource type="external" connectionId="1"/>
  <cacheFields count="3">
    <cacheField name="[CustomersTable].[Region].[Region]" caption="Region" numFmtId="0" hierarchy="3" level="1">
      <sharedItems count="4">
        <s v="Central"/>
        <s v="Mindanao"/>
        <s v="North"/>
        <s v="South"/>
      </sharedItems>
    </cacheField>
    <cacheField name="[Measures].[Sum of Net Sales]" caption="Sum of Net Sales" numFmtId="0" hierarchy="35" level="32767"/>
    <cacheField name="[Measures].[Sum of Profit]" caption="Sum of Profit" numFmtId="0" hierarchy="36" level="32767"/>
  </cacheFields>
  <cacheHierarchies count="39">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Customer Name]" caption="Customer Name" attribute="1" defaultMemberUniqueName="[CustomersTable].[Customer Name].[All]" allUniqueName="[CustomersTable].[Customer Name].[All]" dimensionUniqueName="[CustomersTable]" displayFolder="" count="0" memberValueDatatype="130"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2" memberValueDatatype="130" unbalanced="0">
      <fieldsUsage count="2">
        <fieldUsage x="-1"/>
        <fieldUsage x="0"/>
      </fieldsUsage>
    </cacheHierarchy>
    <cacheHierarchy uniqueName="[CustomersTable].[City]" caption="City" attribute="1" defaultMemberUniqueName="[CustomersTable].[City].[All]" allUniqueName="[CustomersTable].[City].[All]" dimensionUniqueName="[CustomersTable]" displayFolder="" count="0" memberValueDatatype="130" unbalanced="0"/>
    <cacheHierarchy uniqueName="[CustomersTable].[Signup Date]" caption="Signup Date" attribute="1" time="1" defaultMemberUniqueName="[CustomersTable].[Signup Date].[All]" allUniqueName="[CustomersTable].[Signup Date].[All]" dimensionUniqueName="[CustomersTable]" displayFolder="" count="0" memberValueDatatype="7" unbalanced="0"/>
    <cacheHierarchy uniqueName="[ProductsTable].[Product ID]" caption="Product ID" attribute="1" defaultMemberUniqueName="[ProductsTable].[Product ID].[All]" allUniqueName="[ProductsTable].[Product ID].[All]" dimensionUniqueName="[ProductsTable]" displayFolder="" count="0" memberValueDatatype="130" unbalanced="0"/>
    <cacheHierarchy uniqueName="[ProductsTable].[Product Name]" caption="Product Name" attribute="1" defaultMemberUniqueName="[ProductsTable].[Product Name].[All]" allUniqueName="[ProductsTable].[Product Name].[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0" memberValueDatatype="130" unbalanced="0"/>
    <cacheHierarchy uniqueName="[ProductsTable].[Unit Cost]" caption="Unit Cost" attribute="1" defaultMemberUniqueName="[ProductsTable].[Unit Cost].[All]" allUniqueName="[ProductsTable].[Unit Cost].[All]" dimensionUniqueName="[ProductsTable]" displayFolder="" count="0" memberValueDatatype="20" unbalanced="0"/>
    <cacheHierarchy uniqueName="[ProductsTable].[List Price]" caption="List Price" attribute="1" defaultMemberUniqueName="[ProductsTable].[List Price].[All]" allUniqueName="[ProductsTable].[List Price].[All]" dimensionUniqueName="[ProductsTable]" displayFolder="" count="0" memberValueDatatype="20" unbalanced="0"/>
    <cacheHierarchy uniqueName="[TransactionsTable].[Order ID]" caption="Order ID" attribute="1" defaultMemberUniqueName="[TransactionsTable].[Order ID].[All]" allUniqueName="[TransactionsTable].[Order ID].[All]" dimensionUniqueName="[TransactionsTable]" displayFolder="" count="0" memberValueDatatype="130" unbalanced="0"/>
    <cacheHierarchy uniqueName="[TransactionsTable].[Order Date]" caption="Order Date" attribute="1" time="1" defaultMemberUniqueName="[TransactionsTable].[Order Date].[All]" allUniqueName="[TransactionsTable].[Order Date].[All]" dimensionUniqueName="[TransactionsTable]" displayFolder="" count="0" memberValueDatatype="7" unbalanced="0"/>
    <cacheHierarchy uniqueName="[TransactionsTable].[Customer ID]" caption="Customer ID" attribute="1" defaultMemberUniqueName="[TransactionsTable].[Customer ID].[All]" allUniqueName="[TransactionsTable].[Customer ID].[All]" dimensionUniqueName="[TransactionsTable]" displayFolder="" count="0" memberValueDatatype="130" unbalanced="0"/>
    <cacheHierarchy uniqueName="[TransactionsTable].[Product ID]" caption="Product ID" attribute="1" defaultMemberUniqueName="[TransactionsTable].[Product ID].[All]" allUniqueName="[TransactionsTable].[Product ID].[All]" dimensionUniqueName="[TransactionsTable]" displayFolder="" count="0" memberValueDatatype="130" unbalanced="0"/>
    <cacheHierarchy uniqueName="[TransactionsTable].[Sales Channel]" caption="Sales Channel" attribute="1" defaultMemberUniqueName="[TransactionsTable].[Sales Channel].[All]" allUniqueName="[TransactionsTable].[Sales Channel].[All]" dimensionUniqueName="[TransactionsTable]" displayFolder="" count="0" memberValueDatatype="130" unbalanced="0"/>
    <cacheHierarchy uniqueName="[TransactionsTable].[Payment Method]" caption="Payment Method" attribute="1" defaultMemberUniqueName="[TransactionsTable].[Payment Method].[All]" allUniqueName="[TransactionsTable].[Payment Method].[All]" dimensionUniqueName="[TransactionsTable]" displayFolder="" count="0" memberValueDatatype="130" unbalanced="0"/>
    <cacheHierarchy uniqueName="[TransactionsTable].[Quantity]" caption="Quantity" attribute="1" defaultMemberUniqueName="[TransactionsTable].[Quantity].[All]" allUniqueName="[TransactionsTable].[Quantity].[All]" dimensionUniqueName="[TransactionsTable]" displayFolder="" count="0" memberValueDatatype="20" unbalanced="0"/>
    <cacheHierarchy uniqueName="[TransactionsTable].[Unit Price]" caption="Unit Price" attribute="1" defaultMemberUniqueName="[TransactionsTable].[Unit Price].[All]" allUniqueName="[TransactionsTable].[Unit Price].[All]" dimensionUniqueName="[TransactionsTable]" displayFolder="" count="0" memberValueDatatype="5" unbalanced="0"/>
    <cacheHierarchy uniqueName="[TransactionsTable].[Discount %]" caption="Discount %" attribute="1" defaultMemberUniqueName="[TransactionsTable].[Discount %].[All]" allUniqueName="[TransactionsTable].[Discount %].[All]" dimensionUniqueName="[TransactionsTable]" displayFolder="" count="0" memberValueDatatype="5" unbalanced="0"/>
    <cacheHierarchy uniqueName="[TransactionsTable].[Shipping Fee]" caption="Shipping Fee" attribute="1" defaultMemberUniqueName="[TransactionsTable].[Shipping Fee].[All]" allUniqueName="[TransactionsTable].[Shipping Fee].[All]" dimensionUniqueName="[TransactionsTable]" displayFolder="" count="0" memberValueDatatype="20" unbalanced="0"/>
    <cacheHierarchy uniqueName="[TransactionsTable].[Gross Sales]" caption="Gross Sales" attribute="1" defaultMemberUniqueName="[TransactionsTable].[Gross Sales].[All]" allUniqueName="[TransactionsTable].[Gross Sales].[All]" dimensionUniqueName="[TransactionsTable]" displayFolder="" count="0" memberValueDatatype="5" unbalanced="0"/>
    <cacheHierarchy uniqueName="[TransactionsTable].[Discount Amount]" caption="Discount Amount" attribute="1" defaultMemberUniqueName="[TransactionsTable].[Discount Amount].[All]" allUniqueName="[TransactionsTable].[Discount Amount].[All]" dimensionUniqueName="[TransactionsTable]" displayFolder="" count="0" memberValueDatatype="5" unbalanced="0"/>
    <cacheHierarchy uniqueName="[TransactionsTable].[Net Sales]" caption="Net Sales" attribute="1" defaultMemberUniqueName="[TransactionsTable].[Net Sales].[All]" allUniqueName="[TransactionsTable].[Net Sales].[All]" dimensionUniqueName="[TransactionsTable]" displayFolder="" count="0" memberValueDatatype="5" unbalanced="0"/>
    <cacheHierarchy uniqueName="[TransactionsTable].[Unit Cost]" caption="Unit Cost" attribute="1" defaultMemberUniqueName="[TransactionsTable].[Unit Cost].[All]" allUniqueName="[TransactionsTable].[Unit Cost].[All]" dimensionUniqueName="[TransactionsTable]" displayFolder="" count="0" memberValueDatatype="20" unbalanced="0"/>
    <cacheHierarchy uniqueName="[TransactionsTable].[Total Cost]" caption="Total Cost" attribute="1" defaultMemberUniqueName="[TransactionsTable].[Total Cost].[All]" allUniqueName="[TransactionsTable].[Total Cost].[All]" dimensionUniqueName="[TransactionsTable]" displayFolder="" count="0" memberValueDatatype="20" unbalanced="0"/>
    <cacheHierarchy uniqueName="[TransactionsTable].[Profit]" caption="Profit" attribute="1" defaultMemberUniqueName="[TransactionsTable].[Profit].[All]" allUniqueName="[TransactionsTable].[Profit].[All]" dimensionUniqueName="[TransactionsTable]" displayFolder="" count="0" memberValueDatatype="5" unbalanced="0"/>
    <cacheHierarchy uniqueName="[TransactionsTable].[Order Status]" caption="Order Status" attribute="1" defaultMemberUniqueName="[TransactionsTable].[Order Status].[All]" allUniqueName="[TransactionsTable].[Order Status].[All]" dimensionUniqueName="[TransactionsTable]" displayFolder="" count="0" memberValueDatatype="130" unbalanced="0"/>
    <cacheHierarchy uniqueName="[TransactionsTable].[Satisfaction Score]" caption="Satisfaction Score" attribute="1" defaultMemberUniqueName="[TransactionsTable].[Satisfaction Score].[All]" allUniqueName="[TransactionsTable].[Satisfaction Score].[All]" dimensionUniqueName="[TransactionsTable]" displayFolder="" count="0" memberValueDatatype="130" unbalanced="0"/>
    <cacheHierarchy uniqueName="[TransactionsTable].[Order Date (Month)]" caption="Order Date (Month)" attribute="1" defaultMemberUniqueName="[TransactionsTable].[Order Date (Month)].[All]" allUniqueName="[TransactionsTable].[Order Date (Month)].[All]" dimensionUniqueName="[TransactionsTable]" displayFolder="" count="0" memberValueDatatype="130" unbalanced="0"/>
    <cacheHierarchy uniqueName="[TransactionsTable].[Order Date (Month Index)]" caption="Order Date (Month Index)" attribute="1" defaultMemberUniqueName="[TransactionsTable].[Order Date (Month Index)].[All]" allUniqueName="[TransactionsTable].[Order Date (Month Index)].[All]" dimensionUniqueName="[TransactionsTable]" displayFolder="" count="0" memberValueDatatype="20" unbalanced="0" hidden="1"/>
    <cacheHierarchy uniqueName="[Measures].[__XL_Count TransactionsTable]" caption="__XL_Count TransactionsTable" measure="1" displayFolder="" measureGroup="TransactionsTable" count="0" hidden="1"/>
    <cacheHierarchy uniqueName="[Measures].[__XL_Count CustomersTable]" caption="__XL_Count CustomersTable" measure="1" displayFolder="" measureGroup="CustomersTable" count="0" hidden="1"/>
    <cacheHierarchy uniqueName="[Measures].[__XL_Count ProductsTable]" caption="__XL_Count ProductsTable" measure="1" displayFolder="" measureGroup="ProductsTable" count="0" hidden="1"/>
    <cacheHierarchy uniqueName="[Measures].[__No measures defined]" caption="__No measures defined" measure="1" displayFolder="" count="0" hidden="1"/>
    <cacheHierarchy uniqueName="[Measures].[Sum of Net Sales]" caption="Sum of Net Sales" measure="1" displayFolder="" measureGroup="TransactionsTabl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TransactionsTable"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Order Status]" caption="Count of Order Status" measure="1" displayFolder="" measureGroup="TransactionsTable"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ransactionsTable" count="0" hidden="1">
      <extLst>
        <ext xmlns:x15="http://schemas.microsoft.com/office/spreadsheetml/2010/11/main" uri="{B97F6D7D-B522-45F9-BDA1-12C45D357490}">
          <x15:cacheHierarchy aggregatedColumn="11"/>
        </ext>
      </extLst>
    </cacheHierarchy>
  </cacheHierarchies>
  <kpis count="0"/>
  <dimensions count="4">
    <dimension name="CustomersTable" uniqueName="[CustomersTable]" caption="CustomersTable"/>
    <dimension measure="1" name="Measures" uniqueName="[Measures]" caption="Measures"/>
    <dimension name="ProductsTable" uniqueName="[ProductsTable]" caption="ProductsTable"/>
    <dimension name="TransactionsTable" uniqueName="[TransactionsTable]" caption="TransactionsTable"/>
  </dimensions>
  <measureGroups count="3">
    <measureGroup name="CustomersTable" caption="CustomersTable"/>
    <measureGroup name="ProductsTable" caption="ProductsTable"/>
    <measureGroup name="TransactionsTable" caption="Transactions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63909" refreshedDate="46156.864404629632" createdVersion="5" refreshedVersion="8" minRefreshableVersion="3" recordCount="0" supportSubquery="1" supportAdvancedDrill="1" xr:uid="{9D6C2C8B-5D9A-40DC-89AE-925501495CBB}">
  <cacheSource type="external" connectionId="1"/>
  <cacheFields count="2">
    <cacheField name="[TransactionsTable].[Order Status].[Order Status]" caption="Order Status" numFmtId="0" hierarchy="27" level="1">
      <sharedItems count="3">
        <s v="Cancelled"/>
        <s v="Completed"/>
        <s v="Returned"/>
      </sharedItems>
    </cacheField>
    <cacheField name="[Measures].[Count of Order ID]" caption="Count of Order ID" numFmtId="0" hierarchy="38" level="32767"/>
  </cacheFields>
  <cacheHierarchies count="39">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Customer Name]" caption="Customer Name" attribute="1" defaultMemberUniqueName="[CustomersTable].[Customer Name].[All]" allUniqueName="[CustomersTable].[Customer Name].[All]" dimensionUniqueName="[CustomersTable]" displayFolder="" count="0" memberValueDatatype="130"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City]" caption="City" attribute="1" defaultMemberUniqueName="[CustomersTable].[City].[All]" allUniqueName="[CustomersTable].[City].[All]" dimensionUniqueName="[CustomersTable]" displayFolder="" count="0" memberValueDatatype="130" unbalanced="0"/>
    <cacheHierarchy uniqueName="[CustomersTable].[Signup Date]" caption="Signup Date" attribute="1" time="1" defaultMemberUniqueName="[CustomersTable].[Signup Date].[All]" allUniqueName="[CustomersTable].[Signup Date].[All]" dimensionUniqueName="[CustomersTable]" displayFolder="" count="0" memberValueDatatype="7" unbalanced="0"/>
    <cacheHierarchy uniqueName="[ProductsTable].[Product ID]" caption="Product ID" attribute="1" defaultMemberUniqueName="[ProductsTable].[Product ID].[All]" allUniqueName="[ProductsTable].[Product ID].[All]" dimensionUniqueName="[ProductsTable]" displayFolder="" count="0" memberValueDatatype="130" unbalanced="0"/>
    <cacheHierarchy uniqueName="[ProductsTable].[Product Name]" caption="Product Name" attribute="1" defaultMemberUniqueName="[ProductsTable].[Product Name].[All]" allUniqueName="[ProductsTable].[Product Name].[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0" memberValueDatatype="130" unbalanced="0"/>
    <cacheHierarchy uniqueName="[ProductsTable].[Unit Cost]" caption="Unit Cost" attribute="1" defaultMemberUniqueName="[ProductsTable].[Unit Cost].[All]" allUniqueName="[ProductsTable].[Unit Cost].[All]" dimensionUniqueName="[ProductsTable]" displayFolder="" count="0" memberValueDatatype="20" unbalanced="0"/>
    <cacheHierarchy uniqueName="[ProductsTable].[List Price]" caption="List Price" attribute="1" defaultMemberUniqueName="[ProductsTable].[List Price].[All]" allUniqueName="[ProductsTable].[List Price].[All]" dimensionUniqueName="[ProductsTable]" displayFolder="" count="0" memberValueDatatype="20" unbalanced="0"/>
    <cacheHierarchy uniqueName="[TransactionsTable].[Order ID]" caption="Order ID" attribute="1" defaultMemberUniqueName="[TransactionsTable].[Order ID].[All]" allUniqueName="[TransactionsTable].[Order ID].[All]" dimensionUniqueName="[TransactionsTable]" displayFolder="" count="0" memberValueDatatype="130" unbalanced="0"/>
    <cacheHierarchy uniqueName="[TransactionsTable].[Order Date]" caption="Order Date" attribute="1" time="1" defaultMemberUniqueName="[TransactionsTable].[Order Date].[All]" allUniqueName="[TransactionsTable].[Order Date].[All]" dimensionUniqueName="[TransactionsTable]" displayFolder="" count="0" memberValueDatatype="7" unbalanced="0"/>
    <cacheHierarchy uniqueName="[TransactionsTable].[Customer ID]" caption="Customer ID" attribute="1" defaultMemberUniqueName="[TransactionsTable].[Customer ID].[All]" allUniqueName="[TransactionsTable].[Customer ID].[All]" dimensionUniqueName="[TransactionsTable]" displayFolder="" count="0" memberValueDatatype="130" unbalanced="0"/>
    <cacheHierarchy uniqueName="[TransactionsTable].[Product ID]" caption="Product ID" attribute="1" defaultMemberUniqueName="[TransactionsTable].[Product ID].[All]" allUniqueName="[TransactionsTable].[Product ID].[All]" dimensionUniqueName="[TransactionsTable]" displayFolder="" count="0" memberValueDatatype="130" unbalanced="0"/>
    <cacheHierarchy uniqueName="[TransactionsTable].[Sales Channel]" caption="Sales Channel" attribute="1" defaultMemberUniqueName="[TransactionsTable].[Sales Channel].[All]" allUniqueName="[TransactionsTable].[Sales Channel].[All]" dimensionUniqueName="[TransactionsTable]" displayFolder="" count="0" memberValueDatatype="130" unbalanced="0"/>
    <cacheHierarchy uniqueName="[TransactionsTable].[Payment Method]" caption="Payment Method" attribute="1" defaultMemberUniqueName="[TransactionsTable].[Payment Method].[All]" allUniqueName="[TransactionsTable].[Payment Method].[All]" dimensionUniqueName="[TransactionsTable]" displayFolder="" count="0" memberValueDatatype="130" unbalanced="0"/>
    <cacheHierarchy uniqueName="[TransactionsTable].[Quantity]" caption="Quantity" attribute="1" defaultMemberUniqueName="[TransactionsTable].[Quantity].[All]" allUniqueName="[TransactionsTable].[Quantity].[All]" dimensionUniqueName="[TransactionsTable]" displayFolder="" count="0" memberValueDatatype="20" unbalanced="0"/>
    <cacheHierarchy uniqueName="[TransactionsTable].[Unit Price]" caption="Unit Price" attribute="1" defaultMemberUniqueName="[TransactionsTable].[Unit Price].[All]" allUniqueName="[TransactionsTable].[Unit Price].[All]" dimensionUniqueName="[TransactionsTable]" displayFolder="" count="0" memberValueDatatype="5" unbalanced="0"/>
    <cacheHierarchy uniqueName="[TransactionsTable].[Discount %]" caption="Discount %" attribute="1" defaultMemberUniqueName="[TransactionsTable].[Discount %].[All]" allUniqueName="[TransactionsTable].[Discount %].[All]" dimensionUniqueName="[TransactionsTable]" displayFolder="" count="0" memberValueDatatype="5" unbalanced="0"/>
    <cacheHierarchy uniqueName="[TransactionsTable].[Shipping Fee]" caption="Shipping Fee" attribute="1" defaultMemberUniqueName="[TransactionsTable].[Shipping Fee].[All]" allUniqueName="[TransactionsTable].[Shipping Fee].[All]" dimensionUniqueName="[TransactionsTable]" displayFolder="" count="0" memberValueDatatype="20" unbalanced="0"/>
    <cacheHierarchy uniqueName="[TransactionsTable].[Gross Sales]" caption="Gross Sales" attribute="1" defaultMemberUniqueName="[TransactionsTable].[Gross Sales].[All]" allUniqueName="[TransactionsTable].[Gross Sales].[All]" dimensionUniqueName="[TransactionsTable]" displayFolder="" count="0" memberValueDatatype="5" unbalanced="0"/>
    <cacheHierarchy uniqueName="[TransactionsTable].[Discount Amount]" caption="Discount Amount" attribute="1" defaultMemberUniqueName="[TransactionsTable].[Discount Amount].[All]" allUniqueName="[TransactionsTable].[Discount Amount].[All]" dimensionUniqueName="[TransactionsTable]" displayFolder="" count="0" memberValueDatatype="5" unbalanced="0"/>
    <cacheHierarchy uniqueName="[TransactionsTable].[Net Sales]" caption="Net Sales" attribute="1" defaultMemberUniqueName="[TransactionsTable].[Net Sales].[All]" allUniqueName="[TransactionsTable].[Net Sales].[All]" dimensionUniqueName="[TransactionsTable]" displayFolder="" count="0" memberValueDatatype="5" unbalanced="0"/>
    <cacheHierarchy uniqueName="[TransactionsTable].[Unit Cost]" caption="Unit Cost" attribute="1" defaultMemberUniqueName="[TransactionsTable].[Unit Cost].[All]" allUniqueName="[TransactionsTable].[Unit Cost].[All]" dimensionUniqueName="[TransactionsTable]" displayFolder="" count="0" memberValueDatatype="20" unbalanced="0"/>
    <cacheHierarchy uniqueName="[TransactionsTable].[Total Cost]" caption="Total Cost" attribute="1" defaultMemberUniqueName="[TransactionsTable].[Total Cost].[All]" allUniqueName="[TransactionsTable].[Total Cost].[All]" dimensionUniqueName="[TransactionsTable]" displayFolder="" count="0" memberValueDatatype="20" unbalanced="0"/>
    <cacheHierarchy uniqueName="[TransactionsTable].[Profit]" caption="Profit" attribute="1" defaultMemberUniqueName="[TransactionsTable].[Profit].[All]" allUniqueName="[TransactionsTable].[Profit].[All]" dimensionUniqueName="[TransactionsTable]" displayFolder="" count="0" memberValueDatatype="5" unbalanced="0"/>
    <cacheHierarchy uniqueName="[TransactionsTable].[Order Status]" caption="Order Status" attribute="1" defaultMemberUniqueName="[TransactionsTable].[Order Status].[All]" allUniqueName="[TransactionsTable].[Order Status].[All]" dimensionUniqueName="[TransactionsTable]" displayFolder="" count="2" memberValueDatatype="130" unbalanced="0">
      <fieldsUsage count="2">
        <fieldUsage x="-1"/>
        <fieldUsage x="0"/>
      </fieldsUsage>
    </cacheHierarchy>
    <cacheHierarchy uniqueName="[TransactionsTable].[Satisfaction Score]" caption="Satisfaction Score" attribute="1" defaultMemberUniqueName="[TransactionsTable].[Satisfaction Score].[All]" allUniqueName="[TransactionsTable].[Satisfaction Score].[All]" dimensionUniqueName="[TransactionsTable]" displayFolder="" count="0" memberValueDatatype="130" unbalanced="0"/>
    <cacheHierarchy uniqueName="[TransactionsTable].[Order Date (Month)]" caption="Order Date (Month)" attribute="1" defaultMemberUniqueName="[TransactionsTable].[Order Date (Month)].[All]" allUniqueName="[TransactionsTable].[Order Date (Month)].[All]" dimensionUniqueName="[TransactionsTable]" displayFolder="" count="0" memberValueDatatype="130" unbalanced="0"/>
    <cacheHierarchy uniqueName="[TransactionsTable].[Order Date (Month Index)]" caption="Order Date (Month Index)" attribute="1" defaultMemberUniqueName="[TransactionsTable].[Order Date (Month Index)].[All]" allUniqueName="[TransactionsTable].[Order Date (Month Index)].[All]" dimensionUniqueName="[TransactionsTable]" displayFolder="" count="0" memberValueDatatype="20" unbalanced="0" hidden="1"/>
    <cacheHierarchy uniqueName="[Measures].[__XL_Count TransactionsTable]" caption="__XL_Count TransactionsTable" measure="1" displayFolder="" measureGroup="TransactionsTable" count="0" hidden="1"/>
    <cacheHierarchy uniqueName="[Measures].[__XL_Count CustomersTable]" caption="__XL_Count CustomersTable" measure="1" displayFolder="" measureGroup="CustomersTable" count="0" hidden="1"/>
    <cacheHierarchy uniqueName="[Measures].[__XL_Count ProductsTable]" caption="__XL_Count ProductsTable" measure="1" displayFolder="" measureGroup="ProductsTable" count="0" hidden="1"/>
    <cacheHierarchy uniqueName="[Measures].[__No measures defined]" caption="__No measures defined" measure="1" displayFolder="" count="0" hidden="1"/>
    <cacheHierarchy uniqueName="[Measures].[Sum of Net Sales]" caption="Sum of Net Sales" measure="1" displayFolder="" measureGroup="TransactionsTable"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ransactionsTable" count="0" hidden="1">
      <extLst>
        <ext xmlns:x15="http://schemas.microsoft.com/office/spreadsheetml/2010/11/main" uri="{B97F6D7D-B522-45F9-BDA1-12C45D357490}">
          <x15:cacheHierarchy aggregatedColumn="26"/>
        </ext>
      </extLst>
    </cacheHierarchy>
    <cacheHierarchy uniqueName="[Measures].[Count of Order Status]" caption="Count of Order Status" measure="1" displayFolder="" measureGroup="TransactionsTable"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ransactionsTable"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4">
    <dimension name="CustomersTable" uniqueName="[CustomersTable]" caption="CustomersTable"/>
    <dimension measure="1" name="Measures" uniqueName="[Measures]" caption="Measures"/>
    <dimension name="ProductsTable" uniqueName="[ProductsTable]" caption="ProductsTable"/>
    <dimension name="TransactionsTable" uniqueName="[TransactionsTable]" caption="TransactionsTable"/>
  </dimensions>
  <measureGroups count="3">
    <measureGroup name="CustomersTable" caption="CustomersTable"/>
    <measureGroup name="ProductsTable" caption="ProductsTable"/>
    <measureGroup name="TransactionsTable" caption="Transactions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63909" refreshedDate="46162.900034837963" createdVersion="5" refreshedVersion="8" minRefreshableVersion="3" recordCount="0" supportSubquery="1" supportAdvancedDrill="1" xr:uid="{21A10D1A-1151-44FA-8BAF-706ABB784933}">
  <cacheSource type="external" connectionId="1"/>
  <cacheFields count="4">
    <cacheField name="[Measures].[Sum of Profit]" caption="Sum of Profit" numFmtId="0" hierarchy="36" level="32767"/>
    <cacheField name="[Measures].[Sum of Net Sales]" caption="Sum of Net Sales" numFmtId="0" hierarchy="35" level="32767"/>
    <cacheField name="[TransactionsTable].[Order Date (Month)].[Order Date (Month)]" caption="Order Date (Month)" numFmtId="0" hierarchy="29" level="1">
      <sharedItems count="12">
        <s v="Jan"/>
        <s v="Feb"/>
        <s v="Mar"/>
        <s v="Apr"/>
        <s v="May"/>
        <s v="Jun"/>
        <s v="Jul"/>
        <s v="Aug"/>
        <s v="Sep"/>
        <s v="Oct"/>
        <s v="Nov"/>
        <s v="Dec"/>
      </sharedItems>
    </cacheField>
    <cacheField name="[CustomersTable].[Region].[Region]" caption="Region" numFmtId="0" hierarchy="3" level="1">
      <sharedItems containsSemiMixedTypes="0" containsNonDate="0" containsString="0"/>
    </cacheField>
  </cacheFields>
  <cacheHierarchies count="39">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Customer Name]" caption="Customer Name" attribute="1" defaultMemberUniqueName="[CustomersTable].[Customer Name].[All]" allUniqueName="[CustomersTable].[Customer Name].[All]" dimensionUniqueName="[CustomersTable]" displayFolder="" count="0" memberValueDatatype="130"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2" memberValueDatatype="130" unbalanced="0">
      <fieldsUsage count="2">
        <fieldUsage x="-1"/>
        <fieldUsage x="3"/>
      </fieldsUsage>
    </cacheHierarchy>
    <cacheHierarchy uniqueName="[CustomersTable].[City]" caption="City" attribute="1" defaultMemberUniqueName="[CustomersTable].[City].[All]" allUniqueName="[CustomersTable].[City].[All]" dimensionUniqueName="[CustomersTable]" displayFolder="" count="0" memberValueDatatype="130" unbalanced="0"/>
    <cacheHierarchy uniqueName="[CustomersTable].[Signup Date]" caption="Signup Date" attribute="1" time="1" defaultMemberUniqueName="[CustomersTable].[Signup Date].[All]" allUniqueName="[CustomersTable].[Signup Date].[All]" dimensionUniqueName="[CustomersTable]" displayFolder="" count="0" memberValueDatatype="7" unbalanced="0"/>
    <cacheHierarchy uniqueName="[ProductsTable].[Product ID]" caption="Product ID" attribute="1" defaultMemberUniqueName="[ProductsTable].[Product ID].[All]" allUniqueName="[ProductsTable].[Product ID].[All]" dimensionUniqueName="[ProductsTable]" displayFolder="" count="0" memberValueDatatype="130" unbalanced="0"/>
    <cacheHierarchy uniqueName="[ProductsTable].[Product Name]" caption="Product Name" attribute="1" defaultMemberUniqueName="[ProductsTable].[Product Name].[All]" allUniqueName="[ProductsTable].[Product Name].[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0" memberValueDatatype="130" unbalanced="0"/>
    <cacheHierarchy uniqueName="[ProductsTable].[Unit Cost]" caption="Unit Cost" attribute="1" defaultMemberUniqueName="[ProductsTable].[Unit Cost].[All]" allUniqueName="[ProductsTable].[Unit Cost].[All]" dimensionUniqueName="[ProductsTable]" displayFolder="" count="0" memberValueDatatype="20" unbalanced="0"/>
    <cacheHierarchy uniqueName="[ProductsTable].[List Price]" caption="List Price" attribute="1" defaultMemberUniqueName="[ProductsTable].[List Price].[All]" allUniqueName="[ProductsTable].[List Price].[All]" dimensionUniqueName="[ProductsTable]" displayFolder="" count="0" memberValueDatatype="20" unbalanced="0"/>
    <cacheHierarchy uniqueName="[TransactionsTable].[Order ID]" caption="Order ID" attribute="1" defaultMemberUniqueName="[TransactionsTable].[Order ID].[All]" allUniqueName="[TransactionsTable].[Order ID].[All]" dimensionUniqueName="[TransactionsTable]" displayFolder="" count="0" memberValueDatatype="130" unbalanced="0"/>
    <cacheHierarchy uniqueName="[TransactionsTable].[Order Date]" caption="Order Date" attribute="1" time="1" defaultMemberUniqueName="[TransactionsTable].[Order Date].[All]" allUniqueName="[TransactionsTable].[Order Date].[All]" dimensionUniqueName="[TransactionsTable]" displayFolder="" count="0" memberValueDatatype="7" unbalanced="0"/>
    <cacheHierarchy uniqueName="[TransactionsTable].[Customer ID]" caption="Customer ID" attribute="1" defaultMemberUniqueName="[TransactionsTable].[Customer ID].[All]" allUniqueName="[TransactionsTable].[Customer ID].[All]" dimensionUniqueName="[TransactionsTable]" displayFolder="" count="0" memberValueDatatype="130" unbalanced="0"/>
    <cacheHierarchy uniqueName="[TransactionsTable].[Product ID]" caption="Product ID" attribute="1" defaultMemberUniqueName="[TransactionsTable].[Product ID].[All]" allUniqueName="[TransactionsTable].[Product ID].[All]" dimensionUniqueName="[TransactionsTable]" displayFolder="" count="0" memberValueDatatype="130" unbalanced="0"/>
    <cacheHierarchy uniqueName="[TransactionsTable].[Sales Channel]" caption="Sales Channel" attribute="1" defaultMemberUniqueName="[TransactionsTable].[Sales Channel].[All]" allUniqueName="[TransactionsTable].[Sales Channel].[All]" dimensionUniqueName="[TransactionsTable]" displayFolder="" count="0" memberValueDatatype="130" unbalanced="0"/>
    <cacheHierarchy uniqueName="[TransactionsTable].[Payment Method]" caption="Payment Method" attribute="1" defaultMemberUniqueName="[TransactionsTable].[Payment Method].[All]" allUniqueName="[TransactionsTable].[Payment Method].[All]" dimensionUniqueName="[TransactionsTable]" displayFolder="" count="0" memberValueDatatype="130" unbalanced="0"/>
    <cacheHierarchy uniqueName="[TransactionsTable].[Quantity]" caption="Quantity" attribute="1" defaultMemberUniqueName="[TransactionsTable].[Quantity].[All]" allUniqueName="[TransactionsTable].[Quantity].[All]" dimensionUniqueName="[TransactionsTable]" displayFolder="" count="0" memberValueDatatype="20" unbalanced="0"/>
    <cacheHierarchy uniqueName="[TransactionsTable].[Unit Price]" caption="Unit Price" attribute="1" defaultMemberUniqueName="[TransactionsTable].[Unit Price].[All]" allUniqueName="[TransactionsTable].[Unit Price].[All]" dimensionUniqueName="[TransactionsTable]" displayFolder="" count="0" memberValueDatatype="5" unbalanced="0"/>
    <cacheHierarchy uniqueName="[TransactionsTable].[Discount %]" caption="Discount %" attribute="1" defaultMemberUniqueName="[TransactionsTable].[Discount %].[All]" allUniqueName="[TransactionsTable].[Discount %].[All]" dimensionUniqueName="[TransactionsTable]" displayFolder="" count="0" memberValueDatatype="5" unbalanced="0"/>
    <cacheHierarchy uniqueName="[TransactionsTable].[Shipping Fee]" caption="Shipping Fee" attribute="1" defaultMemberUniqueName="[TransactionsTable].[Shipping Fee].[All]" allUniqueName="[TransactionsTable].[Shipping Fee].[All]" dimensionUniqueName="[TransactionsTable]" displayFolder="" count="0" memberValueDatatype="20" unbalanced="0"/>
    <cacheHierarchy uniqueName="[TransactionsTable].[Gross Sales]" caption="Gross Sales" attribute="1" defaultMemberUniqueName="[TransactionsTable].[Gross Sales].[All]" allUniqueName="[TransactionsTable].[Gross Sales].[All]" dimensionUniqueName="[TransactionsTable]" displayFolder="" count="0" memberValueDatatype="5" unbalanced="0"/>
    <cacheHierarchy uniqueName="[TransactionsTable].[Discount Amount]" caption="Discount Amount" attribute="1" defaultMemberUniqueName="[TransactionsTable].[Discount Amount].[All]" allUniqueName="[TransactionsTable].[Discount Amount].[All]" dimensionUniqueName="[TransactionsTable]" displayFolder="" count="0" memberValueDatatype="5" unbalanced="0"/>
    <cacheHierarchy uniqueName="[TransactionsTable].[Net Sales]" caption="Net Sales" attribute="1" defaultMemberUniqueName="[TransactionsTable].[Net Sales].[All]" allUniqueName="[TransactionsTable].[Net Sales].[All]" dimensionUniqueName="[TransactionsTable]" displayFolder="" count="0" memberValueDatatype="5" unbalanced="0"/>
    <cacheHierarchy uniqueName="[TransactionsTable].[Unit Cost]" caption="Unit Cost" attribute="1" defaultMemberUniqueName="[TransactionsTable].[Unit Cost].[All]" allUniqueName="[TransactionsTable].[Unit Cost].[All]" dimensionUniqueName="[TransactionsTable]" displayFolder="" count="0" memberValueDatatype="20" unbalanced="0"/>
    <cacheHierarchy uniqueName="[TransactionsTable].[Total Cost]" caption="Total Cost" attribute="1" defaultMemberUniqueName="[TransactionsTable].[Total Cost].[All]" allUniqueName="[TransactionsTable].[Total Cost].[All]" dimensionUniqueName="[TransactionsTable]" displayFolder="" count="0" memberValueDatatype="20" unbalanced="0"/>
    <cacheHierarchy uniqueName="[TransactionsTable].[Profit]" caption="Profit" attribute="1" defaultMemberUniqueName="[TransactionsTable].[Profit].[All]" allUniqueName="[TransactionsTable].[Profit].[All]" dimensionUniqueName="[TransactionsTable]" displayFolder="" count="0" memberValueDatatype="5" unbalanced="0"/>
    <cacheHierarchy uniqueName="[TransactionsTable].[Order Status]" caption="Order Status" attribute="1" defaultMemberUniqueName="[TransactionsTable].[Order Status].[All]" allUniqueName="[TransactionsTable].[Order Status].[All]" dimensionUniqueName="[TransactionsTable]" displayFolder="" count="0" memberValueDatatype="130" unbalanced="0"/>
    <cacheHierarchy uniqueName="[TransactionsTable].[Satisfaction Score]" caption="Satisfaction Score" attribute="1" defaultMemberUniqueName="[TransactionsTable].[Satisfaction Score].[All]" allUniqueName="[TransactionsTable].[Satisfaction Score].[All]" dimensionUniqueName="[TransactionsTable]" displayFolder="" count="0" memberValueDatatype="130" unbalanced="0"/>
    <cacheHierarchy uniqueName="[TransactionsTable].[Order Date (Month)]" caption="Order Date (Month)" attribute="1" defaultMemberUniqueName="[TransactionsTable].[Order Date (Month)].[All]" allUniqueName="[TransactionsTable].[Order Date (Month)].[All]" dimensionUniqueName="[TransactionsTable]" displayFolder="" count="2" memberValueDatatype="130" unbalanced="0">
      <fieldsUsage count="2">
        <fieldUsage x="-1"/>
        <fieldUsage x="2"/>
      </fieldsUsage>
    </cacheHierarchy>
    <cacheHierarchy uniqueName="[TransactionsTable].[Order Date (Month Index)]" caption="Order Date (Month Index)" attribute="1" defaultMemberUniqueName="[TransactionsTable].[Order Date (Month Index)].[All]" allUniqueName="[TransactionsTable].[Order Date (Month Index)].[All]" dimensionUniqueName="[TransactionsTable]" displayFolder="" count="0" memberValueDatatype="20" unbalanced="0" hidden="1"/>
    <cacheHierarchy uniqueName="[Measures].[__XL_Count TransactionsTable]" caption="__XL_Count TransactionsTable" measure="1" displayFolder="" measureGroup="TransactionsTable" count="0" hidden="1"/>
    <cacheHierarchy uniqueName="[Measures].[__XL_Count CustomersTable]" caption="__XL_Count CustomersTable" measure="1" displayFolder="" measureGroup="CustomersTable" count="0" hidden="1"/>
    <cacheHierarchy uniqueName="[Measures].[__XL_Count ProductsTable]" caption="__XL_Count ProductsTable" measure="1" displayFolder="" measureGroup="ProductsTable" count="0" hidden="1"/>
    <cacheHierarchy uniqueName="[Measures].[__No measures defined]" caption="__No measures defined" measure="1" displayFolder="" count="0" hidden="1"/>
    <cacheHierarchy uniqueName="[Measures].[Sum of Net Sales]" caption="Sum of Net Sales" measure="1" displayFolder="" measureGroup="TransactionsTabl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TransactionsTable"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Order Status]" caption="Count of Order Status" measure="1" displayFolder="" measureGroup="TransactionsTable"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ransactionsTable" count="0" hidden="1">
      <extLst>
        <ext xmlns:x15="http://schemas.microsoft.com/office/spreadsheetml/2010/11/main" uri="{B97F6D7D-B522-45F9-BDA1-12C45D357490}">
          <x15:cacheHierarchy aggregatedColumn="11"/>
        </ext>
      </extLst>
    </cacheHierarchy>
  </cacheHierarchies>
  <kpis count="0"/>
  <dimensions count="4">
    <dimension name="CustomersTable" uniqueName="[CustomersTable]" caption="CustomersTable"/>
    <dimension measure="1" name="Measures" uniqueName="[Measures]" caption="Measures"/>
    <dimension name="ProductsTable" uniqueName="[ProductsTable]" caption="ProductsTable"/>
    <dimension name="TransactionsTable" uniqueName="[TransactionsTable]" caption="TransactionsTable"/>
  </dimensions>
  <measureGroups count="3">
    <measureGroup name="CustomersTable" caption="CustomersTable"/>
    <measureGroup name="ProductsTable" caption="ProductsTable"/>
    <measureGroup name="TransactionsTable" caption="Transactions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63909" refreshedDate="46156.851828240739" createdVersion="3" refreshedVersion="8" minRefreshableVersion="3" recordCount="0" supportSubquery="1" supportAdvancedDrill="1" xr:uid="{E9A7D03B-F060-44B1-9341-AF5E18F14AB5}">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Customer Name]" caption="Customer Name" attribute="1" defaultMemberUniqueName="[CustomersTable].[Customer Name].[All]" allUniqueName="[CustomersTable].[Customer Name].[All]" dimensionUniqueName="[CustomersTable]" displayFolder="" count="0" memberValueDatatype="130"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2" memberValueDatatype="130" unbalanced="0"/>
    <cacheHierarchy uniqueName="[CustomersTable].[City]" caption="City" attribute="1" defaultMemberUniqueName="[CustomersTable].[City].[All]" allUniqueName="[CustomersTable].[City].[All]" dimensionUniqueName="[CustomersTable]" displayFolder="" count="0" memberValueDatatype="130" unbalanced="0"/>
    <cacheHierarchy uniqueName="[CustomersTable].[Signup Date]" caption="Signup Date" attribute="1" time="1" defaultMemberUniqueName="[CustomersTable].[Signup Date].[All]" allUniqueName="[CustomersTable].[Signup Date].[All]" dimensionUniqueName="[CustomersTable]" displayFolder="" count="0" memberValueDatatype="7" unbalanced="0"/>
    <cacheHierarchy uniqueName="[ProductsTable].[Product ID]" caption="Product ID" attribute="1" defaultMemberUniqueName="[ProductsTable].[Product ID].[All]" allUniqueName="[ProductsTable].[Product ID].[All]" dimensionUniqueName="[ProductsTable]" displayFolder="" count="0" memberValueDatatype="130" unbalanced="0"/>
    <cacheHierarchy uniqueName="[ProductsTable].[Product Name]" caption="Product Name" attribute="1" defaultMemberUniqueName="[ProductsTable].[Product Name].[All]" allUniqueName="[ProductsTable].[Product Name].[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0" memberValueDatatype="130" unbalanced="0"/>
    <cacheHierarchy uniqueName="[ProductsTable].[Unit Cost]" caption="Unit Cost" attribute="1" defaultMemberUniqueName="[ProductsTable].[Unit Cost].[All]" allUniqueName="[ProductsTable].[Unit Cost].[All]" dimensionUniqueName="[ProductsTable]" displayFolder="" count="0" memberValueDatatype="20" unbalanced="0"/>
    <cacheHierarchy uniqueName="[ProductsTable].[List Price]" caption="List Price" attribute="1" defaultMemberUniqueName="[ProductsTable].[List Price].[All]" allUniqueName="[ProductsTable].[List Price].[All]" dimensionUniqueName="[ProductsTable]" displayFolder="" count="0" memberValueDatatype="20" unbalanced="0"/>
    <cacheHierarchy uniqueName="[TransactionsTable].[Order ID]" caption="Order ID" attribute="1" defaultMemberUniqueName="[TransactionsTable].[Order ID].[All]" allUniqueName="[TransactionsTable].[Order ID].[All]" dimensionUniqueName="[TransactionsTable]" displayFolder="" count="0" memberValueDatatype="130" unbalanced="0"/>
    <cacheHierarchy uniqueName="[TransactionsTable].[Order Date]" caption="Order Date" attribute="1" time="1" defaultMemberUniqueName="[TransactionsTable].[Order Date].[All]" allUniqueName="[TransactionsTable].[Order Date].[All]" dimensionUniqueName="[TransactionsTable]" displayFolder="" count="0" memberValueDatatype="7" unbalanced="0"/>
    <cacheHierarchy uniqueName="[TransactionsTable].[Customer ID]" caption="Customer ID" attribute="1" defaultMemberUniqueName="[TransactionsTable].[Customer ID].[All]" allUniqueName="[TransactionsTable].[Customer ID].[All]" dimensionUniqueName="[TransactionsTable]" displayFolder="" count="0" memberValueDatatype="130" unbalanced="0"/>
    <cacheHierarchy uniqueName="[TransactionsTable].[Product ID]" caption="Product ID" attribute="1" defaultMemberUniqueName="[TransactionsTable].[Product ID].[All]" allUniqueName="[TransactionsTable].[Product ID].[All]" dimensionUniqueName="[TransactionsTable]" displayFolder="" count="0" memberValueDatatype="130" unbalanced="0"/>
    <cacheHierarchy uniqueName="[TransactionsTable].[Sales Channel]" caption="Sales Channel" attribute="1" defaultMemberUniqueName="[TransactionsTable].[Sales Channel].[All]" allUniqueName="[TransactionsTable].[Sales Channel].[All]" dimensionUniqueName="[TransactionsTable]" displayFolder="" count="0" memberValueDatatype="130" unbalanced="0"/>
    <cacheHierarchy uniqueName="[TransactionsTable].[Payment Method]" caption="Payment Method" attribute="1" defaultMemberUniqueName="[TransactionsTable].[Payment Method].[All]" allUniqueName="[TransactionsTable].[Payment Method].[All]" dimensionUniqueName="[TransactionsTable]" displayFolder="" count="0" memberValueDatatype="130" unbalanced="0"/>
    <cacheHierarchy uniqueName="[TransactionsTable].[Quantity]" caption="Quantity" attribute="1" defaultMemberUniqueName="[TransactionsTable].[Quantity].[All]" allUniqueName="[TransactionsTable].[Quantity].[All]" dimensionUniqueName="[TransactionsTable]" displayFolder="" count="0" memberValueDatatype="20" unbalanced="0"/>
    <cacheHierarchy uniqueName="[TransactionsTable].[Unit Price]" caption="Unit Price" attribute="1" defaultMemberUniqueName="[TransactionsTable].[Unit Price].[All]" allUniqueName="[TransactionsTable].[Unit Price].[All]" dimensionUniqueName="[TransactionsTable]" displayFolder="" count="0" memberValueDatatype="5" unbalanced="0"/>
    <cacheHierarchy uniqueName="[TransactionsTable].[Discount %]" caption="Discount %" attribute="1" defaultMemberUniqueName="[TransactionsTable].[Discount %].[All]" allUniqueName="[TransactionsTable].[Discount %].[All]" dimensionUniqueName="[TransactionsTable]" displayFolder="" count="0" memberValueDatatype="5" unbalanced="0"/>
    <cacheHierarchy uniqueName="[TransactionsTable].[Shipping Fee]" caption="Shipping Fee" attribute="1" defaultMemberUniqueName="[TransactionsTable].[Shipping Fee].[All]" allUniqueName="[TransactionsTable].[Shipping Fee].[All]" dimensionUniqueName="[TransactionsTable]" displayFolder="" count="0" memberValueDatatype="20" unbalanced="0"/>
    <cacheHierarchy uniqueName="[TransactionsTable].[Gross Sales]" caption="Gross Sales" attribute="1" defaultMemberUniqueName="[TransactionsTable].[Gross Sales].[All]" allUniqueName="[TransactionsTable].[Gross Sales].[All]" dimensionUniqueName="[TransactionsTable]" displayFolder="" count="0" memberValueDatatype="5" unbalanced="0"/>
    <cacheHierarchy uniqueName="[TransactionsTable].[Discount Amount]" caption="Discount Amount" attribute="1" defaultMemberUniqueName="[TransactionsTable].[Discount Amount].[All]" allUniqueName="[TransactionsTable].[Discount Amount].[All]" dimensionUniqueName="[TransactionsTable]" displayFolder="" count="0" memberValueDatatype="5" unbalanced="0"/>
    <cacheHierarchy uniqueName="[TransactionsTable].[Net Sales]" caption="Net Sales" attribute="1" defaultMemberUniqueName="[TransactionsTable].[Net Sales].[All]" allUniqueName="[TransactionsTable].[Net Sales].[All]" dimensionUniqueName="[TransactionsTable]" displayFolder="" count="0" memberValueDatatype="5" unbalanced="0"/>
    <cacheHierarchy uniqueName="[TransactionsTable].[Unit Cost]" caption="Unit Cost" attribute="1" defaultMemberUniqueName="[TransactionsTable].[Unit Cost].[All]" allUniqueName="[TransactionsTable].[Unit Cost].[All]" dimensionUniqueName="[TransactionsTable]" displayFolder="" count="0" memberValueDatatype="20" unbalanced="0"/>
    <cacheHierarchy uniqueName="[TransactionsTable].[Total Cost]" caption="Total Cost" attribute="1" defaultMemberUniqueName="[TransactionsTable].[Total Cost].[All]" allUniqueName="[TransactionsTable].[Total Cost].[All]" dimensionUniqueName="[TransactionsTable]" displayFolder="" count="0" memberValueDatatype="20" unbalanced="0"/>
    <cacheHierarchy uniqueName="[TransactionsTable].[Profit]" caption="Profit" attribute="1" defaultMemberUniqueName="[TransactionsTable].[Profit].[All]" allUniqueName="[TransactionsTable].[Profit].[All]" dimensionUniqueName="[TransactionsTable]" displayFolder="" count="0" memberValueDatatype="5" unbalanced="0"/>
    <cacheHierarchy uniqueName="[TransactionsTable].[Order Status]" caption="Order Status" attribute="1" defaultMemberUniqueName="[TransactionsTable].[Order Status].[All]" allUniqueName="[TransactionsTable].[Order Status].[All]" dimensionUniqueName="[TransactionsTable]" displayFolder="" count="0" memberValueDatatype="130" unbalanced="0"/>
    <cacheHierarchy uniqueName="[TransactionsTable].[Satisfaction Score]" caption="Satisfaction Score" attribute="1" defaultMemberUniqueName="[TransactionsTable].[Satisfaction Score].[All]" allUniqueName="[TransactionsTable].[Satisfaction Score].[All]" dimensionUniqueName="[TransactionsTable]" displayFolder="" count="0" memberValueDatatype="130" unbalanced="0"/>
    <cacheHierarchy uniqueName="[TransactionsTable].[Order Date (Month)]" caption="Order Date (Month)" attribute="1" defaultMemberUniqueName="[TransactionsTable].[Order Date (Month)].[All]" allUniqueName="[TransactionsTable].[Order Date (Month)].[All]" dimensionUniqueName="[TransactionsTable]" displayFolder="" count="0" memberValueDatatype="130" unbalanced="0"/>
    <cacheHierarchy uniqueName="[TransactionsTable].[Order Date (Month Index)]" caption="Order Date (Month Index)" attribute="1" defaultMemberUniqueName="[TransactionsTable].[Order Date (Month Index)].[All]" allUniqueName="[TransactionsTable].[Order Date (Month Index)].[All]" dimensionUniqueName="[TransactionsTable]" displayFolder="" count="0" memberValueDatatype="20" unbalanced="0" hidden="1"/>
    <cacheHierarchy uniqueName="[Measures].[__XL_Count TransactionsTable]" caption="__XL_Count TransactionsTable" measure="1" displayFolder="" measureGroup="TransactionsTable" count="0" hidden="1"/>
    <cacheHierarchy uniqueName="[Measures].[__XL_Count CustomersTable]" caption="__XL_Count CustomersTable" measure="1" displayFolder="" measureGroup="CustomersTable" count="0" hidden="1"/>
    <cacheHierarchy uniqueName="[Measures].[__XL_Count ProductsTable]" caption="__XL_Count ProductsTable" measure="1" displayFolder="" measureGroup="ProductsTable" count="0" hidden="1"/>
    <cacheHierarchy uniqueName="[Measures].[__No measures defined]" caption="__No measures defined" measure="1" displayFolder="" count="0" hidden="1"/>
    <cacheHierarchy uniqueName="[Measures].[Sum of Net Sales]" caption="Sum of Net Sales" measure="1" displayFolder="" measureGroup="TransactionsTable"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ransactionsTable"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2371697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C13B78-C4B3-4123-946F-CF4C054A096B}" name="PivotTable3" cacheId="0" applyNumberFormats="0" applyBorderFormats="0" applyFontFormats="0" applyPatternFormats="0" applyAlignmentFormats="0" applyWidthHeightFormats="1" dataCaption="Values" tag="42a453d4-78a9-4688-b939-d5a4d1dda20d" updatedVersion="8" minRefreshableVersion="3" useAutoFormatting="1" itemPrintTitles="1" createdVersion="5" indent="0" outline="1" outlineData="1" multipleFieldFilters="0">
  <location ref="B13:D18" firstHeaderRow="0"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Sum of Net Sales" fld="2" baseField="0" baseItem="0"/>
    <dataField name="Sum of Profit" fld="0" baseField="0" baseItem="0"/>
  </dataFields>
  <formats count="1">
    <format dxfId="1">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Transactions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8C8353-97AE-4502-B39D-018305CDA54E}" name="PivotTable2" cacheId="1" applyNumberFormats="0" applyBorderFormats="0" applyFontFormats="0" applyPatternFormats="0" applyAlignmentFormats="0" applyWidthHeightFormats="1" dataCaption="Values" tag="02975fdf-35b8-4c78-b944-91a0bf90db81" updatedVersion="8" minRefreshableVersion="3" useAutoFormatting="1" itemPrintTitles="1" createdVersion="5" indent="0" outline="1" outlineData="1" multipleFieldFilters="0">
  <location ref="B3:D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Net Sales" fld="1" baseField="0" baseItem="0"/>
    <dataField name="Sum of Profit" fld="2" baseField="0" baseItem="0"/>
  </dataFields>
  <formats count="1">
    <format dxfId="2">
      <pivotArea outline="0" collapsedLevelsAreSubtotals="1" fieldPosition="0"/>
    </format>
  </formats>
  <pivotHierarchies count="3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Transaction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CA81B7-1B3E-491B-B91E-CCE3301D2E92}" name="PivotTable5" cacheId="2" applyNumberFormats="0" applyBorderFormats="0" applyFontFormats="0" applyPatternFormats="0" applyAlignmentFormats="0" applyWidthHeightFormats="1" dataCaption="Values" tag="fe36a5cf-45eb-496c-8935-321581ba9aab" updatedVersion="8" minRefreshableVersion="3" useAutoFormatting="1" itemPrintTitles="1" createdVersion="5" indent="0" outline="1" outlineData="1" multipleFieldFilters="0" chartFormat="7">
  <location ref="B40:C4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rder ID" fld="1" subtotal="count" showDataAs="percentOfTotal" baseField="0" baseItem="1" numFmtId="10"/>
  </dataFields>
  <formats count="3">
    <format dxfId="5">
      <pivotArea outline="0" collapsedLevelsAreSubtotals="1" fieldPosition="0"/>
    </format>
    <format dxfId="4">
      <pivotArea outline="0" fieldPosition="0">
        <references count="1">
          <reference field="4294967294" count="1">
            <x v="0"/>
          </reference>
        </references>
      </pivotArea>
    </format>
    <format dxfId="3">
      <pivotArea collapsedLevelsAreSubtotals="1" fieldPosition="0">
        <references count="1">
          <reference field="0" count="0"/>
        </references>
      </pivotArea>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Transactions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BB894F-9131-4BEC-B32D-071E24BE4B65}" name="PivotTable4" cacheId="3" applyNumberFormats="0" applyBorderFormats="0" applyFontFormats="0" applyPatternFormats="0" applyAlignmentFormats="0" applyWidthHeightFormats="1" dataCaption="Values" tag="8f78b6b6-2da4-4ea9-93b5-8388fabd976a" updatedVersion="8" minRefreshableVersion="3" useAutoFormatting="1" subtotalHiddenItems="1" itemPrintTitles="1" createdVersion="5" indent="0" compact="0" compactData="0" multipleFieldFilters="0" chartFormat="6">
  <location ref="B23:D36"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items count="12">
        <item x="0" e="0"/>
        <item x="1" e="0"/>
        <item x="2" e="0"/>
        <item x="3" e="0"/>
        <item x="4" e="0"/>
        <item x="5" e="0"/>
        <item x="6" e="0"/>
        <item x="7" e="0"/>
        <item x="8" e="0"/>
        <item x="9" e="0"/>
        <item x="10" e="0"/>
        <item x="11" e="0"/>
      </items>
    </pivotField>
    <pivotField compact="0" allDrilled="1" outline="0"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 baseField="0" baseItem="0"/>
    <dataField name="Sum of Profit" fld="0" baseField="0" baseItem="0"/>
  </dataFields>
  <formats count="1">
    <format dxfId="6">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Transactions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3A3D67-4961-4863-81EA-9E6D5D2A8347}" sourceName="[CustomersTable].[Region]">
  <pivotTables>
    <pivotTable tabId="7" name="PivotTable4"/>
  </pivotTables>
  <data>
    <olap pivotCacheId="237169735">
      <levels count="2">
        <level uniqueName="[CustomersTable].[Region].[(All)]" sourceCaption="(All)" count="0"/>
        <level uniqueName="[CustomersTable].[Region].[Region]" sourceCaption="Region" count="4">
          <ranges>
            <range startItem="0">
              <i n="[CustomersTable].[Region].&amp;[Central]" c="Central"/>
              <i n="[CustomersTable].[Region].&amp;[Mindanao]" c="Mindanao"/>
              <i n="[CustomersTable].[Region].&amp;[North]" c="North"/>
              <i n="[CustomersTable].[Region].&amp;[South]" c="South"/>
            </range>
          </ranges>
        </level>
      </levels>
      <selections count="1">
        <selection n="[CustomersTable].[Region].[All]"/>
      </selections>
    </olap>
  </data>
  <extLst>
    <x:ext xmlns:x15="http://schemas.microsoft.com/office/spreadsheetml/2010/11/main" uri="{470722E0-AACD-4C17-9CDC-17EF765DBC7E}">
      <x15:slicerCacheHideItemsWithNoData count="1">
        <x15:slicerCacheOlapLevelName uniqueName="[CustomersTable].[Region].[Reg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F1D2A7-DA80-4801-9E93-17ECE1D569A6}" cache="Slicer_Region" caption="Region"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7DF1AB3-B2F0-4E80-A93E-4F1E684ABAC7}" name="Table4" displayName="Table4" ref="A2:D14" totalsRowShown="0" headerRowDxfId="16" dataDxfId="14" headerRowBorderDxfId="15" tableBorderDxfId="13">
  <autoFilter ref="A2:D14" xr:uid="{77DF1AB3-B2F0-4E80-A93E-4F1E684ABAC7}">
    <filterColumn colId="0" hiddenButton="1"/>
    <filterColumn colId="1" hiddenButton="1"/>
    <filterColumn colId="2" hiddenButton="1"/>
    <filterColumn colId="3" hiddenButton="1"/>
  </autoFilter>
  <tableColumns count="4">
    <tableColumn id="1" xr3:uid="{39B4F26C-88C0-4019-B4FF-EFC2A07381BF}" name="Business question" dataDxfId="12"/>
    <tableColumn id="2" xr3:uid="{6E2546E7-80AD-4B13-A3BF-9AF83BCCEDC6}" name="Insight" dataDxfId="11"/>
    <tableColumn id="3" xr3:uid="{3C667CB4-C9E8-470C-83CE-1ED9B942894D}" name="Implication" dataDxfId="10"/>
    <tableColumn id="4" xr3:uid="{4E5CB7A5-0739-4E13-8386-19FFC9C9468C}" name="Suggested Action" dataDxfId="9"/>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nsactionsTable" displayName="TransactionsTable" ref="A1:R101">
  <tableColumns count="18">
    <tableColumn id="1" xr3:uid="{00000000-0010-0000-0000-000001000000}" name="Order ID"/>
    <tableColumn id="2" xr3:uid="{00000000-0010-0000-0000-000002000000}" name="Order Date" dataDxfId="8"/>
    <tableColumn id="3" xr3:uid="{00000000-0010-0000-0000-000003000000}" name="Customer ID"/>
    <tableColumn id="4" xr3:uid="{00000000-0010-0000-0000-000004000000}" name="Product ID"/>
    <tableColumn id="5" xr3:uid="{00000000-0010-0000-0000-000005000000}" name="Sales Channel"/>
    <tableColumn id="6" xr3:uid="{00000000-0010-0000-0000-000006000000}" name="Payment Method"/>
    <tableColumn id="7" xr3:uid="{00000000-0010-0000-0000-000007000000}" name="Quantity"/>
    <tableColumn id="8" xr3:uid="{00000000-0010-0000-0000-000008000000}" name="Unit Price"/>
    <tableColumn id="9" xr3:uid="{00000000-0010-0000-0000-000009000000}" name="Discount %"/>
    <tableColumn id="10" xr3:uid="{00000000-0010-0000-0000-00000A000000}" name="Shipping Fee"/>
    <tableColumn id="11" xr3:uid="{00000000-0010-0000-0000-00000B000000}" name="Gross Sales"/>
    <tableColumn id="12" xr3:uid="{00000000-0010-0000-0000-00000C000000}" name="Discount Amount"/>
    <tableColumn id="13" xr3:uid="{00000000-0010-0000-0000-00000D000000}" name="Net Sales"/>
    <tableColumn id="14" xr3:uid="{00000000-0010-0000-0000-00000E000000}" name="Unit Cost"/>
    <tableColumn id="15" xr3:uid="{00000000-0010-0000-0000-00000F000000}" name="Total Cost"/>
    <tableColumn id="16" xr3:uid="{00000000-0010-0000-0000-000010000000}" name="Profit"/>
    <tableColumn id="17" xr3:uid="{00000000-0010-0000-0000-000011000000}" name="Order Status"/>
    <tableColumn id="18" xr3:uid="{00000000-0010-0000-0000-000012000000}" name="Satisfaction Sco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ustomersTable" displayName="CustomersTable" ref="A1:F21">
  <tableColumns count="6">
    <tableColumn id="1" xr3:uid="{00000000-0010-0000-0100-000001000000}" name="Customer ID"/>
    <tableColumn id="2" xr3:uid="{00000000-0010-0000-0100-000002000000}" name="Customer Name"/>
    <tableColumn id="3" xr3:uid="{00000000-0010-0000-0100-000003000000}" name="Segment"/>
    <tableColumn id="4" xr3:uid="{00000000-0010-0000-0100-000004000000}" name="Region"/>
    <tableColumn id="5" xr3:uid="{00000000-0010-0000-0100-000005000000}" name="City"/>
    <tableColumn id="6" xr3:uid="{00000000-0010-0000-0100-000006000000}" name="Signup Date"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ductsTable" displayName="ProductsTable" ref="A1:E16">
  <tableColumns count="5">
    <tableColumn id="1" xr3:uid="{00000000-0010-0000-0200-000001000000}" name="Product ID"/>
    <tableColumn id="2" xr3:uid="{00000000-0010-0000-0200-000002000000}" name="Product Name"/>
    <tableColumn id="3" xr3:uid="{00000000-0010-0000-0200-000003000000}" name="Category"/>
    <tableColumn id="4" xr3:uid="{00000000-0010-0000-0200-000004000000}" name="Unit Cost"/>
    <tableColumn id="5" xr3:uid="{00000000-0010-0000-0200-000005000000}" name="List Pri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BA21327-1B13-4161-9F50-485889AD90DB}">
  <we:reference id="wa200010215" version="1.0.0.0" store="en-US"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90E57-B007-4E4C-9CF3-3DFD371B1406}">
  <sheetPr>
    <tabColor theme="3" tint="0.499984740745262"/>
  </sheetPr>
  <dimension ref="A1:W19"/>
  <sheetViews>
    <sheetView showGridLines="0" tabSelected="1" zoomScaleNormal="100" workbookViewId="0">
      <selection activeCell="F11" sqref="F11"/>
    </sheetView>
  </sheetViews>
  <sheetFormatPr defaultRowHeight="14.25"/>
  <cols>
    <col min="1" max="1" width="7.25" style="6" bestFit="1" customWidth="1"/>
    <col min="2" max="3" width="7.25" style="6" customWidth="1"/>
    <col min="4" max="6" width="15.625" customWidth="1"/>
    <col min="7" max="7" width="7.25" bestFit="1" customWidth="1"/>
    <col min="8" max="8" width="7.25" customWidth="1"/>
    <col min="9" max="11" width="15.625" customWidth="1"/>
  </cols>
  <sheetData>
    <row r="1" spans="1:23" ht="50.25" customHeight="1">
      <c r="A1" s="7" t="s">
        <v>227</v>
      </c>
      <c r="B1" s="7"/>
      <c r="C1" s="7"/>
      <c r="D1" s="7"/>
      <c r="E1" s="7"/>
      <c r="F1" s="7"/>
      <c r="G1" s="7"/>
      <c r="H1" s="7"/>
      <c r="I1" s="7"/>
      <c r="J1" s="7"/>
      <c r="K1" s="7"/>
      <c r="L1" s="7"/>
      <c r="M1" s="7"/>
      <c r="N1" s="7"/>
      <c r="O1" s="7"/>
      <c r="P1" s="7"/>
      <c r="Q1" s="7"/>
      <c r="R1" s="7"/>
      <c r="S1" s="7"/>
      <c r="T1" s="7"/>
      <c r="U1" s="7"/>
      <c r="V1" s="7"/>
      <c r="W1" s="7"/>
    </row>
    <row r="3" spans="1:23" ht="18">
      <c r="M3" s="24" t="s">
        <v>250</v>
      </c>
      <c r="N3" s="24"/>
      <c r="O3" s="24"/>
      <c r="P3" s="24"/>
      <c r="R3" s="24" t="s">
        <v>254</v>
      </c>
      <c r="S3" s="24"/>
      <c r="T3" s="24"/>
      <c r="U3" s="24"/>
    </row>
    <row r="11" spans="1:23" ht="15.75">
      <c r="D11" s="12" t="s">
        <v>166</v>
      </c>
      <c r="E11" s="12" t="s">
        <v>228</v>
      </c>
      <c r="F11" s="12" t="s">
        <v>308</v>
      </c>
      <c r="I11" s="12" t="s">
        <v>205</v>
      </c>
      <c r="J11" s="12" t="s">
        <v>228</v>
      </c>
      <c r="K11" s="12" t="s">
        <v>308</v>
      </c>
    </row>
    <row r="12" spans="1:23">
      <c r="D12" t="str">
        <f>Analyze!B4</f>
        <v>Central</v>
      </c>
      <c r="E12" s="10">
        <f>Analyze!C4</f>
        <v>80334.25</v>
      </c>
      <c r="F12" s="10">
        <f>Analyze!D4</f>
        <v>34164.25</v>
      </c>
      <c r="I12" s="10" t="str">
        <f>Analyze!B14</f>
        <v>Apparel</v>
      </c>
      <c r="J12" s="10">
        <f>Analyze!C14</f>
        <v>21509.200000000001</v>
      </c>
      <c r="K12" s="10">
        <f>Analyze!D14</f>
        <v>10159.200000000001</v>
      </c>
    </row>
    <row r="13" spans="1:23">
      <c r="D13" t="str">
        <f>Analyze!B5</f>
        <v>Mindanao</v>
      </c>
      <c r="E13" s="10">
        <f>Analyze!C5</f>
        <v>66400.38</v>
      </c>
      <c r="F13" s="10">
        <f>Analyze!D5</f>
        <v>26340.38</v>
      </c>
      <c r="I13" s="10" t="str">
        <f>Analyze!B15</f>
        <v>Electronics</v>
      </c>
      <c r="J13" s="10">
        <f>Analyze!C15</f>
        <v>187857.26</v>
      </c>
      <c r="K13" s="10">
        <f>Analyze!D15</f>
        <v>72967.259999999995</v>
      </c>
    </row>
    <row r="14" spans="1:23">
      <c r="D14" t="str">
        <f>Analyze!B6</f>
        <v>North</v>
      </c>
      <c r="E14" s="10">
        <f>Analyze!C6</f>
        <v>82148.649999999994</v>
      </c>
      <c r="F14" s="10">
        <f>Analyze!D6</f>
        <v>34103.65</v>
      </c>
      <c r="I14" s="10" t="str">
        <f>Analyze!B16</f>
        <v>Home</v>
      </c>
      <c r="J14" s="10">
        <f>Analyze!C16</f>
        <v>33718</v>
      </c>
      <c r="K14" s="10">
        <f>Analyze!D16</f>
        <v>15348</v>
      </c>
    </row>
    <row r="15" spans="1:23">
      <c r="D15" t="str">
        <f>Analyze!B7</f>
        <v>South</v>
      </c>
      <c r="E15" s="10">
        <f>Analyze!C7</f>
        <v>48793.279999999999</v>
      </c>
      <c r="F15" s="10">
        <f>Analyze!D7</f>
        <v>19793.28</v>
      </c>
      <c r="I15" s="10" t="str">
        <f>Analyze!B17</f>
        <v>Office Supplies</v>
      </c>
      <c r="J15" s="10">
        <f>Analyze!C17</f>
        <v>34592.1</v>
      </c>
      <c r="K15" s="10">
        <f>Analyze!D17</f>
        <v>15927.1</v>
      </c>
    </row>
    <row r="16" spans="1:23" ht="15">
      <c r="D16" s="11" t="str">
        <f>Analyze!B8</f>
        <v>Grand Total</v>
      </c>
      <c r="E16" s="13">
        <f>Analyze!C8</f>
        <v>277676.56</v>
      </c>
      <c r="F16" s="13">
        <f>Analyze!D8</f>
        <v>114401.56</v>
      </c>
      <c r="I16" s="13" t="str">
        <f>Analyze!B18</f>
        <v>Grand Total</v>
      </c>
      <c r="J16" s="13">
        <f>Analyze!C18</f>
        <v>277676.56</v>
      </c>
      <c r="K16" s="13">
        <f>Analyze!D18</f>
        <v>114401.56</v>
      </c>
    </row>
    <row r="17" spans="4:22" ht="15">
      <c r="D17" s="18"/>
      <c r="E17" s="17"/>
      <c r="F17" s="17"/>
      <c r="I17" s="17"/>
      <c r="J17" s="17"/>
      <c r="K17" s="17"/>
    </row>
    <row r="18" spans="4:22" ht="27.75">
      <c r="M18" s="23" t="s">
        <v>248</v>
      </c>
      <c r="N18" s="23"/>
      <c r="O18" s="23"/>
      <c r="P18" s="23"/>
      <c r="Q18" s="23"/>
      <c r="R18" s="23"/>
      <c r="S18" s="23"/>
      <c r="T18" s="23"/>
      <c r="U18" s="23"/>
      <c r="V18" s="23"/>
    </row>
    <row r="19" spans="4:22" ht="18">
      <c r="D19" s="22" t="s">
        <v>246</v>
      </c>
      <c r="E19" s="22"/>
      <c r="F19" s="22"/>
      <c r="I19" s="22" t="s">
        <v>247</v>
      </c>
      <c r="J19" s="22"/>
      <c r="K19" s="22"/>
    </row>
  </sheetData>
  <mergeCells count="5">
    <mergeCell ref="I19:K19"/>
    <mergeCell ref="D19:F19"/>
    <mergeCell ref="M18:V18"/>
    <mergeCell ref="R3:U3"/>
    <mergeCell ref="M3: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7DEB6-5C4C-47B1-A138-B7BD3D550B38}">
  <sheetPr>
    <tabColor rgb="FF5B9BD5"/>
  </sheetPr>
  <dimension ref="A1:D14"/>
  <sheetViews>
    <sheetView showGridLines="0" workbookViewId="0">
      <selection activeCell="A6" sqref="A6"/>
    </sheetView>
  </sheetViews>
  <sheetFormatPr defaultRowHeight="14.25"/>
  <cols>
    <col min="1" max="1" width="27.5" customWidth="1"/>
    <col min="2" max="2" width="57.875" customWidth="1"/>
    <col min="3" max="3" width="54.375" customWidth="1"/>
    <col min="4" max="4" width="62" customWidth="1"/>
  </cols>
  <sheetData>
    <row r="1" spans="1:4" ht="27" thickBot="1">
      <c r="A1" s="25" t="s">
        <v>306</v>
      </c>
      <c r="B1" s="25"/>
      <c r="C1" s="25"/>
      <c r="D1" s="25"/>
    </row>
    <row r="2" spans="1:4" ht="16.5" thickTop="1">
      <c r="A2" s="19" t="s">
        <v>255</v>
      </c>
      <c r="B2" s="19" t="s">
        <v>256</v>
      </c>
      <c r="C2" s="19" t="s">
        <v>257</v>
      </c>
      <c r="D2" s="19" t="s">
        <v>258</v>
      </c>
    </row>
    <row r="3" spans="1:4" ht="50.1" customHeight="1">
      <c r="A3" s="20" t="s">
        <v>259</v>
      </c>
      <c r="B3" s="21" t="s">
        <v>307</v>
      </c>
      <c r="C3" s="21" t="s">
        <v>260</v>
      </c>
      <c r="D3" s="21" t="s">
        <v>261</v>
      </c>
    </row>
    <row r="4" spans="1:4" ht="50.1" customHeight="1">
      <c r="A4" s="20" t="s">
        <v>262</v>
      </c>
      <c r="B4" s="21" t="s">
        <v>263</v>
      </c>
      <c r="C4" s="21" t="s">
        <v>264</v>
      </c>
      <c r="D4" s="21" t="s">
        <v>265</v>
      </c>
    </row>
    <row r="5" spans="1:4" ht="50.1" customHeight="1">
      <c r="A5" s="20" t="s">
        <v>266</v>
      </c>
      <c r="B5" s="21" t="s">
        <v>267</v>
      </c>
      <c r="C5" s="21" t="s">
        <v>268</v>
      </c>
      <c r="D5" s="21" t="s">
        <v>269</v>
      </c>
    </row>
    <row r="6" spans="1:4" ht="50.1" customHeight="1">
      <c r="A6" s="20" t="s">
        <v>270</v>
      </c>
      <c r="B6" s="21" t="s">
        <v>271</v>
      </c>
      <c r="C6" s="21" t="s">
        <v>272</v>
      </c>
      <c r="D6" s="21" t="s">
        <v>273</v>
      </c>
    </row>
    <row r="7" spans="1:4" ht="50.1" customHeight="1">
      <c r="A7" s="20" t="s">
        <v>274</v>
      </c>
      <c r="B7" s="21" t="s">
        <v>275</v>
      </c>
      <c r="C7" s="21" t="s">
        <v>276</v>
      </c>
      <c r="D7" s="21" t="s">
        <v>277</v>
      </c>
    </row>
    <row r="8" spans="1:4" ht="50.1" customHeight="1">
      <c r="A8" s="20" t="s">
        <v>278</v>
      </c>
      <c r="B8" s="21" t="s">
        <v>279</v>
      </c>
      <c r="C8" s="21" t="s">
        <v>280</v>
      </c>
      <c r="D8" s="21" t="s">
        <v>281</v>
      </c>
    </row>
    <row r="9" spans="1:4" ht="50.1" customHeight="1">
      <c r="A9" s="20" t="s">
        <v>282</v>
      </c>
      <c r="B9" s="21" t="s">
        <v>283</v>
      </c>
      <c r="C9" s="21" t="s">
        <v>284</v>
      </c>
      <c r="D9" s="21" t="s">
        <v>285</v>
      </c>
    </row>
    <row r="10" spans="1:4" ht="50.1" customHeight="1">
      <c r="A10" s="20" t="s">
        <v>286</v>
      </c>
      <c r="B10" s="21" t="s">
        <v>287</v>
      </c>
      <c r="C10" s="21" t="s">
        <v>288</v>
      </c>
      <c r="D10" s="21" t="s">
        <v>289</v>
      </c>
    </row>
    <row r="11" spans="1:4" ht="50.1" customHeight="1">
      <c r="A11" s="20" t="s">
        <v>290</v>
      </c>
      <c r="B11" s="21" t="s">
        <v>291</v>
      </c>
      <c r="C11" s="21" t="s">
        <v>292</v>
      </c>
      <c r="D11" s="21" t="s">
        <v>293</v>
      </c>
    </row>
    <row r="12" spans="1:4" ht="50.1" customHeight="1">
      <c r="A12" s="20" t="s">
        <v>294</v>
      </c>
      <c r="B12" s="21" t="s">
        <v>295</v>
      </c>
      <c r="C12" s="21" t="s">
        <v>296</v>
      </c>
      <c r="D12" s="21" t="s">
        <v>297</v>
      </c>
    </row>
    <row r="13" spans="1:4" ht="50.1" customHeight="1">
      <c r="A13" s="20" t="s">
        <v>298</v>
      </c>
      <c r="B13" s="21" t="s">
        <v>299</v>
      </c>
      <c r="C13" s="21" t="s">
        <v>300</v>
      </c>
      <c r="D13" s="21" t="s">
        <v>301</v>
      </c>
    </row>
    <row r="14" spans="1:4" ht="50.1" customHeight="1">
      <c r="A14" s="20" t="s">
        <v>302</v>
      </c>
      <c r="B14" s="21" t="s">
        <v>303</v>
      </c>
      <c r="C14" s="21" t="s">
        <v>304</v>
      </c>
      <c r="D14" s="21" t="s">
        <v>305</v>
      </c>
    </row>
  </sheetData>
  <mergeCells count="1">
    <mergeCell ref="A1:D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topLeftCell="D1" workbookViewId="0">
      <selection activeCell="R108" sqref="R108"/>
    </sheetView>
  </sheetViews>
  <sheetFormatPr defaultRowHeight="14.25"/>
  <cols>
    <col min="1" max="1" width="9.75" bestFit="1" customWidth="1"/>
    <col min="2" max="2" width="10.75" bestFit="1" customWidth="1"/>
    <col min="3" max="3" width="11.875" bestFit="1" customWidth="1"/>
    <col min="4" max="4" width="10.25" bestFit="1" customWidth="1"/>
    <col min="5" max="5" width="13.75" bestFit="1" customWidth="1"/>
    <col min="6" max="6" width="15.75" bestFit="1" customWidth="1"/>
    <col min="7" max="7" width="8.25" bestFit="1" customWidth="1"/>
    <col min="8" max="8" width="9.625" bestFit="1" customWidth="1"/>
    <col min="9" max="9" width="10.875" bestFit="1" customWidth="1"/>
    <col min="10" max="10" width="12.625" bestFit="1" customWidth="1"/>
    <col min="11" max="11" width="11.625" bestFit="1" customWidth="1"/>
    <col min="12" max="12" width="16" bestFit="1" customWidth="1"/>
    <col min="13" max="13" width="9.375" bestFit="1" customWidth="1"/>
    <col min="14" max="14" width="9.125" bestFit="1" customWidth="1"/>
    <col min="15" max="15" width="10" bestFit="1" customWidth="1"/>
    <col min="16" max="16" width="7.875" bestFit="1" customWidth="1"/>
    <col min="17" max="17" width="12.25" bestFit="1" customWidth="1"/>
    <col min="18" max="18" width="17.25" bestFit="1"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s="5">
        <v>45671</v>
      </c>
      <c r="C2" t="s">
        <v>19</v>
      </c>
      <c r="D2" t="s">
        <v>20</v>
      </c>
      <c r="E2" t="s">
        <v>21</v>
      </c>
      <c r="F2" t="s">
        <v>22</v>
      </c>
      <c r="G2">
        <v>2</v>
      </c>
      <c r="H2" s="3">
        <v>1450</v>
      </c>
      <c r="I2" s="3">
        <v>0.1</v>
      </c>
      <c r="J2" s="3">
        <v>0</v>
      </c>
      <c r="K2" s="3">
        <v>2900</v>
      </c>
      <c r="L2" s="3">
        <v>290</v>
      </c>
      <c r="M2" s="3">
        <v>2610</v>
      </c>
      <c r="N2" s="3">
        <v>850</v>
      </c>
      <c r="O2" s="3">
        <v>1700</v>
      </c>
      <c r="P2" s="3">
        <v>910</v>
      </c>
      <c r="Q2" t="s">
        <v>23</v>
      </c>
      <c r="R2" t="s">
        <v>226</v>
      </c>
    </row>
    <row r="3" spans="1:18">
      <c r="A3" t="s">
        <v>24</v>
      </c>
      <c r="B3" s="5">
        <v>45672</v>
      </c>
      <c r="C3" t="s">
        <v>25</v>
      </c>
      <c r="D3" t="s">
        <v>26</v>
      </c>
      <c r="E3" t="s">
        <v>27</v>
      </c>
      <c r="F3" t="s">
        <v>28</v>
      </c>
      <c r="G3">
        <v>5</v>
      </c>
      <c r="H3" s="3">
        <v>1250</v>
      </c>
      <c r="I3" s="3">
        <v>0.1</v>
      </c>
      <c r="J3" s="3">
        <v>100</v>
      </c>
      <c r="K3" s="3">
        <v>6250</v>
      </c>
      <c r="L3" s="3">
        <v>625</v>
      </c>
      <c r="M3" s="3">
        <v>5725</v>
      </c>
      <c r="N3" s="3">
        <v>700</v>
      </c>
      <c r="O3" s="3">
        <v>3500</v>
      </c>
      <c r="P3" s="3">
        <v>2225</v>
      </c>
      <c r="Q3" t="s">
        <v>29</v>
      </c>
      <c r="R3">
        <v>1</v>
      </c>
    </row>
    <row r="4" spans="1:18">
      <c r="A4" t="s">
        <v>30</v>
      </c>
      <c r="B4" s="5">
        <v>45677</v>
      </c>
      <c r="C4" t="s">
        <v>31</v>
      </c>
      <c r="D4" t="s">
        <v>32</v>
      </c>
      <c r="E4" t="s">
        <v>21</v>
      </c>
      <c r="F4" t="s">
        <v>22</v>
      </c>
      <c r="G4">
        <v>8</v>
      </c>
      <c r="H4" s="3">
        <v>273</v>
      </c>
      <c r="I4" s="3">
        <v>0.15</v>
      </c>
      <c r="J4" s="3">
        <v>0</v>
      </c>
      <c r="K4" s="3">
        <v>2184</v>
      </c>
      <c r="L4" s="3">
        <v>327.60000000000002</v>
      </c>
      <c r="M4" s="3">
        <v>1856.4</v>
      </c>
      <c r="N4" s="3">
        <v>130</v>
      </c>
      <c r="O4" s="3">
        <v>1040</v>
      </c>
      <c r="P4" s="3">
        <v>816.4</v>
      </c>
      <c r="Q4" t="s">
        <v>33</v>
      </c>
      <c r="R4">
        <v>1</v>
      </c>
    </row>
    <row r="5" spans="1:18">
      <c r="A5" t="s">
        <v>34</v>
      </c>
      <c r="B5" s="5">
        <v>45680</v>
      </c>
      <c r="C5" t="s">
        <v>35</v>
      </c>
      <c r="D5" t="s">
        <v>36</v>
      </c>
      <c r="E5" t="s">
        <v>21</v>
      </c>
      <c r="F5" t="s">
        <v>22</v>
      </c>
      <c r="G5">
        <v>4</v>
      </c>
      <c r="H5" s="3">
        <v>270</v>
      </c>
      <c r="I5" s="3">
        <v>0.2</v>
      </c>
      <c r="J5" s="3">
        <v>100</v>
      </c>
      <c r="K5" s="3">
        <v>1080</v>
      </c>
      <c r="L5" s="3">
        <v>216</v>
      </c>
      <c r="M5" s="3">
        <v>964</v>
      </c>
      <c r="N5" s="3">
        <v>120</v>
      </c>
      <c r="O5" s="3">
        <v>480</v>
      </c>
      <c r="P5" s="3">
        <v>484</v>
      </c>
      <c r="Q5" t="s">
        <v>33</v>
      </c>
      <c r="R5">
        <v>4</v>
      </c>
    </row>
    <row r="6" spans="1:18">
      <c r="A6" t="s">
        <v>37</v>
      </c>
      <c r="B6" s="5">
        <v>45683</v>
      </c>
      <c r="C6" t="s">
        <v>38</v>
      </c>
      <c r="D6" t="s">
        <v>39</v>
      </c>
      <c r="E6" t="s">
        <v>21</v>
      </c>
      <c r="F6" t="s">
        <v>22</v>
      </c>
      <c r="G6">
        <v>1</v>
      </c>
      <c r="H6" s="3">
        <v>722</v>
      </c>
      <c r="I6" s="3">
        <v>0.15</v>
      </c>
      <c r="J6" s="3">
        <v>50</v>
      </c>
      <c r="K6" s="3">
        <v>722</v>
      </c>
      <c r="L6" s="3">
        <v>108.3</v>
      </c>
      <c r="M6" s="3">
        <v>663.7</v>
      </c>
      <c r="N6" s="3">
        <v>420</v>
      </c>
      <c r="O6" s="3">
        <v>420</v>
      </c>
      <c r="P6" s="3">
        <v>243.7</v>
      </c>
      <c r="Q6" t="s">
        <v>29</v>
      </c>
      <c r="R6">
        <v>2</v>
      </c>
    </row>
    <row r="7" spans="1:18">
      <c r="A7" t="s">
        <v>40</v>
      </c>
      <c r="B7" s="5">
        <v>45684</v>
      </c>
      <c r="C7" t="s">
        <v>41</v>
      </c>
      <c r="D7" t="s">
        <v>26</v>
      </c>
      <c r="E7" t="s">
        <v>42</v>
      </c>
      <c r="F7" t="s">
        <v>22</v>
      </c>
      <c r="G7">
        <v>6</v>
      </c>
      <c r="H7" s="3">
        <v>1250</v>
      </c>
      <c r="I7" s="3">
        <v>0.1</v>
      </c>
      <c r="J7" s="3">
        <v>150</v>
      </c>
      <c r="K7" s="3">
        <v>7500</v>
      </c>
      <c r="L7" s="3">
        <v>750</v>
      </c>
      <c r="M7" s="3">
        <v>6900</v>
      </c>
      <c r="N7" s="3">
        <v>700</v>
      </c>
      <c r="O7" s="3">
        <v>4200</v>
      </c>
      <c r="P7" s="3">
        <v>2700</v>
      </c>
      <c r="Q7" t="s">
        <v>29</v>
      </c>
      <c r="R7">
        <v>3</v>
      </c>
    </row>
    <row r="8" spans="1:18">
      <c r="A8" t="s">
        <v>43</v>
      </c>
      <c r="B8" s="5">
        <v>45690</v>
      </c>
      <c r="C8" t="s">
        <v>25</v>
      </c>
      <c r="D8" t="s">
        <v>36</v>
      </c>
      <c r="E8" t="s">
        <v>44</v>
      </c>
      <c r="F8" t="s">
        <v>22</v>
      </c>
      <c r="G8">
        <v>2</v>
      </c>
      <c r="H8" s="3">
        <v>270</v>
      </c>
      <c r="I8" s="3">
        <v>0.05</v>
      </c>
      <c r="J8" s="3">
        <v>100</v>
      </c>
      <c r="K8" s="3">
        <v>540</v>
      </c>
      <c r="L8" s="3">
        <v>27</v>
      </c>
      <c r="M8" s="3">
        <v>613</v>
      </c>
      <c r="N8" s="3">
        <v>120</v>
      </c>
      <c r="O8" s="3">
        <v>240</v>
      </c>
      <c r="P8" s="3">
        <v>373</v>
      </c>
      <c r="Q8" t="s">
        <v>23</v>
      </c>
      <c r="R8" t="s">
        <v>226</v>
      </c>
    </row>
    <row r="9" spans="1:18">
      <c r="A9" t="s">
        <v>45</v>
      </c>
      <c r="B9" s="5">
        <v>45693</v>
      </c>
      <c r="C9" t="s">
        <v>25</v>
      </c>
      <c r="D9" t="s">
        <v>46</v>
      </c>
      <c r="E9" t="s">
        <v>42</v>
      </c>
      <c r="F9" t="s">
        <v>28</v>
      </c>
      <c r="G9">
        <v>8</v>
      </c>
      <c r="H9" s="3">
        <v>1650</v>
      </c>
      <c r="I9" s="3">
        <v>0</v>
      </c>
      <c r="J9" s="3">
        <v>150</v>
      </c>
      <c r="K9" s="3">
        <v>13200</v>
      </c>
      <c r="L9" s="3">
        <v>0</v>
      </c>
      <c r="M9" s="3">
        <v>13350</v>
      </c>
      <c r="N9" s="3">
        <v>950</v>
      </c>
      <c r="O9" s="3">
        <v>7600</v>
      </c>
      <c r="P9" s="3">
        <v>5750</v>
      </c>
      <c r="Q9" t="s">
        <v>33</v>
      </c>
      <c r="R9">
        <v>2</v>
      </c>
    </row>
    <row r="10" spans="1:18">
      <c r="A10" t="s">
        <v>47</v>
      </c>
      <c r="B10" s="5">
        <v>45706</v>
      </c>
      <c r="C10" t="s">
        <v>48</v>
      </c>
      <c r="D10" t="s">
        <v>26</v>
      </c>
      <c r="E10" t="s">
        <v>42</v>
      </c>
      <c r="F10" t="s">
        <v>22</v>
      </c>
      <c r="G10">
        <v>3</v>
      </c>
      <c r="H10" s="3">
        <v>1375</v>
      </c>
      <c r="I10" s="3">
        <v>0.05</v>
      </c>
      <c r="J10" s="3">
        <v>100</v>
      </c>
      <c r="K10" s="3">
        <v>4125</v>
      </c>
      <c r="L10" s="3">
        <v>206.25</v>
      </c>
      <c r="M10" s="3">
        <v>4018.75</v>
      </c>
      <c r="N10" s="3">
        <v>700</v>
      </c>
      <c r="O10" s="3">
        <v>2100</v>
      </c>
      <c r="P10" s="3">
        <v>1918.75</v>
      </c>
      <c r="Q10" t="s">
        <v>29</v>
      </c>
      <c r="R10">
        <v>2</v>
      </c>
    </row>
    <row r="11" spans="1:18">
      <c r="A11" t="s">
        <v>49</v>
      </c>
      <c r="B11" s="5">
        <v>45712</v>
      </c>
      <c r="C11" t="s">
        <v>50</v>
      </c>
      <c r="D11" t="s">
        <v>51</v>
      </c>
      <c r="E11" t="s">
        <v>21</v>
      </c>
      <c r="F11" t="s">
        <v>28</v>
      </c>
      <c r="G11">
        <v>1</v>
      </c>
      <c r="H11" s="3">
        <v>399</v>
      </c>
      <c r="I11" s="3">
        <v>0.2</v>
      </c>
      <c r="J11" s="3">
        <v>50</v>
      </c>
      <c r="K11" s="3">
        <v>399</v>
      </c>
      <c r="L11" s="3">
        <v>79.8</v>
      </c>
      <c r="M11" s="3">
        <v>369.2</v>
      </c>
      <c r="N11" s="3">
        <v>210</v>
      </c>
      <c r="O11" s="3">
        <v>210</v>
      </c>
      <c r="P11" s="3">
        <v>159.19999999999999</v>
      </c>
      <c r="Q11" t="s">
        <v>23</v>
      </c>
      <c r="R11" t="s">
        <v>226</v>
      </c>
    </row>
    <row r="12" spans="1:18">
      <c r="A12" t="s">
        <v>52</v>
      </c>
      <c r="B12" s="5">
        <v>45715</v>
      </c>
      <c r="C12" t="s">
        <v>41</v>
      </c>
      <c r="D12" t="s">
        <v>51</v>
      </c>
      <c r="E12" t="s">
        <v>21</v>
      </c>
      <c r="F12" t="s">
        <v>22</v>
      </c>
      <c r="G12">
        <v>5</v>
      </c>
      <c r="H12" s="3">
        <v>361</v>
      </c>
      <c r="I12" s="3">
        <v>0</v>
      </c>
      <c r="J12" s="3">
        <v>150</v>
      </c>
      <c r="K12" s="3">
        <v>1805</v>
      </c>
      <c r="L12" s="3">
        <v>0</v>
      </c>
      <c r="M12" s="3">
        <v>1955</v>
      </c>
      <c r="N12" s="3">
        <v>210</v>
      </c>
      <c r="O12" s="3">
        <v>1050</v>
      </c>
      <c r="P12" s="3">
        <v>905</v>
      </c>
      <c r="Q12" t="s">
        <v>33</v>
      </c>
      <c r="R12">
        <v>3</v>
      </c>
    </row>
    <row r="13" spans="1:18">
      <c r="A13" t="s">
        <v>53</v>
      </c>
      <c r="B13" s="5">
        <v>45715</v>
      </c>
      <c r="C13" t="s">
        <v>54</v>
      </c>
      <c r="D13" t="s">
        <v>55</v>
      </c>
      <c r="E13" t="s">
        <v>21</v>
      </c>
      <c r="F13" t="s">
        <v>56</v>
      </c>
      <c r="G13">
        <v>3</v>
      </c>
      <c r="H13" s="3">
        <v>85.5</v>
      </c>
      <c r="I13" s="3">
        <v>0.2</v>
      </c>
      <c r="J13" s="3">
        <v>75</v>
      </c>
      <c r="K13" s="3">
        <v>256.5</v>
      </c>
      <c r="L13" s="3">
        <v>51.3</v>
      </c>
      <c r="M13" s="3">
        <v>280.2</v>
      </c>
      <c r="N13" s="3">
        <v>45</v>
      </c>
      <c r="O13" s="3">
        <v>135</v>
      </c>
      <c r="P13" s="3">
        <v>145.19999999999999</v>
      </c>
      <c r="Q13" t="s">
        <v>29</v>
      </c>
      <c r="R13">
        <v>1</v>
      </c>
    </row>
    <row r="14" spans="1:18">
      <c r="A14" t="s">
        <v>57</v>
      </c>
      <c r="B14" s="5">
        <v>45717</v>
      </c>
      <c r="C14" t="s">
        <v>41</v>
      </c>
      <c r="D14" t="s">
        <v>58</v>
      </c>
      <c r="E14" t="s">
        <v>44</v>
      </c>
      <c r="F14" t="s">
        <v>28</v>
      </c>
      <c r="G14">
        <v>6</v>
      </c>
      <c r="H14" s="3">
        <v>357</v>
      </c>
      <c r="I14" s="3">
        <v>0.15</v>
      </c>
      <c r="J14" s="3">
        <v>150</v>
      </c>
      <c r="K14" s="3">
        <v>2142</v>
      </c>
      <c r="L14" s="3">
        <v>321.3</v>
      </c>
      <c r="M14" s="3">
        <v>1970.7</v>
      </c>
      <c r="N14" s="3">
        <v>180</v>
      </c>
      <c r="O14" s="3">
        <v>1080</v>
      </c>
      <c r="P14" s="3">
        <v>890.7</v>
      </c>
      <c r="Q14" t="s">
        <v>23</v>
      </c>
      <c r="R14" t="s">
        <v>226</v>
      </c>
    </row>
    <row r="15" spans="1:18">
      <c r="A15" t="s">
        <v>59</v>
      </c>
      <c r="B15" s="5">
        <v>45718</v>
      </c>
      <c r="C15" t="s">
        <v>60</v>
      </c>
      <c r="D15" t="s">
        <v>61</v>
      </c>
      <c r="E15" t="s">
        <v>27</v>
      </c>
      <c r="F15" t="s">
        <v>22</v>
      </c>
      <c r="G15">
        <v>1</v>
      </c>
      <c r="H15" s="3">
        <v>187</v>
      </c>
      <c r="I15" s="3">
        <v>0</v>
      </c>
      <c r="J15" s="3">
        <v>50</v>
      </c>
      <c r="K15" s="3">
        <v>187</v>
      </c>
      <c r="L15" s="3">
        <v>0</v>
      </c>
      <c r="M15" s="3">
        <v>237</v>
      </c>
      <c r="N15" s="3">
        <v>90</v>
      </c>
      <c r="O15" s="3">
        <v>90</v>
      </c>
      <c r="P15" s="3">
        <v>147</v>
      </c>
      <c r="Q15" t="s">
        <v>33</v>
      </c>
      <c r="R15">
        <v>4</v>
      </c>
    </row>
    <row r="16" spans="1:18">
      <c r="A16" t="s">
        <v>62</v>
      </c>
      <c r="B16" s="5">
        <v>45721</v>
      </c>
      <c r="C16" t="s">
        <v>63</v>
      </c>
      <c r="D16" t="s">
        <v>55</v>
      </c>
      <c r="E16" t="s">
        <v>44</v>
      </c>
      <c r="F16" t="s">
        <v>56</v>
      </c>
      <c r="G16">
        <v>2</v>
      </c>
      <c r="H16" s="3">
        <v>99</v>
      </c>
      <c r="I16" s="3">
        <v>0</v>
      </c>
      <c r="J16" s="3">
        <v>75</v>
      </c>
      <c r="K16" s="3">
        <v>198</v>
      </c>
      <c r="L16" s="3">
        <v>0</v>
      </c>
      <c r="M16" s="3">
        <v>273</v>
      </c>
      <c r="N16" s="3">
        <v>45</v>
      </c>
      <c r="O16" s="3">
        <v>90</v>
      </c>
      <c r="P16" s="3">
        <v>183</v>
      </c>
      <c r="Q16" t="s">
        <v>23</v>
      </c>
      <c r="R16" t="s">
        <v>226</v>
      </c>
    </row>
    <row r="17" spans="1:18">
      <c r="A17" t="s">
        <v>64</v>
      </c>
      <c r="B17" s="5">
        <v>45722</v>
      </c>
      <c r="C17" t="s">
        <v>65</v>
      </c>
      <c r="D17" t="s">
        <v>46</v>
      </c>
      <c r="E17" t="s">
        <v>27</v>
      </c>
      <c r="F17" t="s">
        <v>22</v>
      </c>
      <c r="G17">
        <v>4</v>
      </c>
      <c r="H17" s="3">
        <v>1567.5</v>
      </c>
      <c r="I17" s="3">
        <v>0</v>
      </c>
      <c r="J17" s="3">
        <v>100</v>
      </c>
      <c r="K17" s="3">
        <v>6270</v>
      </c>
      <c r="L17" s="3">
        <v>0</v>
      </c>
      <c r="M17" s="3">
        <v>6370</v>
      </c>
      <c r="N17" s="3">
        <v>950</v>
      </c>
      <c r="O17" s="3">
        <v>3800</v>
      </c>
      <c r="P17" s="3">
        <v>2570</v>
      </c>
      <c r="Q17" t="s">
        <v>33</v>
      </c>
      <c r="R17">
        <v>5</v>
      </c>
    </row>
    <row r="18" spans="1:18">
      <c r="A18" t="s">
        <v>66</v>
      </c>
      <c r="B18" s="5">
        <v>45722</v>
      </c>
      <c r="C18" t="s">
        <v>60</v>
      </c>
      <c r="D18" t="s">
        <v>26</v>
      </c>
      <c r="E18" t="s">
        <v>21</v>
      </c>
      <c r="F18" t="s">
        <v>67</v>
      </c>
      <c r="G18">
        <v>6</v>
      </c>
      <c r="H18" s="3">
        <v>1250</v>
      </c>
      <c r="I18" s="3">
        <v>0.1</v>
      </c>
      <c r="J18" s="3">
        <v>0</v>
      </c>
      <c r="K18" s="3">
        <v>7500</v>
      </c>
      <c r="L18" s="3">
        <v>750</v>
      </c>
      <c r="M18" s="3">
        <v>6750</v>
      </c>
      <c r="N18" s="3">
        <v>700</v>
      </c>
      <c r="O18" s="3">
        <v>4200</v>
      </c>
      <c r="P18" s="3">
        <v>2550</v>
      </c>
      <c r="Q18" t="s">
        <v>23</v>
      </c>
      <c r="R18" t="s">
        <v>226</v>
      </c>
    </row>
    <row r="19" spans="1:18">
      <c r="A19" t="s">
        <v>68</v>
      </c>
      <c r="B19" s="5">
        <v>45728</v>
      </c>
      <c r="C19" t="s">
        <v>63</v>
      </c>
      <c r="D19" t="s">
        <v>61</v>
      </c>
      <c r="E19" t="s">
        <v>44</v>
      </c>
      <c r="F19" t="s">
        <v>67</v>
      </c>
      <c r="G19">
        <v>5</v>
      </c>
      <c r="H19" s="3">
        <v>187</v>
      </c>
      <c r="I19" s="3">
        <v>0.2</v>
      </c>
      <c r="J19" s="3">
        <v>100</v>
      </c>
      <c r="K19" s="3">
        <v>935</v>
      </c>
      <c r="L19" s="3">
        <v>187</v>
      </c>
      <c r="M19" s="3">
        <v>848</v>
      </c>
      <c r="N19" s="3">
        <v>90</v>
      </c>
      <c r="O19" s="3">
        <v>450</v>
      </c>
      <c r="P19" s="3">
        <v>398</v>
      </c>
      <c r="Q19" t="s">
        <v>33</v>
      </c>
      <c r="R19">
        <v>2</v>
      </c>
    </row>
    <row r="20" spans="1:18">
      <c r="A20" t="s">
        <v>69</v>
      </c>
      <c r="B20" s="5">
        <v>45730</v>
      </c>
      <c r="C20" t="s">
        <v>50</v>
      </c>
      <c r="D20" t="s">
        <v>70</v>
      </c>
      <c r="E20" t="s">
        <v>27</v>
      </c>
      <c r="F20" t="s">
        <v>22</v>
      </c>
      <c r="G20">
        <v>8</v>
      </c>
      <c r="H20" s="3">
        <v>157.5</v>
      </c>
      <c r="I20" s="3">
        <v>0.1</v>
      </c>
      <c r="J20" s="3">
        <v>0</v>
      </c>
      <c r="K20" s="3">
        <v>1260</v>
      </c>
      <c r="L20" s="3">
        <v>126</v>
      </c>
      <c r="M20" s="3">
        <v>1134</v>
      </c>
      <c r="N20" s="3">
        <v>80</v>
      </c>
      <c r="O20" s="3">
        <v>640</v>
      </c>
      <c r="P20" s="3">
        <v>494</v>
      </c>
      <c r="Q20" t="s">
        <v>29</v>
      </c>
      <c r="R20">
        <v>1</v>
      </c>
    </row>
    <row r="21" spans="1:18">
      <c r="A21" t="s">
        <v>71</v>
      </c>
      <c r="B21" s="5">
        <v>45733</v>
      </c>
      <c r="C21" t="s">
        <v>72</v>
      </c>
      <c r="D21" t="s">
        <v>73</v>
      </c>
      <c r="E21" t="s">
        <v>44</v>
      </c>
      <c r="F21" t="s">
        <v>28</v>
      </c>
      <c r="G21">
        <v>3</v>
      </c>
      <c r="H21" s="3">
        <v>589</v>
      </c>
      <c r="I21" s="3">
        <v>0.1</v>
      </c>
      <c r="J21" s="3">
        <v>150</v>
      </c>
      <c r="K21" s="3">
        <v>1767</v>
      </c>
      <c r="L21" s="3">
        <v>176.7</v>
      </c>
      <c r="M21" s="3">
        <v>1740.3</v>
      </c>
      <c r="N21" s="3">
        <v>310</v>
      </c>
      <c r="O21" s="3">
        <v>930</v>
      </c>
      <c r="P21" s="3">
        <v>810.3</v>
      </c>
      <c r="Q21" t="s">
        <v>23</v>
      </c>
      <c r="R21" t="s">
        <v>226</v>
      </c>
    </row>
    <row r="22" spans="1:18">
      <c r="A22" t="s">
        <v>74</v>
      </c>
      <c r="B22" s="5">
        <v>45733</v>
      </c>
      <c r="C22" t="s">
        <v>31</v>
      </c>
      <c r="D22" t="s">
        <v>70</v>
      </c>
      <c r="E22" t="s">
        <v>42</v>
      </c>
      <c r="F22" t="s">
        <v>67</v>
      </c>
      <c r="G22">
        <v>6</v>
      </c>
      <c r="H22" s="3">
        <v>142.5</v>
      </c>
      <c r="I22" s="3">
        <v>0.05</v>
      </c>
      <c r="J22" s="3">
        <v>75</v>
      </c>
      <c r="K22" s="3">
        <v>855</v>
      </c>
      <c r="L22" s="3">
        <v>42.75</v>
      </c>
      <c r="M22" s="3">
        <v>887.25</v>
      </c>
      <c r="N22" s="3">
        <v>80</v>
      </c>
      <c r="O22" s="3">
        <v>480</v>
      </c>
      <c r="P22" s="3">
        <v>407.25</v>
      </c>
      <c r="Q22" t="s">
        <v>33</v>
      </c>
      <c r="R22">
        <v>2</v>
      </c>
    </row>
    <row r="23" spans="1:18">
      <c r="A23" t="s">
        <v>75</v>
      </c>
      <c r="B23" s="5">
        <v>45737</v>
      </c>
      <c r="C23" t="s">
        <v>63</v>
      </c>
      <c r="D23" t="s">
        <v>70</v>
      </c>
      <c r="E23" t="s">
        <v>21</v>
      </c>
      <c r="F23" t="s">
        <v>56</v>
      </c>
      <c r="G23">
        <v>2</v>
      </c>
      <c r="H23" s="3">
        <v>150</v>
      </c>
      <c r="I23" s="3">
        <v>0.1</v>
      </c>
      <c r="J23" s="3">
        <v>0</v>
      </c>
      <c r="K23" s="3">
        <v>300</v>
      </c>
      <c r="L23" s="3">
        <v>30</v>
      </c>
      <c r="M23" s="3">
        <v>270</v>
      </c>
      <c r="N23" s="3">
        <v>80</v>
      </c>
      <c r="O23" s="3">
        <v>160</v>
      </c>
      <c r="P23" s="3">
        <v>110</v>
      </c>
      <c r="Q23" t="s">
        <v>33</v>
      </c>
      <c r="R23">
        <v>5</v>
      </c>
    </row>
    <row r="24" spans="1:18">
      <c r="A24" t="s">
        <v>76</v>
      </c>
      <c r="B24" s="5">
        <v>45759</v>
      </c>
      <c r="C24" t="s">
        <v>31</v>
      </c>
      <c r="D24" t="s">
        <v>51</v>
      </c>
      <c r="E24" t="s">
        <v>44</v>
      </c>
      <c r="F24" t="s">
        <v>22</v>
      </c>
      <c r="G24">
        <v>6</v>
      </c>
      <c r="H24" s="3">
        <v>399</v>
      </c>
      <c r="I24" s="3">
        <v>0.15</v>
      </c>
      <c r="J24" s="3">
        <v>75</v>
      </c>
      <c r="K24" s="3">
        <v>2394</v>
      </c>
      <c r="L24" s="3">
        <v>359.1</v>
      </c>
      <c r="M24" s="3">
        <v>2109.9</v>
      </c>
      <c r="N24" s="3">
        <v>210</v>
      </c>
      <c r="O24" s="3">
        <v>1260</v>
      </c>
      <c r="P24" s="3">
        <v>849.9</v>
      </c>
      <c r="Q24" t="s">
        <v>29</v>
      </c>
      <c r="R24">
        <v>3</v>
      </c>
    </row>
    <row r="25" spans="1:18">
      <c r="A25" t="s">
        <v>77</v>
      </c>
      <c r="B25" s="5">
        <v>45769</v>
      </c>
      <c r="C25" t="s">
        <v>41</v>
      </c>
      <c r="D25" t="s">
        <v>20</v>
      </c>
      <c r="E25" t="s">
        <v>44</v>
      </c>
      <c r="F25" t="s">
        <v>56</v>
      </c>
      <c r="G25">
        <v>4</v>
      </c>
      <c r="H25" s="3">
        <v>1450</v>
      </c>
      <c r="I25" s="3">
        <v>0.15</v>
      </c>
      <c r="J25" s="3">
        <v>0</v>
      </c>
      <c r="K25" s="3">
        <v>5800</v>
      </c>
      <c r="L25" s="3">
        <v>870</v>
      </c>
      <c r="M25" s="3">
        <v>4930</v>
      </c>
      <c r="N25" s="3">
        <v>850</v>
      </c>
      <c r="O25" s="3">
        <v>3400</v>
      </c>
      <c r="P25" s="3">
        <v>1530</v>
      </c>
      <c r="Q25" t="s">
        <v>23</v>
      </c>
      <c r="R25" t="s">
        <v>226</v>
      </c>
    </row>
    <row r="26" spans="1:18">
      <c r="A26" t="s">
        <v>78</v>
      </c>
      <c r="B26" s="5">
        <v>45770</v>
      </c>
      <c r="C26" t="s">
        <v>19</v>
      </c>
      <c r="D26" t="s">
        <v>70</v>
      </c>
      <c r="E26" t="s">
        <v>44</v>
      </c>
      <c r="F26" t="s">
        <v>28</v>
      </c>
      <c r="G26">
        <v>7</v>
      </c>
      <c r="H26" s="3">
        <v>165</v>
      </c>
      <c r="I26" s="3">
        <v>0.2</v>
      </c>
      <c r="J26" s="3">
        <v>150</v>
      </c>
      <c r="K26" s="3">
        <v>1155</v>
      </c>
      <c r="L26" s="3">
        <v>231</v>
      </c>
      <c r="M26" s="3">
        <v>1074</v>
      </c>
      <c r="N26" s="3">
        <v>80</v>
      </c>
      <c r="O26" s="3">
        <v>560</v>
      </c>
      <c r="P26" s="3">
        <v>514</v>
      </c>
      <c r="Q26" t="s">
        <v>23</v>
      </c>
      <c r="R26" t="s">
        <v>226</v>
      </c>
    </row>
    <row r="27" spans="1:18">
      <c r="A27" t="s">
        <v>79</v>
      </c>
      <c r="B27" s="5">
        <v>45775</v>
      </c>
      <c r="C27" t="s">
        <v>41</v>
      </c>
      <c r="D27" t="s">
        <v>46</v>
      </c>
      <c r="E27" t="s">
        <v>42</v>
      </c>
      <c r="F27" t="s">
        <v>56</v>
      </c>
      <c r="G27">
        <v>7</v>
      </c>
      <c r="H27" s="3">
        <v>1732.5</v>
      </c>
      <c r="I27" s="3">
        <v>0.2</v>
      </c>
      <c r="J27" s="3">
        <v>75</v>
      </c>
      <c r="K27" s="3">
        <v>12127.5</v>
      </c>
      <c r="L27" s="3">
        <v>2425.5</v>
      </c>
      <c r="M27" s="3">
        <v>9777</v>
      </c>
      <c r="N27" s="3">
        <v>950</v>
      </c>
      <c r="O27" s="3">
        <v>6650</v>
      </c>
      <c r="P27" s="3">
        <v>3127</v>
      </c>
      <c r="Q27" t="s">
        <v>33</v>
      </c>
      <c r="R27">
        <v>1</v>
      </c>
    </row>
    <row r="28" spans="1:18">
      <c r="A28" t="s">
        <v>80</v>
      </c>
      <c r="B28" s="5">
        <v>45776</v>
      </c>
      <c r="C28" t="s">
        <v>50</v>
      </c>
      <c r="D28" t="s">
        <v>46</v>
      </c>
      <c r="E28" t="s">
        <v>21</v>
      </c>
      <c r="F28" t="s">
        <v>56</v>
      </c>
      <c r="G28">
        <v>7</v>
      </c>
      <c r="H28" s="3">
        <v>1815</v>
      </c>
      <c r="I28" s="3">
        <v>0.2</v>
      </c>
      <c r="J28" s="3">
        <v>100</v>
      </c>
      <c r="K28" s="3">
        <v>12705</v>
      </c>
      <c r="L28" s="3">
        <v>2541</v>
      </c>
      <c r="M28" s="3">
        <v>10264</v>
      </c>
      <c r="N28" s="3">
        <v>950</v>
      </c>
      <c r="O28" s="3">
        <v>6650</v>
      </c>
      <c r="P28" s="3">
        <v>3614</v>
      </c>
      <c r="Q28" t="s">
        <v>33</v>
      </c>
      <c r="R28">
        <v>1</v>
      </c>
    </row>
    <row r="29" spans="1:18">
      <c r="A29" t="s">
        <v>81</v>
      </c>
      <c r="B29" s="5">
        <v>45780</v>
      </c>
      <c r="C29" t="s">
        <v>41</v>
      </c>
      <c r="D29" t="s">
        <v>82</v>
      </c>
      <c r="E29" t="s">
        <v>27</v>
      </c>
      <c r="F29" t="s">
        <v>67</v>
      </c>
      <c r="G29">
        <v>2</v>
      </c>
      <c r="H29" s="3">
        <v>300</v>
      </c>
      <c r="I29" s="3">
        <v>0.05</v>
      </c>
      <c r="J29" s="3">
        <v>75</v>
      </c>
      <c r="K29" s="3">
        <v>600</v>
      </c>
      <c r="L29" s="3">
        <v>30</v>
      </c>
      <c r="M29" s="3">
        <v>645</v>
      </c>
      <c r="N29" s="3">
        <v>160</v>
      </c>
      <c r="O29" s="3">
        <v>320</v>
      </c>
      <c r="P29" s="3">
        <v>325</v>
      </c>
      <c r="Q29" t="s">
        <v>33</v>
      </c>
      <c r="R29">
        <v>2</v>
      </c>
    </row>
    <row r="30" spans="1:18">
      <c r="A30" t="s">
        <v>83</v>
      </c>
      <c r="B30" s="5">
        <v>45782</v>
      </c>
      <c r="C30" t="s">
        <v>84</v>
      </c>
      <c r="D30" t="s">
        <v>58</v>
      </c>
      <c r="E30" t="s">
        <v>44</v>
      </c>
      <c r="F30" t="s">
        <v>22</v>
      </c>
      <c r="G30">
        <v>5</v>
      </c>
      <c r="H30" s="3">
        <v>357</v>
      </c>
      <c r="I30" s="3">
        <v>0.05</v>
      </c>
      <c r="J30" s="3">
        <v>0</v>
      </c>
      <c r="K30" s="3">
        <v>1785</v>
      </c>
      <c r="L30" s="3">
        <v>89.25</v>
      </c>
      <c r="M30" s="3">
        <v>1695.75</v>
      </c>
      <c r="N30" s="3">
        <v>180</v>
      </c>
      <c r="O30" s="3">
        <v>900</v>
      </c>
      <c r="P30" s="3">
        <v>795.75</v>
      </c>
      <c r="Q30" t="s">
        <v>33</v>
      </c>
      <c r="R30">
        <v>4</v>
      </c>
    </row>
    <row r="31" spans="1:18">
      <c r="A31" t="s">
        <v>85</v>
      </c>
      <c r="B31" s="5">
        <v>45783</v>
      </c>
      <c r="C31" t="s">
        <v>86</v>
      </c>
      <c r="D31" t="s">
        <v>32</v>
      </c>
      <c r="E31" t="s">
        <v>27</v>
      </c>
      <c r="F31" t="s">
        <v>22</v>
      </c>
      <c r="G31">
        <v>5</v>
      </c>
      <c r="H31" s="3">
        <v>247</v>
      </c>
      <c r="I31" s="3">
        <v>0.2</v>
      </c>
      <c r="J31" s="3">
        <v>50</v>
      </c>
      <c r="K31" s="3">
        <v>1235</v>
      </c>
      <c r="L31" s="3">
        <v>247</v>
      </c>
      <c r="M31" s="3">
        <v>1038</v>
      </c>
      <c r="N31" s="3">
        <v>130</v>
      </c>
      <c r="O31" s="3">
        <v>650</v>
      </c>
      <c r="P31" s="3">
        <v>388</v>
      </c>
      <c r="Q31" t="s">
        <v>23</v>
      </c>
      <c r="R31" t="s">
        <v>226</v>
      </c>
    </row>
    <row r="32" spans="1:18">
      <c r="A32" t="s">
        <v>87</v>
      </c>
      <c r="B32" s="5">
        <v>45784</v>
      </c>
      <c r="C32" t="s">
        <v>88</v>
      </c>
      <c r="D32" t="s">
        <v>82</v>
      </c>
      <c r="E32" t="s">
        <v>27</v>
      </c>
      <c r="F32" t="s">
        <v>67</v>
      </c>
      <c r="G32">
        <v>1</v>
      </c>
      <c r="H32" s="3">
        <v>315</v>
      </c>
      <c r="I32" s="3">
        <v>0.05</v>
      </c>
      <c r="J32" s="3">
        <v>0</v>
      </c>
      <c r="K32" s="3">
        <v>315</v>
      </c>
      <c r="L32" s="3">
        <v>15.75</v>
      </c>
      <c r="M32" s="3">
        <v>299.25</v>
      </c>
      <c r="N32" s="3">
        <v>160</v>
      </c>
      <c r="O32" s="3">
        <v>160</v>
      </c>
      <c r="P32" s="3">
        <v>139.25</v>
      </c>
      <c r="Q32" t="s">
        <v>33</v>
      </c>
      <c r="R32">
        <v>1</v>
      </c>
    </row>
    <row r="33" spans="1:18">
      <c r="A33" t="s">
        <v>89</v>
      </c>
      <c r="B33" s="5">
        <v>45785</v>
      </c>
      <c r="C33" t="s">
        <v>86</v>
      </c>
      <c r="D33" t="s">
        <v>26</v>
      </c>
      <c r="E33" t="s">
        <v>42</v>
      </c>
      <c r="F33" t="s">
        <v>22</v>
      </c>
      <c r="G33">
        <v>8</v>
      </c>
      <c r="H33" s="3">
        <v>1250</v>
      </c>
      <c r="I33" s="3">
        <v>0.15</v>
      </c>
      <c r="J33" s="3">
        <v>50</v>
      </c>
      <c r="K33" s="3">
        <v>10000</v>
      </c>
      <c r="L33" s="3">
        <v>1500</v>
      </c>
      <c r="M33" s="3">
        <v>8550</v>
      </c>
      <c r="N33" s="3">
        <v>700</v>
      </c>
      <c r="O33" s="3">
        <v>5600</v>
      </c>
      <c r="P33" s="3">
        <v>2950</v>
      </c>
      <c r="Q33" t="s">
        <v>33</v>
      </c>
      <c r="R33">
        <v>4</v>
      </c>
    </row>
    <row r="34" spans="1:18">
      <c r="A34" t="s">
        <v>90</v>
      </c>
      <c r="B34" s="5">
        <v>45785</v>
      </c>
      <c r="C34" t="s">
        <v>91</v>
      </c>
      <c r="D34" t="s">
        <v>32</v>
      </c>
      <c r="E34" t="s">
        <v>42</v>
      </c>
      <c r="F34" t="s">
        <v>22</v>
      </c>
      <c r="G34">
        <v>1</v>
      </c>
      <c r="H34" s="3">
        <v>260</v>
      </c>
      <c r="I34" s="3">
        <v>0.05</v>
      </c>
      <c r="J34" s="3">
        <v>150</v>
      </c>
      <c r="K34" s="3">
        <v>260</v>
      </c>
      <c r="L34" s="3">
        <v>13</v>
      </c>
      <c r="M34" s="3">
        <v>397</v>
      </c>
      <c r="N34" s="3">
        <v>130</v>
      </c>
      <c r="O34" s="3">
        <v>130</v>
      </c>
      <c r="P34" s="3">
        <v>267</v>
      </c>
      <c r="Q34" t="s">
        <v>33</v>
      </c>
      <c r="R34">
        <v>1</v>
      </c>
    </row>
    <row r="35" spans="1:18">
      <c r="A35" t="s">
        <v>92</v>
      </c>
      <c r="B35" s="5">
        <v>45787</v>
      </c>
      <c r="C35" t="s">
        <v>35</v>
      </c>
      <c r="D35" t="s">
        <v>26</v>
      </c>
      <c r="E35" t="s">
        <v>42</v>
      </c>
      <c r="F35" t="s">
        <v>22</v>
      </c>
      <c r="G35">
        <v>8</v>
      </c>
      <c r="H35" s="3">
        <v>1312.5</v>
      </c>
      <c r="I35" s="3">
        <v>0.1</v>
      </c>
      <c r="J35" s="3">
        <v>100</v>
      </c>
      <c r="K35" s="3">
        <v>10500</v>
      </c>
      <c r="L35" s="3">
        <v>1050</v>
      </c>
      <c r="M35" s="3">
        <v>9550</v>
      </c>
      <c r="N35" s="3">
        <v>700</v>
      </c>
      <c r="O35" s="3">
        <v>5600</v>
      </c>
      <c r="P35" s="3">
        <v>3950</v>
      </c>
      <c r="Q35" t="s">
        <v>33</v>
      </c>
      <c r="R35">
        <v>4</v>
      </c>
    </row>
    <row r="36" spans="1:18">
      <c r="A36" t="s">
        <v>93</v>
      </c>
      <c r="B36" s="5">
        <v>45790</v>
      </c>
      <c r="C36" t="s">
        <v>35</v>
      </c>
      <c r="D36" t="s">
        <v>46</v>
      </c>
      <c r="E36" t="s">
        <v>21</v>
      </c>
      <c r="F36" t="s">
        <v>56</v>
      </c>
      <c r="G36">
        <v>8</v>
      </c>
      <c r="H36" s="3">
        <v>1732.5</v>
      </c>
      <c r="I36" s="3">
        <v>0.05</v>
      </c>
      <c r="J36" s="3">
        <v>100</v>
      </c>
      <c r="K36" s="3">
        <v>13860</v>
      </c>
      <c r="L36" s="3">
        <v>693</v>
      </c>
      <c r="M36" s="3">
        <v>13267</v>
      </c>
      <c r="N36" s="3">
        <v>950</v>
      </c>
      <c r="O36" s="3">
        <v>7600</v>
      </c>
      <c r="P36" s="3">
        <v>5667</v>
      </c>
      <c r="Q36" t="s">
        <v>33</v>
      </c>
      <c r="R36">
        <v>3</v>
      </c>
    </row>
    <row r="37" spans="1:18">
      <c r="A37" t="s">
        <v>94</v>
      </c>
      <c r="B37" s="5">
        <v>45793</v>
      </c>
      <c r="C37" t="s">
        <v>86</v>
      </c>
      <c r="D37" t="s">
        <v>95</v>
      </c>
      <c r="E37" t="s">
        <v>27</v>
      </c>
      <c r="F37" t="s">
        <v>28</v>
      </c>
      <c r="G37">
        <v>6</v>
      </c>
      <c r="H37" s="3">
        <v>900</v>
      </c>
      <c r="I37" s="3">
        <v>0.15</v>
      </c>
      <c r="J37" s="3">
        <v>100</v>
      </c>
      <c r="K37" s="3">
        <v>5400</v>
      </c>
      <c r="L37" s="3">
        <v>810</v>
      </c>
      <c r="M37" s="3">
        <v>4690</v>
      </c>
      <c r="N37" s="3">
        <v>450</v>
      </c>
      <c r="O37" s="3">
        <v>2700</v>
      </c>
      <c r="P37" s="3">
        <v>1990</v>
      </c>
      <c r="Q37" t="s">
        <v>29</v>
      </c>
      <c r="R37">
        <v>2</v>
      </c>
    </row>
    <row r="38" spans="1:18">
      <c r="A38" t="s">
        <v>96</v>
      </c>
      <c r="B38" s="5">
        <v>45793</v>
      </c>
      <c r="C38" t="s">
        <v>88</v>
      </c>
      <c r="D38" t="s">
        <v>51</v>
      </c>
      <c r="E38" t="s">
        <v>27</v>
      </c>
      <c r="F38" t="s">
        <v>56</v>
      </c>
      <c r="G38">
        <v>2</v>
      </c>
      <c r="H38" s="3">
        <v>361</v>
      </c>
      <c r="I38" s="3">
        <v>0.2</v>
      </c>
      <c r="J38" s="3">
        <v>50</v>
      </c>
      <c r="K38" s="3">
        <v>722</v>
      </c>
      <c r="L38" s="3">
        <v>144.4</v>
      </c>
      <c r="M38" s="3">
        <v>627.6</v>
      </c>
      <c r="N38" s="3">
        <v>210</v>
      </c>
      <c r="O38" s="3">
        <v>420</v>
      </c>
      <c r="P38" s="3">
        <v>207.6</v>
      </c>
      <c r="Q38" t="s">
        <v>23</v>
      </c>
      <c r="R38" t="s">
        <v>226</v>
      </c>
    </row>
    <row r="39" spans="1:18">
      <c r="A39" t="s">
        <v>97</v>
      </c>
      <c r="B39" s="5">
        <v>45793</v>
      </c>
      <c r="C39" t="s">
        <v>63</v>
      </c>
      <c r="D39" t="s">
        <v>55</v>
      </c>
      <c r="E39" t="s">
        <v>42</v>
      </c>
      <c r="F39" t="s">
        <v>67</v>
      </c>
      <c r="G39">
        <v>1</v>
      </c>
      <c r="H39" s="3">
        <v>85.5</v>
      </c>
      <c r="I39" s="3">
        <v>0.1</v>
      </c>
      <c r="J39" s="3">
        <v>50</v>
      </c>
      <c r="K39" s="3">
        <v>85.5</v>
      </c>
      <c r="L39" s="3">
        <v>8.5500000000000007</v>
      </c>
      <c r="M39" s="3">
        <v>126.95</v>
      </c>
      <c r="N39" s="3">
        <v>45</v>
      </c>
      <c r="O39" s="3">
        <v>45</v>
      </c>
      <c r="P39" s="3">
        <v>81.95</v>
      </c>
      <c r="Q39" t="s">
        <v>23</v>
      </c>
      <c r="R39" t="s">
        <v>226</v>
      </c>
    </row>
    <row r="40" spans="1:18">
      <c r="A40" t="s">
        <v>98</v>
      </c>
      <c r="B40" s="5">
        <v>45794</v>
      </c>
      <c r="C40" t="s">
        <v>86</v>
      </c>
      <c r="D40" t="s">
        <v>95</v>
      </c>
      <c r="E40" t="s">
        <v>42</v>
      </c>
      <c r="F40" t="s">
        <v>56</v>
      </c>
      <c r="G40">
        <v>3</v>
      </c>
      <c r="H40" s="3">
        <v>855</v>
      </c>
      <c r="I40" s="3">
        <v>0.1</v>
      </c>
      <c r="J40" s="3">
        <v>100</v>
      </c>
      <c r="K40" s="3">
        <v>2565</v>
      </c>
      <c r="L40" s="3">
        <v>256.5</v>
      </c>
      <c r="M40" s="3">
        <v>2408.5</v>
      </c>
      <c r="N40" s="3">
        <v>450</v>
      </c>
      <c r="O40" s="3">
        <v>1350</v>
      </c>
      <c r="P40" s="3">
        <v>1058.5</v>
      </c>
      <c r="Q40" t="s">
        <v>33</v>
      </c>
      <c r="R40">
        <v>5</v>
      </c>
    </row>
    <row r="41" spans="1:18">
      <c r="A41" t="s">
        <v>99</v>
      </c>
      <c r="B41" s="5">
        <v>45800</v>
      </c>
      <c r="C41" t="s">
        <v>65</v>
      </c>
      <c r="D41" t="s">
        <v>26</v>
      </c>
      <c r="E41" t="s">
        <v>21</v>
      </c>
      <c r="F41" t="s">
        <v>22</v>
      </c>
      <c r="G41">
        <v>1</v>
      </c>
      <c r="H41" s="3">
        <v>1250</v>
      </c>
      <c r="I41" s="3">
        <v>0.15</v>
      </c>
      <c r="J41" s="3">
        <v>75</v>
      </c>
      <c r="K41" s="3">
        <v>1250</v>
      </c>
      <c r="L41" s="3">
        <v>187.5</v>
      </c>
      <c r="M41" s="3">
        <v>1137.5</v>
      </c>
      <c r="N41" s="3">
        <v>700</v>
      </c>
      <c r="O41" s="3">
        <v>700</v>
      </c>
      <c r="P41" s="3">
        <v>437.5</v>
      </c>
      <c r="Q41" t="s">
        <v>33</v>
      </c>
      <c r="R41">
        <v>1</v>
      </c>
    </row>
    <row r="42" spans="1:18">
      <c r="A42" t="s">
        <v>100</v>
      </c>
      <c r="B42" s="5">
        <v>45802</v>
      </c>
      <c r="C42" t="s">
        <v>86</v>
      </c>
      <c r="D42" t="s">
        <v>82</v>
      </c>
      <c r="E42" t="s">
        <v>42</v>
      </c>
      <c r="F42" t="s">
        <v>28</v>
      </c>
      <c r="G42">
        <v>8</v>
      </c>
      <c r="H42" s="3">
        <v>315</v>
      </c>
      <c r="I42" s="3">
        <v>0.2</v>
      </c>
      <c r="J42" s="3">
        <v>150</v>
      </c>
      <c r="K42" s="3">
        <v>2520</v>
      </c>
      <c r="L42" s="3">
        <v>504</v>
      </c>
      <c r="M42" s="3">
        <v>2166</v>
      </c>
      <c r="N42" s="3">
        <v>160</v>
      </c>
      <c r="O42" s="3">
        <v>1280</v>
      </c>
      <c r="P42" s="3">
        <v>886</v>
      </c>
      <c r="Q42" t="s">
        <v>23</v>
      </c>
      <c r="R42" t="s">
        <v>226</v>
      </c>
    </row>
    <row r="43" spans="1:18">
      <c r="A43" t="s">
        <v>101</v>
      </c>
      <c r="B43" s="5">
        <v>45803</v>
      </c>
      <c r="C43" t="s">
        <v>25</v>
      </c>
      <c r="D43" t="s">
        <v>61</v>
      </c>
      <c r="E43" t="s">
        <v>44</v>
      </c>
      <c r="F43" t="s">
        <v>22</v>
      </c>
      <c r="G43">
        <v>5</v>
      </c>
      <c r="H43" s="3">
        <v>170</v>
      </c>
      <c r="I43" s="3">
        <v>0.15</v>
      </c>
      <c r="J43" s="3">
        <v>0</v>
      </c>
      <c r="K43" s="3">
        <v>850</v>
      </c>
      <c r="L43" s="3">
        <v>127.5</v>
      </c>
      <c r="M43" s="3">
        <v>722.5</v>
      </c>
      <c r="N43" s="3">
        <v>90</v>
      </c>
      <c r="O43" s="3">
        <v>450</v>
      </c>
      <c r="P43" s="3">
        <v>272.5</v>
      </c>
      <c r="Q43" t="s">
        <v>33</v>
      </c>
      <c r="R43">
        <v>5</v>
      </c>
    </row>
    <row r="44" spans="1:18">
      <c r="A44" t="s">
        <v>102</v>
      </c>
      <c r="B44" s="5">
        <v>45820</v>
      </c>
      <c r="C44" t="s">
        <v>72</v>
      </c>
      <c r="D44" t="s">
        <v>51</v>
      </c>
      <c r="E44" t="s">
        <v>44</v>
      </c>
      <c r="F44" t="s">
        <v>22</v>
      </c>
      <c r="G44">
        <v>3</v>
      </c>
      <c r="H44" s="3">
        <v>418</v>
      </c>
      <c r="I44" s="3">
        <v>0.2</v>
      </c>
      <c r="J44" s="3">
        <v>150</v>
      </c>
      <c r="K44" s="3">
        <v>1254</v>
      </c>
      <c r="L44" s="3">
        <v>250.8</v>
      </c>
      <c r="M44" s="3">
        <v>1153.2</v>
      </c>
      <c r="N44" s="3">
        <v>210</v>
      </c>
      <c r="O44" s="3">
        <v>630</v>
      </c>
      <c r="P44" s="3">
        <v>523.20000000000005</v>
      </c>
      <c r="Q44" t="s">
        <v>23</v>
      </c>
      <c r="R44" t="s">
        <v>226</v>
      </c>
    </row>
    <row r="45" spans="1:18">
      <c r="A45" t="s">
        <v>103</v>
      </c>
      <c r="B45" s="5">
        <v>45823</v>
      </c>
      <c r="C45" t="s">
        <v>60</v>
      </c>
      <c r="D45" t="s">
        <v>32</v>
      </c>
      <c r="E45" t="s">
        <v>42</v>
      </c>
      <c r="F45" t="s">
        <v>22</v>
      </c>
      <c r="G45">
        <v>7</v>
      </c>
      <c r="H45" s="3">
        <v>247</v>
      </c>
      <c r="I45" s="3">
        <v>0.15</v>
      </c>
      <c r="J45" s="3">
        <v>0</v>
      </c>
      <c r="K45" s="3">
        <v>1729</v>
      </c>
      <c r="L45" s="3">
        <v>259.35000000000002</v>
      </c>
      <c r="M45" s="3">
        <v>1469.65</v>
      </c>
      <c r="N45" s="3">
        <v>130</v>
      </c>
      <c r="O45" s="3">
        <v>910</v>
      </c>
      <c r="P45" s="3">
        <v>559.65</v>
      </c>
      <c r="Q45" t="s">
        <v>33</v>
      </c>
      <c r="R45">
        <v>3</v>
      </c>
    </row>
    <row r="46" spans="1:18">
      <c r="A46" t="s">
        <v>104</v>
      </c>
      <c r="B46" s="5">
        <v>45826</v>
      </c>
      <c r="C46" t="s">
        <v>31</v>
      </c>
      <c r="D46" t="s">
        <v>51</v>
      </c>
      <c r="E46" t="s">
        <v>44</v>
      </c>
      <c r="F46" t="s">
        <v>22</v>
      </c>
      <c r="G46">
        <v>6</v>
      </c>
      <c r="H46" s="3">
        <v>418</v>
      </c>
      <c r="I46" s="3">
        <v>0.1</v>
      </c>
      <c r="J46" s="3">
        <v>75</v>
      </c>
      <c r="K46" s="3">
        <v>2508</v>
      </c>
      <c r="L46" s="3">
        <v>250.8</v>
      </c>
      <c r="M46" s="3">
        <v>2332.1999999999998</v>
      </c>
      <c r="N46" s="3">
        <v>210</v>
      </c>
      <c r="O46" s="3">
        <v>1260</v>
      </c>
      <c r="P46" s="3">
        <v>1072.2</v>
      </c>
      <c r="Q46" t="s">
        <v>33</v>
      </c>
      <c r="R46">
        <v>2</v>
      </c>
    </row>
    <row r="47" spans="1:18">
      <c r="A47" t="s">
        <v>105</v>
      </c>
      <c r="B47" s="5">
        <v>45827</v>
      </c>
      <c r="C47" t="s">
        <v>54</v>
      </c>
      <c r="D47" t="s">
        <v>26</v>
      </c>
      <c r="E47" t="s">
        <v>44</v>
      </c>
      <c r="F47" t="s">
        <v>22</v>
      </c>
      <c r="G47">
        <v>7</v>
      </c>
      <c r="H47" s="3">
        <v>1250</v>
      </c>
      <c r="I47" s="3">
        <v>0.05</v>
      </c>
      <c r="J47" s="3">
        <v>0</v>
      </c>
      <c r="K47" s="3">
        <v>8750</v>
      </c>
      <c r="L47" s="3">
        <v>437.5</v>
      </c>
      <c r="M47" s="3">
        <v>8312.5</v>
      </c>
      <c r="N47" s="3">
        <v>700</v>
      </c>
      <c r="O47" s="3">
        <v>4900</v>
      </c>
      <c r="P47" s="3">
        <v>3412.5</v>
      </c>
      <c r="Q47" t="s">
        <v>29</v>
      </c>
      <c r="R47">
        <v>4</v>
      </c>
    </row>
    <row r="48" spans="1:18">
      <c r="A48" t="s">
        <v>106</v>
      </c>
      <c r="B48" s="5">
        <v>45828</v>
      </c>
      <c r="C48" t="s">
        <v>60</v>
      </c>
      <c r="D48" t="s">
        <v>36</v>
      </c>
      <c r="E48" t="s">
        <v>44</v>
      </c>
      <c r="F48" t="s">
        <v>22</v>
      </c>
      <c r="G48">
        <v>8</v>
      </c>
      <c r="H48" s="3">
        <v>270</v>
      </c>
      <c r="I48" s="3">
        <v>0.15</v>
      </c>
      <c r="J48" s="3">
        <v>150</v>
      </c>
      <c r="K48" s="3">
        <v>2160</v>
      </c>
      <c r="L48" s="3">
        <v>324</v>
      </c>
      <c r="M48" s="3">
        <v>1986</v>
      </c>
      <c r="N48" s="3">
        <v>120</v>
      </c>
      <c r="O48" s="3">
        <v>960</v>
      </c>
      <c r="P48" s="3">
        <v>1026</v>
      </c>
      <c r="Q48" t="s">
        <v>29</v>
      </c>
      <c r="R48">
        <v>3</v>
      </c>
    </row>
    <row r="49" spans="1:18">
      <c r="A49" t="s">
        <v>107</v>
      </c>
      <c r="B49" s="5">
        <v>45831</v>
      </c>
      <c r="C49" t="s">
        <v>19</v>
      </c>
      <c r="D49" t="s">
        <v>58</v>
      </c>
      <c r="E49" t="s">
        <v>42</v>
      </c>
      <c r="F49" t="s">
        <v>28</v>
      </c>
      <c r="G49">
        <v>7</v>
      </c>
      <c r="H49" s="3">
        <v>374</v>
      </c>
      <c r="I49" s="3">
        <v>0</v>
      </c>
      <c r="J49" s="3">
        <v>0</v>
      </c>
      <c r="K49" s="3">
        <v>2618</v>
      </c>
      <c r="L49" s="3">
        <v>0</v>
      </c>
      <c r="M49" s="3">
        <v>2618</v>
      </c>
      <c r="N49" s="3">
        <v>180</v>
      </c>
      <c r="O49" s="3">
        <v>1260</v>
      </c>
      <c r="P49" s="3">
        <v>1358</v>
      </c>
      <c r="Q49" t="s">
        <v>33</v>
      </c>
      <c r="R49">
        <v>4</v>
      </c>
    </row>
    <row r="50" spans="1:18">
      <c r="A50" t="s">
        <v>108</v>
      </c>
      <c r="B50" s="5">
        <v>45838</v>
      </c>
      <c r="C50" t="s">
        <v>88</v>
      </c>
      <c r="D50" t="s">
        <v>39</v>
      </c>
      <c r="E50" t="s">
        <v>27</v>
      </c>
      <c r="F50" t="s">
        <v>28</v>
      </c>
      <c r="G50">
        <v>1</v>
      </c>
      <c r="H50" s="3">
        <v>836</v>
      </c>
      <c r="I50" s="3">
        <v>0.1</v>
      </c>
      <c r="J50" s="3">
        <v>50</v>
      </c>
      <c r="K50" s="3">
        <v>836</v>
      </c>
      <c r="L50" s="3">
        <v>83.6</v>
      </c>
      <c r="M50" s="3">
        <v>802.4</v>
      </c>
      <c r="N50" s="3">
        <v>420</v>
      </c>
      <c r="O50" s="3">
        <v>420</v>
      </c>
      <c r="P50" s="3">
        <v>382.4</v>
      </c>
      <c r="Q50" t="s">
        <v>23</v>
      </c>
      <c r="R50" t="s">
        <v>226</v>
      </c>
    </row>
    <row r="51" spans="1:18">
      <c r="A51" t="s">
        <v>109</v>
      </c>
      <c r="B51" s="5">
        <v>45839</v>
      </c>
      <c r="C51" t="s">
        <v>25</v>
      </c>
      <c r="D51" t="s">
        <v>70</v>
      </c>
      <c r="E51" t="s">
        <v>44</v>
      </c>
      <c r="F51" t="s">
        <v>28</v>
      </c>
      <c r="G51">
        <v>6</v>
      </c>
      <c r="H51" s="3">
        <v>142.5</v>
      </c>
      <c r="I51" s="3">
        <v>0.1</v>
      </c>
      <c r="J51" s="3">
        <v>50</v>
      </c>
      <c r="K51" s="3">
        <v>855</v>
      </c>
      <c r="L51" s="3">
        <v>85.5</v>
      </c>
      <c r="M51" s="3">
        <v>819.5</v>
      </c>
      <c r="N51" s="3">
        <v>80</v>
      </c>
      <c r="O51" s="3">
        <v>480</v>
      </c>
      <c r="P51" s="3">
        <v>339.5</v>
      </c>
      <c r="Q51" t="s">
        <v>33</v>
      </c>
      <c r="R51">
        <v>1</v>
      </c>
    </row>
    <row r="52" spans="1:18">
      <c r="A52" t="s">
        <v>110</v>
      </c>
      <c r="B52" s="5">
        <v>45841</v>
      </c>
      <c r="C52" t="s">
        <v>50</v>
      </c>
      <c r="D52" t="s">
        <v>82</v>
      </c>
      <c r="E52" t="s">
        <v>21</v>
      </c>
      <c r="F52" t="s">
        <v>22</v>
      </c>
      <c r="G52">
        <v>5</v>
      </c>
      <c r="H52" s="3">
        <v>285</v>
      </c>
      <c r="I52" s="3">
        <v>0</v>
      </c>
      <c r="J52" s="3">
        <v>75</v>
      </c>
      <c r="K52" s="3">
        <v>1425</v>
      </c>
      <c r="L52" s="3">
        <v>0</v>
      </c>
      <c r="M52" s="3">
        <v>1500</v>
      </c>
      <c r="N52" s="3">
        <v>160</v>
      </c>
      <c r="O52" s="3">
        <v>800</v>
      </c>
      <c r="P52" s="3">
        <v>700</v>
      </c>
      <c r="Q52" t="s">
        <v>33</v>
      </c>
      <c r="R52">
        <v>3</v>
      </c>
    </row>
    <row r="53" spans="1:18">
      <c r="A53" t="s">
        <v>111</v>
      </c>
      <c r="B53" s="5">
        <v>45843</v>
      </c>
      <c r="C53" t="s">
        <v>112</v>
      </c>
      <c r="D53" t="s">
        <v>36</v>
      </c>
      <c r="E53" t="s">
        <v>44</v>
      </c>
      <c r="F53" t="s">
        <v>22</v>
      </c>
      <c r="G53">
        <v>1</v>
      </c>
      <c r="H53" s="3">
        <v>297</v>
      </c>
      <c r="I53" s="3">
        <v>0.15</v>
      </c>
      <c r="J53" s="3">
        <v>0</v>
      </c>
      <c r="K53" s="3">
        <v>297</v>
      </c>
      <c r="L53" s="3">
        <v>44.55</v>
      </c>
      <c r="M53" s="3">
        <v>252.45</v>
      </c>
      <c r="N53" s="3">
        <v>120</v>
      </c>
      <c r="O53" s="3">
        <v>120</v>
      </c>
      <c r="P53" s="3">
        <v>132.44999999999999</v>
      </c>
      <c r="Q53" t="s">
        <v>33</v>
      </c>
      <c r="R53">
        <v>5</v>
      </c>
    </row>
    <row r="54" spans="1:18">
      <c r="A54" t="s">
        <v>113</v>
      </c>
      <c r="B54" s="5">
        <v>45852</v>
      </c>
      <c r="C54" t="s">
        <v>25</v>
      </c>
      <c r="D54" t="s">
        <v>26</v>
      </c>
      <c r="E54" t="s">
        <v>44</v>
      </c>
      <c r="F54" t="s">
        <v>67</v>
      </c>
      <c r="G54">
        <v>7</v>
      </c>
      <c r="H54" s="3">
        <v>1375</v>
      </c>
      <c r="I54" s="3">
        <v>0.2</v>
      </c>
      <c r="J54" s="3">
        <v>0</v>
      </c>
      <c r="K54" s="3">
        <v>9625</v>
      </c>
      <c r="L54" s="3">
        <v>1925</v>
      </c>
      <c r="M54" s="3">
        <v>7700</v>
      </c>
      <c r="N54" s="3">
        <v>700</v>
      </c>
      <c r="O54" s="3">
        <v>4900</v>
      </c>
      <c r="P54" s="3">
        <v>2800</v>
      </c>
      <c r="Q54" t="s">
        <v>23</v>
      </c>
      <c r="R54" t="s">
        <v>226</v>
      </c>
    </row>
    <row r="55" spans="1:18">
      <c r="A55" t="s">
        <v>114</v>
      </c>
      <c r="B55" s="5">
        <v>45853</v>
      </c>
      <c r="C55" t="s">
        <v>54</v>
      </c>
      <c r="D55" t="s">
        <v>26</v>
      </c>
      <c r="E55" t="s">
        <v>27</v>
      </c>
      <c r="F55" t="s">
        <v>22</v>
      </c>
      <c r="G55">
        <v>7</v>
      </c>
      <c r="H55" s="3">
        <v>1250</v>
      </c>
      <c r="I55" s="3">
        <v>0.05</v>
      </c>
      <c r="J55" s="3">
        <v>50</v>
      </c>
      <c r="K55" s="3">
        <v>8750</v>
      </c>
      <c r="L55" s="3">
        <v>437.5</v>
      </c>
      <c r="M55" s="3">
        <v>8362.5</v>
      </c>
      <c r="N55" s="3">
        <v>700</v>
      </c>
      <c r="O55" s="3">
        <v>4900</v>
      </c>
      <c r="P55" s="3">
        <v>3462.5</v>
      </c>
      <c r="Q55" t="s">
        <v>33</v>
      </c>
      <c r="R55">
        <v>5</v>
      </c>
    </row>
    <row r="56" spans="1:18">
      <c r="A56" t="s">
        <v>115</v>
      </c>
      <c r="B56" s="5">
        <v>45862</v>
      </c>
      <c r="C56" t="s">
        <v>63</v>
      </c>
      <c r="D56" t="s">
        <v>20</v>
      </c>
      <c r="E56" t="s">
        <v>21</v>
      </c>
      <c r="F56" t="s">
        <v>22</v>
      </c>
      <c r="G56">
        <v>5</v>
      </c>
      <c r="H56" s="3">
        <v>1595</v>
      </c>
      <c r="I56" s="3">
        <v>0.05</v>
      </c>
      <c r="J56" s="3">
        <v>150</v>
      </c>
      <c r="K56" s="3">
        <v>7975</v>
      </c>
      <c r="L56" s="3">
        <v>398.75</v>
      </c>
      <c r="M56" s="3">
        <v>7726.25</v>
      </c>
      <c r="N56" s="3">
        <v>850</v>
      </c>
      <c r="O56" s="3">
        <v>4250</v>
      </c>
      <c r="P56" s="3">
        <v>3476.25</v>
      </c>
      <c r="Q56" t="s">
        <v>33</v>
      </c>
      <c r="R56">
        <v>3</v>
      </c>
    </row>
    <row r="57" spans="1:18">
      <c r="A57" t="s">
        <v>116</v>
      </c>
      <c r="B57" s="5">
        <v>45863</v>
      </c>
      <c r="C57" t="s">
        <v>38</v>
      </c>
      <c r="D57" t="s">
        <v>70</v>
      </c>
      <c r="E57" t="s">
        <v>21</v>
      </c>
      <c r="F57" t="s">
        <v>67</v>
      </c>
      <c r="G57">
        <v>4</v>
      </c>
      <c r="H57" s="3">
        <v>157.5</v>
      </c>
      <c r="I57" s="3">
        <v>0</v>
      </c>
      <c r="J57" s="3">
        <v>50</v>
      </c>
      <c r="K57" s="3">
        <v>630</v>
      </c>
      <c r="L57" s="3">
        <v>0</v>
      </c>
      <c r="M57" s="3">
        <v>680</v>
      </c>
      <c r="N57" s="3">
        <v>80</v>
      </c>
      <c r="O57" s="3">
        <v>320</v>
      </c>
      <c r="P57" s="3">
        <v>360</v>
      </c>
      <c r="Q57" t="s">
        <v>33</v>
      </c>
      <c r="R57">
        <v>3</v>
      </c>
    </row>
    <row r="58" spans="1:18">
      <c r="A58" t="s">
        <v>117</v>
      </c>
      <c r="B58" s="5">
        <v>45863</v>
      </c>
      <c r="C58" t="s">
        <v>84</v>
      </c>
      <c r="D58" t="s">
        <v>55</v>
      </c>
      <c r="E58" t="s">
        <v>44</v>
      </c>
      <c r="F58" t="s">
        <v>67</v>
      </c>
      <c r="G58">
        <v>3</v>
      </c>
      <c r="H58" s="3">
        <v>85.5</v>
      </c>
      <c r="I58" s="3">
        <v>0.1</v>
      </c>
      <c r="J58" s="3">
        <v>100</v>
      </c>
      <c r="K58" s="3">
        <v>256.5</v>
      </c>
      <c r="L58" s="3">
        <v>25.65</v>
      </c>
      <c r="M58" s="3">
        <v>330.85</v>
      </c>
      <c r="N58" s="3">
        <v>45</v>
      </c>
      <c r="O58" s="3">
        <v>135</v>
      </c>
      <c r="P58" s="3">
        <v>195.85</v>
      </c>
      <c r="Q58" t="s">
        <v>33</v>
      </c>
      <c r="R58">
        <v>1</v>
      </c>
    </row>
    <row r="59" spans="1:18">
      <c r="A59" t="s">
        <v>118</v>
      </c>
      <c r="B59" s="5">
        <v>45864</v>
      </c>
      <c r="C59" t="s">
        <v>41</v>
      </c>
      <c r="D59" t="s">
        <v>55</v>
      </c>
      <c r="E59" t="s">
        <v>21</v>
      </c>
      <c r="F59" t="s">
        <v>28</v>
      </c>
      <c r="G59">
        <v>2</v>
      </c>
      <c r="H59" s="3">
        <v>94.5</v>
      </c>
      <c r="I59" s="3">
        <v>0.2</v>
      </c>
      <c r="J59" s="3">
        <v>75</v>
      </c>
      <c r="K59" s="3">
        <v>189</v>
      </c>
      <c r="L59" s="3">
        <v>37.799999999999997</v>
      </c>
      <c r="M59" s="3">
        <v>226.2</v>
      </c>
      <c r="N59" s="3">
        <v>45</v>
      </c>
      <c r="O59" s="3">
        <v>90</v>
      </c>
      <c r="P59" s="3">
        <v>136.19999999999999</v>
      </c>
      <c r="Q59" t="s">
        <v>29</v>
      </c>
      <c r="R59">
        <v>3</v>
      </c>
    </row>
    <row r="60" spans="1:18">
      <c r="A60" t="s">
        <v>119</v>
      </c>
      <c r="B60" s="5">
        <v>45865</v>
      </c>
      <c r="C60" t="s">
        <v>48</v>
      </c>
      <c r="D60" t="s">
        <v>32</v>
      </c>
      <c r="E60" t="s">
        <v>27</v>
      </c>
      <c r="F60" t="s">
        <v>56</v>
      </c>
      <c r="G60">
        <v>8</v>
      </c>
      <c r="H60" s="3">
        <v>286</v>
      </c>
      <c r="I60" s="3">
        <v>0</v>
      </c>
      <c r="J60" s="3">
        <v>0</v>
      </c>
      <c r="K60" s="3">
        <v>2288</v>
      </c>
      <c r="L60" s="3">
        <v>0</v>
      </c>
      <c r="M60" s="3">
        <v>2288</v>
      </c>
      <c r="N60" s="3">
        <v>130</v>
      </c>
      <c r="O60" s="3">
        <v>1040</v>
      </c>
      <c r="P60" s="3">
        <v>1248</v>
      </c>
      <c r="Q60" t="s">
        <v>33</v>
      </c>
      <c r="R60">
        <v>2</v>
      </c>
    </row>
    <row r="61" spans="1:18">
      <c r="A61" t="s">
        <v>120</v>
      </c>
      <c r="B61" s="5">
        <v>45866</v>
      </c>
      <c r="C61" t="s">
        <v>41</v>
      </c>
      <c r="D61" t="s">
        <v>82</v>
      </c>
      <c r="E61" t="s">
        <v>44</v>
      </c>
      <c r="F61" t="s">
        <v>28</v>
      </c>
      <c r="G61">
        <v>5</v>
      </c>
      <c r="H61" s="3">
        <v>285</v>
      </c>
      <c r="I61" s="3">
        <v>0.2</v>
      </c>
      <c r="J61" s="3">
        <v>50</v>
      </c>
      <c r="K61" s="3">
        <v>1425</v>
      </c>
      <c r="L61" s="3">
        <v>285</v>
      </c>
      <c r="M61" s="3">
        <v>1190</v>
      </c>
      <c r="N61" s="3">
        <v>160</v>
      </c>
      <c r="O61" s="3">
        <v>800</v>
      </c>
      <c r="P61" s="3">
        <v>390</v>
      </c>
      <c r="Q61" t="s">
        <v>33</v>
      </c>
      <c r="R61">
        <v>2</v>
      </c>
    </row>
    <row r="62" spans="1:18">
      <c r="A62" t="s">
        <v>121</v>
      </c>
      <c r="B62" s="5">
        <v>45868</v>
      </c>
      <c r="C62" t="s">
        <v>65</v>
      </c>
      <c r="D62" t="s">
        <v>36</v>
      </c>
      <c r="E62" t="s">
        <v>27</v>
      </c>
      <c r="F62" t="s">
        <v>56</v>
      </c>
      <c r="G62">
        <v>3</v>
      </c>
      <c r="H62" s="3">
        <v>270</v>
      </c>
      <c r="I62" s="3">
        <v>0.15</v>
      </c>
      <c r="J62" s="3">
        <v>0</v>
      </c>
      <c r="K62" s="3">
        <v>810</v>
      </c>
      <c r="L62" s="3">
        <v>121.5</v>
      </c>
      <c r="M62" s="3">
        <v>688.5</v>
      </c>
      <c r="N62" s="3">
        <v>120</v>
      </c>
      <c r="O62" s="3">
        <v>360</v>
      </c>
      <c r="P62" s="3">
        <v>328.5</v>
      </c>
      <c r="Q62" t="s">
        <v>33</v>
      </c>
      <c r="R62">
        <v>3</v>
      </c>
    </row>
    <row r="63" spans="1:18">
      <c r="A63" t="s">
        <v>122</v>
      </c>
      <c r="B63" s="5">
        <v>45872</v>
      </c>
      <c r="C63" t="s">
        <v>72</v>
      </c>
      <c r="D63" t="s">
        <v>73</v>
      </c>
      <c r="E63" t="s">
        <v>27</v>
      </c>
      <c r="F63" t="s">
        <v>22</v>
      </c>
      <c r="G63">
        <v>4</v>
      </c>
      <c r="H63" s="3">
        <v>620</v>
      </c>
      <c r="I63" s="3">
        <v>0.15</v>
      </c>
      <c r="J63" s="3">
        <v>100</v>
      </c>
      <c r="K63" s="3">
        <v>2480</v>
      </c>
      <c r="L63" s="3">
        <v>372</v>
      </c>
      <c r="M63" s="3">
        <v>2208</v>
      </c>
      <c r="N63" s="3">
        <v>310</v>
      </c>
      <c r="O63" s="3">
        <v>1240</v>
      </c>
      <c r="P63" s="3">
        <v>968</v>
      </c>
      <c r="Q63" t="s">
        <v>33</v>
      </c>
      <c r="R63">
        <v>5</v>
      </c>
    </row>
    <row r="64" spans="1:18">
      <c r="A64" t="s">
        <v>123</v>
      </c>
      <c r="B64" s="5">
        <v>45873</v>
      </c>
      <c r="C64" t="s">
        <v>19</v>
      </c>
      <c r="D64" t="s">
        <v>61</v>
      </c>
      <c r="E64" t="s">
        <v>44</v>
      </c>
      <c r="F64" t="s">
        <v>67</v>
      </c>
      <c r="G64">
        <v>7</v>
      </c>
      <c r="H64" s="3">
        <v>178.5</v>
      </c>
      <c r="I64" s="3">
        <v>0</v>
      </c>
      <c r="J64" s="3">
        <v>150</v>
      </c>
      <c r="K64" s="3">
        <v>1249.5</v>
      </c>
      <c r="L64" s="3">
        <v>0</v>
      </c>
      <c r="M64" s="3">
        <v>1399.5</v>
      </c>
      <c r="N64" s="3">
        <v>90</v>
      </c>
      <c r="O64" s="3">
        <v>630</v>
      </c>
      <c r="P64" s="3">
        <v>769.5</v>
      </c>
      <c r="Q64" t="s">
        <v>33</v>
      </c>
      <c r="R64">
        <v>1</v>
      </c>
    </row>
    <row r="65" spans="1:18">
      <c r="A65" t="s">
        <v>124</v>
      </c>
      <c r="B65" s="5">
        <v>45877</v>
      </c>
      <c r="C65" t="s">
        <v>41</v>
      </c>
      <c r="D65" t="s">
        <v>39</v>
      </c>
      <c r="E65" t="s">
        <v>21</v>
      </c>
      <c r="F65" t="s">
        <v>67</v>
      </c>
      <c r="G65">
        <v>4</v>
      </c>
      <c r="H65" s="3">
        <v>836</v>
      </c>
      <c r="I65" s="3">
        <v>0.15</v>
      </c>
      <c r="J65" s="3">
        <v>100</v>
      </c>
      <c r="K65" s="3">
        <v>3344</v>
      </c>
      <c r="L65" s="3">
        <v>501.6</v>
      </c>
      <c r="M65" s="3">
        <v>2942.4</v>
      </c>
      <c r="N65" s="3">
        <v>420</v>
      </c>
      <c r="O65" s="3">
        <v>1680</v>
      </c>
      <c r="P65" s="3">
        <v>1262.4000000000001</v>
      </c>
      <c r="Q65" t="s">
        <v>33</v>
      </c>
      <c r="R65">
        <v>5</v>
      </c>
    </row>
    <row r="66" spans="1:18">
      <c r="A66" t="s">
        <v>125</v>
      </c>
      <c r="B66" s="5">
        <v>45878</v>
      </c>
      <c r="C66" t="s">
        <v>126</v>
      </c>
      <c r="D66" t="s">
        <v>46</v>
      </c>
      <c r="E66" t="s">
        <v>42</v>
      </c>
      <c r="F66" t="s">
        <v>56</v>
      </c>
      <c r="G66">
        <v>7</v>
      </c>
      <c r="H66" s="3">
        <v>1567.5</v>
      </c>
      <c r="I66" s="3">
        <v>0.2</v>
      </c>
      <c r="J66" s="3">
        <v>150</v>
      </c>
      <c r="K66" s="3">
        <v>10972.5</v>
      </c>
      <c r="L66" s="3">
        <v>2194.5</v>
      </c>
      <c r="M66" s="3">
        <v>8928</v>
      </c>
      <c r="N66" s="3">
        <v>950</v>
      </c>
      <c r="O66" s="3">
        <v>6650</v>
      </c>
      <c r="P66" s="3">
        <v>2278</v>
      </c>
      <c r="Q66" t="s">
        <v>33</v>
      </c>
      <c r="R66">
        <v>3</v>
      </c>
    </row>
    <row r="67" spans="1:18">
      <c r="A67" t="s">
        <v>127</v>
      </c>
      <c r="B67" s="5">
        <v>45890</v>
      </c>
      <c r="C67" t="s">
        <v>38</v>
      </c>
      <c r="D67" t="s">
        <v>95</v>
      </c>
      <c r="E67" t="s">
        <v>21</v>
      </c>
      <c r="F67" t="s">
        <v>22</v>
      </c>
      <c r="G67">
        <v>1</v>
      </c>
      <c r="H67" s="3">
        <v>900</v>
      </c>
      <c r="I67" s="3">
        <v>0.15</v>
      </c>
      <c r="J67" s="3">
        <v>0</v>
      </c>
      <c r="K67" s="3">
        <v>900</v>
      </c>
      <c r="L67" s="3">
        <v>135</v>
      </c>
      <c r="M67" s="3">
        <v>765</v>
      </c>
      <c r="N67" s="3">
        <v>450</v>
      </c>
      <c r="O67" s="3">
        <v>450</v>
      </c>
      <c r="P67" s="3">
        <v>315</v>
      </c>
      <c r="Q67" t="s">
        <v>29</v>
      </c>
      <c r="R67">
        <v>3</v>
      </c>
    </row>
    <row r="68" spans="1:18">
      <c r="A68" t="s">
        <v>128</v>
      </c>
      <c r="B68" s="5">
        <v>45892</v>
      </c>
      <c r="C68" t="s">
        <v>86</v>
      </c>
      <c r="D68" t="s">
        <v>32</v>
      </c>
      <c r="E68" t="s">
        <v>21</v>
      </c>
      <c r="F68" t="s">
        <v>67</v>
      </c>
      <c r="G68">
        <v>6</v>
      </c>
      <c r="H68" s="3">
        <v>260</v>
      </c>
      <c r="I68" s="3">
        <v>0.1</v>
      </c>
      <c r="J68" s="3">
        <v>100</v>
      </c>
      <c r="K68" s="3">
        <v>1560</v>
      </c>
      <c r="L68" s="3">
        <v>156</v>
      </c>
      <c r="M68" s="3">
        <v>1504</v>
      </c>
      <c r="N68" s="3">
        <v>130</v>
      </c>
      <c r="O68" s="3">
        <v>780</v>
      </c>
      <c r="P68" s="3">
        <v>724</v>
      </c>
      <c r="Q68" t="s">
        <v>33</v>
      </c>
      <c r="R68">
        <v>3</v>
      </c>
    </row>
    <row r="69" spans="1:18">
      <c r="A69" t="s">
        <v>129</v>
      </c>
      <c r="B69" s="5">
        <v>45893</v>
      </c>
      <c r="C69" t="s">
        <v>50</v>
      </c>
      <c r="D69" t="s">
        <v>130</v>
      </c>
      <c r="E69" t="s">
        <v>21</v>
      </c>
      <c r="F69" t="s">
        <v>56</v>
      </c>
      <c r="G69">
        <v>2</v>
      </c>
      <c r="H69" s="3">
        <v>352</v>
      </c>
      <c r="I69" s="3">
        <v>0</v>
      </c>
      <c r="J69" s="3">
        <v>100</v>
      </c>
      <c r="K69" s="3">
        <v>704</v>
      </c>
      <c r="L69" s="3">
        <v>0</v>
      </c>
      <c r="M69" s="3">
        <v>804</v>
      </c>
      <c r="N69" s="3">
        <v>140</v>
      </c>
      <c r="O69" s="3">
        <v>280</v>
      </c>
      <c r="P69" s="3">
        <v>524</v>
      </c>
      <c r="Q69" t="s">
        <v>33</v>
      </c>
      <c r="R69">
        <v>2</v>
      </c>
    </row>
    <row r="70" spans="1:18">
      <c r="A70" t="s">
        <v>131</v>
      </c>
      <c r="B70" s="5">
        <v>45895</v>
      </c>
      <c r="C70" t="s">
        <v>54</v>
      </c>
      <c r="D70" t="s">
        <v>32</v>
      </c>
      <c r="E70" t="s">
        <v>42</v>
      </c>
      <c r="F70" t="s">
        <v>28</v>
      </c>
      <c r="G70">
        <v>1</v>
      </c>
      <c r="H70" s="3">
        <v>247</v>
      </c>
      <c r="I70" s="3">
        <v>0.15</v>
      </c>
      <c r="J70" s="3">
        <v>50</v>
      </c>
      <c r="K70" s="3">
        <v>247</v>
      </c>
      <c r="L70" s="3">
        <v>37.049999999999997</v>
      </c>
      <c r="M70" s="3">
        <v>259.95</v>
      </c>
      <c r="N70" s="3">
        <v>130</v>
      </c>
      <c r="O70" s="3">
        <v>130</v>
      </c>
      <c r="P70" s="3">
        <v>129.94999999999999</v>
      </c>
      <c r="Q70" t="s">
        <v>33</v>
      </c>
      <c r="R70">
        <v>5</v>
      </c>
    </row>
    <row r="71" spans="1:18">
      <c r="A71" t="s">
        <v>132</v>
      </c>
      <c r="B71" s="5">
        <v>45896</v>
      </c>
      <c r="C71" t="s">
        <v>91</v>
      </c>
      <c r="D71" t="s">
        <v>20</v>
      </c>
      <c r="E71" t="s">
        <v>21</v>
      </c>
      <c r="F71" t="s">
        <v>28</v>
      </c>
      <c r="G71">
        <v>4</v>
      </c>
      <c r="H71" s="3">
        <v>1595</v>
      </c>
      <c r="I71" s="3">
        <v>0.1</v>
      </c>
      <c r="J71" s="3">
        <v>100</v>
      </c>
      <c r="K71" s="3">
        <v>6380</v>
      </c>
      <c r="L71" s="3">
        <v>638</v>
      </c>
      <c r="M71" s="3">
        <v>5842</v>
      </c>
      <c r="N71" s="3">
        <v>850</v>
      </c>
      <c r="O71" s="3">
        <v>3400</v>
      </c>
      <c r="P71" s="3">
        <v>2442</v>
      </c>
      <c r="Q71" t="s">
        <v>33</v>
      </c>
      <c r="R71">
        <v>1</v>
      </c>
    </row>
    <row r="72" spans="1:18">
      <c r="A72" t="s">
        <v>133</v>
      </c>
      <c r="B72" s="5">
        <v>45897</v>
      </c>
      <c r="C72" t="s">
        <v>126</v>
      </c>
      <c r="D72" t="s">
        <v>58</v>
      </c>
      <c r="E72" t="s">
        <v>27</v>
      </c>
      <c r="F72" t="s">
        <v>67</v>
      </c>
      <c r="G72">
        <v>8</v>
      </c>
      <c r="H72" s="3">
        <v>323</v>
      </c>
      <c r="I72" s="3">
        <v>0.15</v>
      </c>
      <c r="J72" s="3">
        <v>75</v>
      </c>
      <c r="K72" s="3">
        <v>2584</v>
      </c>
      <c r="L72" s="3">
        <v>387.6</v>
      </c>
      <c r="M72" s="3">
        <v>2271.4</v>
      </c>
      <c r="N72" s="3">
        <v>180</v>
      </c>
      <c r="O72" s="3">
        <v>1440</v>
      </c>
      <c r="P72" s="3">
        <v>831.4</v>
      </c>
      <c r="Q72" t="s">
        <v>29</v>
      </c>
      <c r="R72">
        <v>2</v>
      </c>
    </row>
    <row r="73" spans="1:18">
      <c r="A73" t="s">
        <v>134</v>
      </c>
      <c r="B73" s="5">
        <v>45898</v>
      </c>
      <c r="C73" t="s">
        <v>84</v>
      </c>
      <c r="D73" t="s">
        <v>73</v>
      </c>
      <c r="E73" t="s">
        <v>21</v>
      </c>
      <c r="F73" t="s">
        <v>56</v>
      </c>
      <c r="G73">
        <v>8</v>
      </c>
      <c r="H73" s="3">
        <v>589</v>
      </c>
      <c r="I73" s="3">
        <v>0.05</v>
      </c>
      <c r="J73" s="3">
        <v>100</v>
      </c>
      <c r="K73" s="3">
        <v>4712</v>
      </c>
      <c r="L73" s="3">
        <v>235.6</v>
      </c>
      <c r="M73" s="3">
        <v>4576.3999999999996</v>
      </c>
      <c r="N73" s="3">
        <v>310</v>
      </c>
      <c r="O73" s="3">
        <v>2480</v>
      </c>
      <c r="P73" s="3">
        <v>2096.4</v>
      </c>
      <c r="Q73" t="s">
        <v>33</v>
      </c>
      <c r="R73">
        <v>1</v>
      </c>
    </row>
    <row r="74" spans="1:18">
      <c r="A74" t="s">
        <v>135</v>
      </c>
      <c r="B74" s="5">
        <v>45906</v>
      </c>
      <c r="C74" t="s">
        <v>63</v>
      </c>
      <c r="D74" t="s">
        <v>73</v>
      </c>
      <c r="E74" t="s">
        <v>44</v>
      </c>
      <c r="F74" t="s">
        <v>28</v>
      </c>
      <c r="G74">
        <v>1</v>
      </c>
      <c r="H74" s="3">
        <v>589</v>
      </c>
      <c r="I74" s="3">
        <v>0</v>
      </c>
      <c r="J74" s="3">
        <v>50</v>
      </c>
      <c r="K74" s="3">
        <v>589</v>
      </c>
      <c r="L74" s="3">
        <v>0</v>
      </c>
      <c r="M74" s="3">
        <v>639</v>
      </c>
      <c r="N74" s="3">
        <v>310</v>
      </c>
      <c r="O74" s="3">
        <v>310</v>
      </c>
      <c r="P74" s="3">
        <v>329</v>
      </c>
      <c r="Q74" t="s">
        <v>33</v>
      </c>
      <c r="R74">
        <v>4</v>
      </c>
    </row>
    <row r="75" spans="1:18">
      <c r="A75" t="s">
        <v>136</v>
      </c>
      <c r="B75" s="5">
        <v>45910</v>
      </c>
      <c r="C75" t="s">
        <v>72</v>
      </c>
      <c r="D75" t="s">
        <v>51</v>
      </c>
      <c r="E75" t="s">
        <v>44</v>
      </c>
      <c r="F75" t="s">
        <v>67</v>
      </c>
      <c r="G75">
        <v>5</v>
      </c>
      <c r="H75" s="3">
        <v>418</v>
      </c>
      <c r="I75" s="3">
        <v>0.1</v>
      </c>
      <c r="J75" s="3">
        <v>150</v>
      </c>
      <c r="K75" s="3">
        <v>2090</v>
      </c>
      <c r="L75" s="3">
        <v>209</v>
      </c>
      <c r="M75" s="3">
        <v>2031</v>
      </c>
      <c r="N75" s="3">
        <v>210</v>
      </c>
      <c r="O75" s="3">
        <v>1050</v>
      </c>
      <c r="P75" s="3">
        <v>981</v>
      </c>
      <c r="Q75" t="s">
        <v>23</v>
      </c>
      <c r="R75" t="s">
        <v>226</v>
      </c>
    </row>
    <row r="76" spans="1:18">
      <c r="A76" t="s">
        <v>137</v>
      </c>
      <c r="B76" s="5">
        <v>45911</v>
      </c>
      <c r="C76" t="s">
        <v>65</v>
      </c>
      <c r="D76" t="s">
        <v>51</v>
      </c>
      <c r="E76" t="s">
        <v>44</v>
      </c>
      <c r="F76" t="s">
        <v>28</v>
      </c>
      <c r="G76">
        <v>2</v>
      </c>
      <c r="H76" s="3">
        <v>418</v>
      </c>
      <c r="I76" s="3">
        <v>0.15</v>
      </c>
      <c r="J76" s="3">
        <v>150</v>
      </c>
      <c r="K76" s="3">
        <v>836</v>
      </c>
      <c r="L76" s="3">
        <v>125.4</v>
      </c>
      <c r="M76" s="3">
        <v>860.6</v>
      </c>
      <c r="N76" s="3">
        <v>210</v>
      </c>
      <c r="O76" s="3">
        <v>420</v>
      </c>
      <c r="P76" s="3">
        <v>440.6</v>
      </c>
      <c r="Q76" t="s">
        <v>33</v>
      </c>
      <c r="R76">
        <v>4</v>
      </c>
    </row>
    <row r="77" spans="1:18">
      <c r="A77" t="s">
        <v>138</v>
      </c>
      <c r="B77" s="5">
        <v>45919</v>
      </c>
      <c r="C77" t="s">
        <v>60</v>
      </c>
      <c r="D77" t="s">
        <v>26</v>
      </c>
      <c r="E77" t="s">
        <v>44</v>
      </c>
      <c r="F77" t="s">
        <v>28</v>
      </c>
      <c r="G77">
        <v>7</v>
      </c>
      <c r="H77" s="3">
        <v>1312.5</v>
      </c>
      <c r="I77" s="3">
        <v>0.15</v>
      </c>
      <c r="J77" s="3">
        <v>100</v>
      </c>
      <c r="K77" s="3">
        <v>9187.5</v>
      </c>
      <c r="L77" s="3">
        <v>1378.12</v>
      </c>
      <c r="M77" s="3">
        <v>7909.38</v>
      </c>
      <c r="N77" s="3">
        <v>700</v>
      </c>
      <c r="O77" s="3">
        <v>4900</v>
      </c>
      <c r="P77" s="3">
        <v>3009.38</v>
      </c>
      <c r="Q77" t="s">
        <v>29</v>
      </c>
      <c r="R77">
        <v>2</v>
      </c>
    </row>
    <row r="78" spans="1:18">
      <c r="A78" t="s">
        <v>139</v>
      </c>
      <c r="B78" s="5">
        <v>45921</v>
      </c>
      <c r="C78" t="s">
        <v>88</v>
      </c>
      <c r="D78" t="s">
        <v>73</v>
      </c>
      <c r="E78" t="s">
        <v>27</v>
      </c>
      <c r="F78" t="s">
        <v>56</v>
      </c>
      <c r="G78">
        <v>1</v>
      </c>
      <c r="H78" s="3">
        <v>620</v>
      </c>
      <c r="I78" s="3">
        <v>0</v>
      </c>
      <c r="J78" s="3">
        <v>0</v>
      </c>
      <c r="K78" s="3">
        <v>620</v>
      </c>
      <c r="L78" s="3">
        <v>0</v>
      </c>
      <c r="M78" s="3">
        <v>620</v>
      </c>
      <c r="N78" s="3">
        <v>310</v>
      </c>
      <c r="O78" s="3">
        <v>310</v>
      </c>
      <c r="P78" s="3">
        <v>310</v>
      </c>
      <c r="Q78" t="s">
        <v>33</v>
      </c>
      <c r="R78">
        <v>1</v>
      </c>
    </row>
    <row r="79" spans="1:18">
      <c r="A79" t="s">
        <v>140</v>
      </c>
      <c r="B79" s="5">
        <v>45924</v>
      </c>
      <c r="C79" t="s">
        <v>63</v>
      </c>
      <c r="D79" t="s">
        <v>51</v>
      </c>
      <c r="E79" t="s">
        <v>44</v>
      </c>
      <c r="F79" t="s">
        <v>28</v>
      </c>
      <c r="G79">
        <v>3</v>
      </c>
      <c r="H79" s="3">
        <v>418</v>
      </c>
      <c r="I79" s="3">
        <v>0.15</v>
      </c>
      <c r="J79" s="3">
        <v>75</v>
      </c>
      <c r="K79" s="3">
        <v>1254</v>
      </c>
      <c r="L79" s="3">
        <v>188.1</v>
      </c>
      <c r="M79" s="3">
        <v>1140.9000000000001</v>
      </c>
      <c r="N79" s="3">
        <v>210</v>
      </c>
      <c r="O79" s="3">
        <v>630</v>
      </c>
      <c r="P79" s="3">
        <v>510.9</v>
      </c>
      <c r="Q79" t="s">
        <v>33</v>
      </c>
      <c r="R79">
        <v>3</v>
      </c>
    </row>
    <row r="80" spans="1:18">
      <c r="A80" t="s">
        <v>141</v>
      </c>
      <c r="B80" s="5">
        <v>45934</v>
      </c>
      <c r="C80" t="s">
        <v>126</v>
      </c>
      <c r="D80" t="s">
        <v>51</v>
      </c>
      <c r="E80" t="s">
        <v>42</v>
      </c>
      <c r="F80" t="s">
        <v>28</v>
      </c>
      <c r="G80">
        <v>2</v>
      </c>
      <c r="H80" s="3">
        <v>399</v>
      </c>
      <c r="I80" s="3">
        <v>0.05</v>
      </c>
      <c r="J80" s="3">
        <v>75</v>
      </c>
      <c r="K80" s="3">
        <v>798</v>
      </c>
      <c r="L80" s="3">
        <v>39.9</v>
      </c>
      <c r="M80" s="3">
        <v>833.1</v>
      </c>
      <c r="N80" s="3">
        <v>210</v>
      </c>
      <c r="O80" s="3">
        <v>420</v>
      </c>
      <c r="P80" s="3">
        <v>413.1</v>
      </c>
      <c r="Q80" t="s">
        <v>33</v>
      </c>
      <c r="R80">
        <v>3</v>
      </c>
    </row>
    <row r="81" spans="1:18">
      <c r="A81" t="s">
        <v>142</v>
      </c>
      <c r="B81" s="5">
        <v>45934</v>
      </c>
      <c r="C81" t="s">
        <v>31</v>
      </c>
      <c r="D81" t="s">
        <v>95</v>
      </c>
      <c r="E81" t="s">
        <v>21</v>
      </c>
      <c r="F81" t="s">
        <v>56</v>
      </c>
      <c r="G81">
        <v>5</v>
      </c>
      <c r="H81" s="3">
        <v>945</v>
      </c>
      <c r="I81" s="3">
        <v>0.15</v>
      </c>
      <c r="J81" s="3">
        <v>50</v>
      </c>
      <c r="K81" s="3">
        <v>4725</v>
      </c>
      <c r="L81" s="3">
        <v>708.75</v>
      </c>
      <c r="M81" s="3">
        <v>4066.25</v>
      </c>
      <c r="N81" s="3">
        <v>450</v>
      </c>
      <c r="O81" s="3">
        <v>2250</v>
      </c>
      <c r="P81" s="3">
        <v>1816.25</v>
      </c>
      <c r="Q81" t="s">
        <v>33</v>
      </c>
      <c r="R81">
        <v>2</v>
      </c>
    </row>
    <row r="82" spans="1:18">
      <c r="A82" t="s">
        <v>143</v>
      </c>
      <c r="B82" s="5">
        <v>45936</v>
      </c>
      <c r="C82" t="s">
        <v>84</v>
      </c>
      <c r="D82" t="s">
        <v>73</v>
      </c>
      <c r="E82" t="s">
        <v>27</v>
      </c>
      <c r="F82" t="s">
        <v>28</v>
      </c>
      <c r="G82">
        <v>4</v>
      </c>
      <c r="H82" s="3">
        <v>651</v>
      </c>
      <c r="I82" s="3">
        <v>0.2</v>
      </c>
      <c r="J82" s="3">
        <v>50</v>
      </c>
      <c r="K82" s="3">
        <v>2604</v>
      </c>
      <c r="L82" s="3">
        <v>520.79999999999995</v>
      </c>
      <c r="M82" s="3">
        <v>2133.1999999999998</v>
      </c>
      <c r="N82" s="3">
        <v>310</v>
      </c>
      <c r="O82" s="3">
        <v>1240</v>
      </c>
      <c r="P82" s="3">
        <v>893.2</v>
      </c>
      <c r="Q82" t="s">
        <v>29</v>
      </c>
      <c r="R82">
        <v>1</v>
      </c>
    </row>
    <row r="83" spans="1:18">
      <c r="A83" t="s">
        <v>144</v>
      </c>
      <c r="B83" s="5">
        <v>45938</v>
      </c>
      <c r="C83" t="s">
        <v>86</v>
      </c>
      <c r="D83" t="s">
        <v>58</v>
      </c>
      <c r="E83" t="s">
        <v>42</v>
      </c>
      <c r="F83" t="s">
        <v>56</v>
      </c>
      <c r="G83">
        <v>7</v>
      </c>
      <c r="H83" s="3">
        <v>340</v>
      </c>
      <c r="I83" s="3">
        <v>0.2</v>
      </c>
      <c r="J83" s="3">
        <v>150</v>
      </c>
      <c r="K83" s="3">
        <v>2380</v>
      </c>
      <c r="L83" s="3">
        <v>476</v>
      </c>
      <c r="M83" s="3">
        <v>2054</v>
      </c>
      <c r="N83" s="3">
        <v>180</v>
      </c>
      <c r="O83" s="3">
        <v>1260</v>
      </c>
      <c r="P83" s="3">
        <v>794</v>
      </c>
      <c r="Q83" t="s">
        <v>33</v>
      </c>
      <c r="R83">
        <v>4</v>
      </c>
    </row>
    <row r="84" spans="1:18">
      <c r="A84" t="s">
        <v>145</v>
      </c>
      <c r="B84" s="5">
        <v>45940</v>
      </c>
      <c r="C84" t="s">
        <v>126</v>
      </c>
      <c r="D84" t="s">
        <v>46</v>
      </c>
      <c r="E84" t="s">
        <v>44</v>
      </c>
      <c r="F84" t="s">
        <v>67</v>
      </c>
      <c r="G84">
        <v>1</v>
      </c>
      <c r="H84" s="3">
        <v>1732.5</v>
      </c>
      <c r="I84" s="3">
        <v>0.05</v>
      </c>
      <c r="J84" s="3">
        <v>75</v>
      </c>
      <c r="K84" s="3">
        <v>1732.5</v>
      </c>
      <c r="L84" s="3">
        <v>86.62</v>
      </c>
      <c r="M84" s="3">
        <v>1720.88</v>
      </c>
      <c r="N84" s="3">
        <v>950</v>
      </c>
      <c r="O84" s="3">
        <v>950</v>
      </c>
      <c r="P84" s="3">
        <v>770.88</v>
      </c>
      <c r="Q84" t="s">
        <v>33</v>
      </c>
      <c r="R84">
        <v>4</v>
      </c>
    </row>
    <row r="85" spans="1:18">
      <c r="A85" t="s">
        <v>146</v>
      </c>
      <c r="B85" s="5">
        <v>45940</v>
      </c>
      <c r="C85" t="s">
        <v>60</v>
      </c>
      <c r="D85" t="s">
        <v>61</v>
      </c>
      <c r="E85" t="s">
        <v>27</v>
      </c>
      <c r="F85" t="s">
        <v>22</v>
      </c>
      <c r="G85">
        <v>5</v>
      </c>
      <c r="H85" s="3">
        <v>187</v>
      </c>
      <c r="I85" s="3">
        <v>0.15</v>
      </c>
      <c r="J85" s="3">
        <v>100</v>
      </c>
      <c r="K85" s="3">
        <v>935</v>
      </c>
      <c r="L85" s="3">
        <v>140.25</v>
      </c>
      <c r="M85" s="3">
        <v>894.75</v>
      </c>
      <c r="N85" s="3">
        <v>90</v>
      </c>
      <c r="O85" s="3">
        <v>450</v>
      </c>
      <c r="P85" s="3">
        <v>444.75</v>
      </c>
      <c r="Q85" t="s">
        <v>33</v>
      </c>
      <c r="R85">
        <v>4</v>
      </c>
    </row>
    <row r="86" spans="1:18">
      <c r="A86" t="s">
        <v>147</v>
      </c>
      <c r="B86" s="5">
        <v>45947</v>
      </c>
      <c r="C86" t="s">
        <v>38</v>
      </c>
      <c r="D86" t="s">
        <v>73</v>
      </c>
      <c r="E86" t="s">
        <v>21</v>
      </c>
      <c r="F86" t="s">
        <v>56</v>
      </c>
      <c r="G86">
        <v>4</v>
      </c>
      <c r="H86" s="3">
        <v>589</v>
      </c>
      <c r="I86" s="3">
        <v>0.2</v>
      </c>
      <c r="J86" s="3">
        <v>0</v>
      </c>
      <c r="K86" s="3">
        <v>2356</v>
      </c>
      <c r="L86" s="3">
        <v>471.2</v>
      </c>
      <c r="M86" s="3">
        <v>1884.8</v>
      </c>
      <c r="N86" s="3">
        <v>310</v>
      </c>
      <c r="O86" s="3">
        <v>1240</v>
      </c>
      <c r="P86" s="3">
        <v>644.79999999999995</v>
      </c>
      <c r="Q86" t="s">
        <v>29</v>
      </c>
      <c r="R86">
        <v>5</v>
      </c>
    </row>
    <row r="87" spans="1:18">
      <c r="A87" t="s">
        <v>148</v>
      </c>
      <c r="B87" s="5">
        <v>45949</v>
      </c>
      <c r="C87" t="s">
        <v>126</v>
      </c>
      <c r="D87" t="s">
        <v>36</v>
      </c>
      <c r="E87" t="s">
        <v>21</v>
      </c>
      <c r="F87" t="s">
        <v>22</v>
      </c>
      <c r="G87">
        <v>3</v>
      </c>
      <c r="H87" s="3">
        <v>256.5</v>
      </c>
      <c r="I87" s="3">
        <v>0</v>
      </c>
      <c r="J87" s="3">
        <v>50</v>
      </c>
      <c r="K87" s="3">
        <v>769.5</v>
      </c>
      <c r="L87" s="3">
        <v>0</v>
      </c>
      <c r="M87" s="3">
        <v>819.5</v>
      </c>
      <c r="N87" s="3">
        <v>120</v>
      </c>
      <c r="O87" s="3">
        <v>360</v>
      </c>
      <c r="P87" s="3">
        <v>459.5</v>
      </c>
      <c r="Q87" t="s">
        <v>33</v>
      </c>
      <c r="R87">
        <v>5</v>
      </c>
    </row>
    <row r="88" spans="1:18">
      <c r="A88" t="s">
        <v>149</v>
      </c>
      <c r="B88" s="5">
        <v>45954</v>
      </c>
      <c r="C88" t="s">
        <v>63</v>
      </c>
      <c r="D88" t="s">
        <v>32</v>
      </c>
      <c r="E88" t="s">
        <v>42</v>
      </c>
      <c r="F88" t="s">
        <v>56</v>
      </c>
      <c r="G88">
        <v>8</v>
      </c>
      <c r="H88" s="3">
        <v>260</v>
      </c>
      <c r="I88" s="3">
        <v>0.05</v>
      </c>
      <c r="J88" s="3">
        <v>75</v>
      </c>
      <c r="K88" s="3">
        <v>2080</v>
      </c>
      <c r="L88" s="3">
        <v>104</v>
      </c>
      <c r="M88" s="3">
        <v>2051</v>
      </c>
      <c r="N88" s="3">
        <v>130</v>
      </c>
      <c r="O88" s="3">
        <v>1040</v>
      </c>
      <c r="P88" s="3">
        <v>1011</v>
      </c>
      <c r="Q88" t="s">
        <v>33</v>
      </c>
      <c r="R88">
        <v>1</v>
      </c>
    </row>
    <row r="89" spans="1:18">
      <c r="A89" t="s">
        <v>150</v>
      </c>
      <c r="B89" s="5">
        <v>45954</v>
      </c>
      <c r="C89" t="s">
        <v>41</v>
      </c>
      <c r="D89" t="s">
        <v>70</v>
      </c>
      <c r="E89" t="s">
        <v>21</v>
      </c>
      <c r="F89" t="s">
        <v>28</v>
      </c>
      <c r="G89">
        <v>3</v>
      </c>
      <c r="H89" s="3">
        <v>142.5</v>
      </c>
      <c r="I89" s="3">
        <v>0</v>
      </c>
      <c r="J89" s="3">
        <v>75</v>
      </c>
      <c r="K89" s="3">
        <v>427.5</v>
      </c>
      <c r="L89" s="3">
        <v>0</v>
      </c>
      <c r="M89" s="3">
        <v>502.5</v>
      </c>
      <c r="N89" s="3">
        <v>80</v>
      </c>
      <c r="O89" s="3">
        <v>240</v>
      </c>
      <c r="P89" s="3">
        <v>262.5</v>
      </c>
      <c r="Q89" t="s">
        <v>29</v>
      </c>
      <c r="R89">
        <v>1</v>
      </c>
    </row>
    <row r="90" spans="1:18">
      <c r="A90" t="s">
        <v>151</v>
      </c>
      <c r="B90" s="5">
        <v>45957</v>
      </c>
      <c r="C90" t="s">
        <v>91</v>
      </c>
      <c r="D90" t="s">
        <v>46</v>
      </c>
      <c r="E90" t="s">
        <v>44</v>
      </c>
      <c r="F90" t="s">
        <v>22</v>
      </c>
      <c r="G90">
        <v>3</v>
      </c>
      <c r="H90" s="3">
        <v>1815</v>
      </c>
      <c r="I90" s="3">
        <v>0.2</v>
      </c>
      <c r="J90" s="3">
        <v>100</v>
      </c>
      <c r="K90" s="3">
        <v>5445</v>
      </c>
      <c r="L90" s="3">
        <v>1089</v>
      </c>
      <c r="M90" s="3">
        <v>4456</v>
      </c>
      <c r="N90" s="3">
        <v>950</v>
      </c>
      <c r="O90" s="3">
        <v>2850</v>
      </c>
      <c r="P90" s="3">
        <v>1606</v>
      </c>
      <c r="Q90" t="s">
        <v>33</v>
      </c>
      <c r="R90">
        <v>2</v>
      </c>
    </row>
    <row r="91" spans="1:18">
      <c r="A91" t="s">
        <v>152</v>
      </c>
      <c r="B91" s="5">
        <v>45959</v>
      </c>
      <c r="C91" t="s">
        <v>112</v>
      </c>
      <c r="D91" t="s">
        <v>51</v>
      </c>
      <c r="E91" t="s">
        <v>27</v>
      </c>
      <c r="F91" t="s">
        <v>28</v>
      </c>
      <c r="G91">
        <v>2</v>
      </c>
      <c r="H91" s="3">
        <v>380</v>
      </c>
      <c r="I91" s="3">
        <v>0.05</v>
      </c>
      <c r="J91" s="3">
        <v>0</v>
      </c>
      <c r="K91" s="3">
        <v>760</v>
      </c>
      <c r="L91" s="3">
        <v>38</v>
      </c>
      <c r="M91" s="3">
        <v>722</v>
      </c>
      <c r="N91" s="3">
        <v>210</v>
      </c>
      <c r="O91" s="3">
        <v>420</v>
      </c>
      <c r="P91" s="3">
        <v>302</v>
      </c>
      <c r="Q91" t="s">
        <v>33</v>
      </c>
      <c r="R91">
        <v>1</v>
      </c>
    </row>
    <row r="92" spans="1:18">
      <c r="A92" t="s">
        <v>153</v>
      </c>
      <c r="B92" s="5">
        <v>45960</v>
      </c>
      <c r="C92" t="s">
        <v>38</v>
      </c>
      <c r="D92" t="s">
        <v>58</v>
      </c>
      <c r="E92" t="s">
        <v>21</v>
      </c>
      <c r="F92" t="s">
        <v>67</v>
      </c>
      <c r="G92">
        <v>3</v>
      </c>
      <c r="H92" s="3">
        <v>374</v>
      </c>
      <c r="I92" s="3">
        <v>0</v>
      </c>
      <c r="J92" s="3">
        <v>50</v>
      </c>
      <c r="K92" s="3">
        <v>1122</v>
      </c>
      <c r="L92" s="3">
        <v>0</v>
      </c>
      <c r="M92" s="3">
        <v>1172</v>
      </c>
      <c r="N92" s="3">
        <v>180</v>
      </c>
      <c r="O92" s="3">
        <v>540</v>
      </c>
      <c r="P92" s="3">
        <v>632</v>
      </c>
      <c r="Q92" t="s">
        <v>23</v>
      </c>
      <c r="R92" t="s">
        <v>226</v>
      </c>
    </row>
    <row r="93" spans="1:18">
      <c r="A93" t="s">
        <v>154</v>
      </c>
      <c r="B93" s="5">
        <v>45975</v>
      </c>
      <c r="C93" t="s">
        <v>126</v>
      </c>
      <c r="D93" t="s">
        <v>39</v>
      </c>
      <c r="E93" t="s">
        <v>21</v>
      </c>
      <c r="F93" t="s">
        <v>28</v>
      </c>
      <c r="G93">
        <v>7</v>
      </c>
      <c r="H93" s="3">
        <v>798</v>
      </c>
      <c r="I93" s="3">
        <v>0</v>
      </c>
      <c r="J93" s="3">
        <v>50</v>
      </c>
      <c r="K93" s="3">
        <v>5586</v>
      </c>
      <c r="L93" s="3">
        <v>0</v>
      </c>
      <c r="M93" s="3">
        <v>5636</v>
      </c>
      <c r="N93" s="3">
        <v>420</v>
      </c>
      <c r="O93" s="3">
        <v>2940</v>
      </c>
      <c r="P93" s="3">
        <v>2696</v>
      </c>
      <c r="Q93" t="s">
        <v>29</v>
      </c>
      <c r="R93">
        <v>1</v>
      </c>
    </row>
    <row r="94" spans="1:18">
      <c r="A94" t="s">
        <v>155</v>
      </c>
      <c r="B94" s="5">
        <v>45978</v>
      </c>
      <c r="C94" t="s">
        <v>41</v>
      </c>
      <c r="D94" t="s">
        <v>82</v>
      </c>
      <c r="E94" t="s">
        <v>44</v>
      </c>
      <c r="F94" t="s">
        <v>67</v>
      </c>
      <c r="G94">
        <v>7</v>
      </c>
      <c r="H94" s="3">
        <v>285</v>
      </c>
      <c r="I94" s="3">
        <v>0.1</v>
      </c>
      <c r="J94" s="3">
        <v>150</v>
      </c>
      <c r="K94" s="3">
        <v>1995</v>
      </c>
      <c r="L94" s="3">
        <v>199.5</v>
      </c>
      <c r="M94" s="3">
        <v>1945.5</v>
      </c>
      <c r="N94" s="3">
        <v>160</v>
      </c>
      <c r="O94" s="3">
        <v>1120</v>
      </c>
      <c r="P94" s="3">
        <v>825.5</v>
      </c>
      <c r="Q94" t="s">
        <v>29</v>
      </c>
      <c r="R94">
        <v>3</v>
      </c>
    </row>
    <row r="95" spans="1:18">
      <c r="A95" t="s">
        <v>156</v>
      </c>
      <c r="B95" s="5">
        <v>45982</v>
      </c>
      <c r="C95" t="s">
        <v>41</v>
      </c>
      <c r="D95" t="s">
        <v>73</v>
      </c>
      <c r="E95" t="s">
        <v>42</v>
      </c>
      <c r="F95" t="s">
        <v>22</v>
      </c>
      <c r="G95">
        <v>4</v>
      </c>
      <c r="H95" s="3">
        <v>651</v>
      </c>
      <c r="I95" s="3">
        <v>0.05</v>
      </c>
      <c r="J95" s="3">
        <v>0</v>
      </c>
      <c r="K95" s="3">
        <v>2604</v>
      </c>
      <c r="L95" s="3">
        <v>130.19999999999999</v>
      </c>
      <c r="M95" s="3">
        <v>2473.8000000000002</v>
      </c>
      <c r="N95" s="3">
        <v>310</v>
      </c>
      <c r="O95" s="3">
        <v>1240</v>
      </c>
      <c r="P95" s="3">
        <v>1233.8</v>
      </c>
      <c r="Q95" t="s">
        <v>29</v>
      </c>
      <c r="R95">
        <v>1</v>
      </c>
    </row>
    <row r="96" spans="1:18">
      <c r="A96" t="s">
        <v>157</v>
      </c>
      <c r="B96" s="5">
        <v>45991</v>
      </c>
      <c r="C96" t="s">
        <v>158</v>
      </c>
      <c r="D96" t="s">
        <v>55</v>
      </c>
      <c r="E96" t="s">
        <v>21</v>
      </c>
      <c r="F96" t="s">
        <v>22</v>
      </c>
      <c r="G96">
        <v>8</v>
      </c>
      <c r="H96" s="3">
        <v>90</v>
      </c>
      <c r="I96" s="3">
        <v>0.15</v>
      </c>
      <c r="J96" s="3">
        <v>50</v>
      </c>
      <c r="K96" s="3">
        <v>720</v>
      </c>
      <c r="L96" s="3">
        <v>108</v>
      </c>
      <c r="M96" s="3">
        <v>662</v>
      </c>
      <c r="N96" s="3">
        <v>45</v>
      </c>
      <c r="O96" s="3">
        <v>360</v>
      </c>
      <c r="P96" s="3">
        <v>302</v>
      </c>
      <c r="Q96" t="s">
        <v>23</v>
      </c>
      <c r="R96" t="s">
        <v>226</v>
      </c>
    </row>
    <row r="97" spans="1:18">
      <c r="A97" t="s">
        <v>159</v>
      </c>
      <c r="B97" s="5">
        <v>45995</v>
      </c>
      <c r="C97" t="s">
        <v>72</v>
      </c>
      <c r="D97" t="s">
        <v>26</v>
      </c>
      <c r="E97" t="s">
        <v>44</v>
      </c>
      <c r="F97" t="s">
        <v>56</v>
      </c>
      <c r="G97">
        <v>7</v>
      </c>
      <c r="H97" s="3">
        <v>1312.5</v>
      </c>
      <c r="I97" s="3">
        <v>0.2</v>
      </c>
      <c r="J97" s="3">
        <v>75</v>
      </c>
      <c r="K97" s="3">
        <v>9187.5</v>
      </c>
      <c r="L97" s="3">
        <v>1837.5</v>
      </c>
      <c r="M97" s="3">
        <v>7425</v>
      </c>
      <c r="N97" s="3">
        <v>700</v>
      </c>
      <c r="O97" s="3">
        <v>4900</v>
      </c>
      <c r="P97" s="3">
        <v>2525</v>
      </c>
      <c r="Q97" t="s">
        <v>33</v>
      </c>
      <c r="R97">
        <v>1</v>
      </c>
    </row>
    <row r="98" spans="1:18">
      <c r="A98" t="s">
        <v>160</v>
      </c>
      <c r="B98" s="5">
        <v>46008</v>
      </c>
      <c r="C98" t="s">
        <v>38</v>
      </c>
      <c r="D98" t="s">
        <v>82</v>
      </c>
      <c r="E98" t="s">
        <v>42</v>
      </c>
      <c r="F98" t="s">
        <v>67</v>
      </c>
      <c r="G98">
        <v>4</v>
      </c>
      <c r="H98" s="3">
        <v>285</v>
      </c>
      <c r="I98" s="3">
        <v>0.2</v>
      </c>
      <c r="J98" s="3">
        <v>50</v>
      </c>
      <c r="K98" s="3">
        <v>1140</v>
      </c>
      <c r="L98" s="3">
        <v>228</v>
      </c>
      <c r="M98" s="3">
        <v>962</v>
      </c>
      <c r="N98" s="3">
        <v>160</v>
      </c>
      <c r="O98" s="3">
        <v>640</v>
      </c>
      <c r="P98" s="3">
        <v>322</v>
      </c>
      <c r="Q98" t="s">
        <v>33</v>
      </c>
      <c r="R98">
        <v>3</v>
      </c>
    </row>
    <row r="99" spans="1:18">
      <c r="A99" t="s">
        <v>161</v>
      </c>
      <c r="B99" s="5">
        <v>46011</v>
      </c>
      <c r="C99" t="s">
        <v>60</v>
      </c>
      <c r="D99" t="s">
        <v>70</v>
      </c>
      <c r="E99" t="s">
        <v>27</v>
      </c>
      <c r="F99" t="s">
        <v>28</v>
      </c>
      <c r="G99">
        <v>4</v>
      </c>
      <c r="H99" s="3">
        <v>142.5</v>
      </c>
      <c r="I99" s="3">
        <v>0.05</v>
      </c>
      <c r="J99" s="3">
        <v>75</v>
      </c>
      <c r="K99" s="3">
        <v>570</v>
      </c>
      <c r="L99" s="3">
        <v>28.5</v>
      </c>
      <c r="M99" s="3">
        <v>616.5</v>
      </c>
      <c r="N99" s="3">
        <v>80</v>
      </c>
      <c r="O99" s="3">
        <v>320</v>
      </c>
      <c r="P99" s="3">
        <v>296.5</v>
      </c>
      <c r="Q99" t="s">
        <v>33</v>
      </c>
      <c r="R99">
        <v>5</v>
      </c>
    </row>
    <row r="100" spans="1:18">
      <c r="A100" t="s">
        <v>162</v>
      </c>
      <c r="B100" s="5">
        <v>46017</v>
      </c>
      <c r="C100" t="s">
        <v>91</v>
      </c>
      <c r="D100" t="s">
        <v>55</v>
      </c>
      <c r="E100" t="s">
        <v>44</v>
      </c>
      <c r="F100" t="s">
        <v>56</v>
      </c>
      <c r="G100">
        <v>8</v>
      </c>
      <c r="H100" s="3">
        <v>94.5</v>
      </c>
      <c r="I100" s="3">
        <v>0.15</v>
      </c>
      <c r="J100" s="3">
        <v>150</v>
      </c>
      <c r="K100" s="3">
        <v>756</v>
      </c>
      <c r="L100" s="3">
        <v>113.4</v>
      </c>
      <c r="M100" s="3">
        <v>792.6</v>
      </c>
      <c r="N100" s="3">
        <v>45</v>
      </c>
      <c r="O100" s="3">
        <v>360</v>
      </c>
      <c r="P100" s="3">
        <v>432.6</v>
      </c>
      <c r="Q100" t="s">
        <v>33</v>
      </c>
      <c r="R100">
        <v>3</v>
      </c>
    </row>
    <row r="101" spans="1:18">
      <c r="A101" t="s">
        <v>163</v>
      </c>
      <c r="B101" s="5">
        <v>46018</v>
      </c>
      <c r="C101" t="s">
        <v>31</v>
      </c>
      <c r="D101" t="s">
        <v>95</v>
      </c>
      <c r="E101" t="s">
        <v>21</v>
      </c>
      <c r="F101" t="s">
        <v>67</v>
      </c>
      <c r="G101">
        <v>4</v>
      </c>
      <c r="H101" s="3">
        <v>945</v>
      </c>
      <c r="I101" s="3">
        <v>0.1</v>
      </c>
      <c r="J101" s="3">
        <v>50</v>
      </c>
      <c r="K101" s="3">
        <v>3780</v>
      </c>
      <c r="L101" s="3">
        <v>378</v>
      </c>
      <c r="M101" s="3">
        <v>3452</v>
      </c>
      <c r="N101" s="3">
        <v>450</v>
      </c>
      <c r="O101" s="3">
        <v>1800</v>
      </c>
      <c r="P101" s="3">
        <v>1652</v>
      </c>
      <c r="Q101" t="s">
        <v>29</v>
      </c>
      <c r="R101">
        <v>5</v>
      </c>
    </row>
  </sheetData>
  <conditionalFormatting sqref="P2:P101">
    <cfRule type="cellIs" dxfId="0" priority="1" operator="lessThan">
      <formula>0</formula>
    </cfRule>
  </conditionalFormatting>
  <conditionalFormatting sqref="R2:R101">
    <cfRule type="colorScale" priority="2">
      <colorScale>
        <cfvo type="min"/>
        <cfvo type="percentile" val="50"/>
        <cfvo type="max"/>
        <color rgb="FFFECACA"/>
        <color rgb="FFFEF3C7"/>
        <color rgb="FFDCFCE7"/>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selection activeCell="F2" sqref="F2:F21"/>
    </sheetView>
  </sheetViews>
  <sheetFormatPr defaultRowHeight="14.25"/>
  <cols>
    <col min="1" max="1" width="11.875" bestFit="1" customWidth="1"/>
    <col min="2" max="2" width="15.125" bestFit="1" customWidth="1"/>
    <col min="3" max="3" width="13.75" bestFit="1" customWidth="1"/>
    <col min="4" max="4" width="8.625" bestFit="1" customWidth="1"/>
    <col min="5" max="5" width="14.375" bestFit="1" customWidth="1"/>
    <col min="6" max="6" width="11.75" bestFit="1" customWidth="1"/>
  </cols>
  <sheetData>
    <row r="1" spans="1:6" ht="15">
      <c r="A1" s="1" t="s">
        <v>2</v>
      </c>
      <c r="B1" s="1" t="s">
        <v>164</v>
      </c>
      <c r="C1" s="1" t="s">
        <v>165</v>
      </c>
      <c r="D1" s="1" t="s">
        <v>166</v>
      </c>
      <c r="E1" s="1" t="s">
        <v>167</v>
      </c>
      <c r="F1" s="1" t="s">
        <v>168</v>
      </c>
    </row>
    <row r="2" spans="1:6">
      <c r="A2" t="s">
        <v>88</v>
      </c>
      <c r="B2" t="s">
        <v>169</v>
      </c>
      <c r="C2" t="s">
        <v>170</v>
      </c>
      <c r="D2" t="s">
        <v>171</v>
      </c>
      <c r="E2" t="s">
        <v>172</v>
      </c>
      <c r="F2" s="5">
        <v>45208</v>
      </c>
    </row>
    <row r="3" spans="1:6">
      <c r="A3" t="s">
        <v>25</v>
      </c>
      <c r="B3" t="s">
        <v>173</v>
      </c>
      <c r="C3" t="s">
        <v>170</v>
      </c>
      <c r="D3" t="s">
        <v>174</v>
      </c>
      <c r="E3" t="s">
        <v>175</v>
      </c>
      <c r="F3" s="5">
        <v>45681</v>
      </c>
    </row>
    <row r="4" spans="1:6">
      <c r="A4" t="s">
        <v>31</v>
      </c>
      <c r="B4" t="s">
        <v>176</v>
      </c>
      <c r="C4" t="s">
        <v>177</v>
      </c>
      <c r="D4" t="s">
        <v>171</v>
      </c>
      <c r="E4" t="s">
        <v>172</v>
      </c>
      <c r="F4" s="5">
        <v>45485</v>
      </c>
    </row>
    <row r="5" spans="1:6">
      <c r="A5" t="s">
        <v>72</v>
      </c>
      <c r="B5" t="s">
        <v>178</v>
      </c>
      <c r="C5" t="s">
        <v>177</v>
      </c>
      <c r="D5" t="s">
        <v>171</v>
      </c>
      <c r="E5" t="s">
        <v>179</v>
      </c>
      <c r="F5" s="5">
        <v>44959</v>
      </c>
    </row>
    <row r="6" spans="1:6">
      <c r="A6" t="s">
        <v>54</v>
      </c>
      <c r="B6" t="s">
        <v>180</v>
      </c>
      <c r="C6" t="s">
        <v>170</v>
      </c>
      <c r="D6" t="s">
        <v>171</v>
      </c>
      <c r="E6" t="s">
        <v>181</v>
      </c>
      <c r="F6" s="5">
        <v>45165</v>
      </c>
    </row>
    <row r="7" spans="1:6">
      <c r="A7" t="s">
        <v>50</v>
      </c>
      <c r="B7" t="s">
        <v>182</v>
      </c>
      <c r="C7" t="s">
        <v>177</v>
      </c>
      <c r="D7" t="s">
        <v>171</v>
      </c>
      <c r="E7" t="s">
        <v>181</v>
      </c>
      <c r="F7" s="5">
        <v>45660</v>
      </c>
    </row>
    <row r="8" spans="1:6">
      <c r="A8" t="s">
        <v>86</v>
      </c>
      <c r="B8" t="s">
        <v>183</v>
      </c>
      <c r="C8" t="s">
        <v>170</v>
      </c>
      <c r="D8" t="s">
        <v>184</v>
      </c>
      <c r="E8" t="s">
        <v>185</v>
      </c>
      <c r="F8" s="5">
        <v>45530</v>
      </c>
    </row>
    <row r="9" spans="1:6">
      <c r="A9" t="s">
        <v>65</v>
      </c>
      <c r="B9" t="s">
        <v>186</v>
      </c>
      <c r="C9" t="s">
        <v>170</v>
      </c>
      <c r="D9" t="s">
        <v>187</v>
      </c>
      <c r="E9" t="s">
        <v>188</v>
      </c>
      <c r="F9" s="5">
        <v>45641</v>
      </c>
    </row>
    <row r="10" spans="1:6">
      <c r="A10" t="s">
        <v>126</v>
      </c>
      <c r="B10" t="s">
        <v>189</v>
      </c>
      <c r="C10" t="s">
        <v>190</v>
      </c>
      <c r="D10" t="s">
        <v>184</v>
      </c>
      <c r="E10" t="s">
        <v>185</v>
      </c>
      <c r="F10" s="5">
        <v>45086</v>
      </c>
    </row>
    <row r="11" spans="1:6">
      <c r="A11" t="s">
        <v>60</v>
      </c>
      <c r="B11" t="s">
        <v>191</v>
      </c>
      <c r="C11" t="s">
        <v>190</v>
      </c>
      <c r="D11" t="s">
        <v>174</v>
      </c>
      <c r="E11" t="s">
        <v>175</v>
      </c>
      <c r="F11" s="5">
        <v>45021</v>
      </c>
    </row>
    <row r="12" spans="1:6">
      <c r="A12" t="s">
        <v>35</v>
      </c>
      <c r="B12" t="s">
        <v>192</v>
      </c>
      <c r="C12" t="s">
        <v>170</v>
      </c>
      <c r="D12" t="s">
        <v>184</v>
      </c>
      <c r="E12" t="s">
        <v>185</v>
      </c>
      <c r="F12" s="5">
        <v>45794</v>
      </c>
    </row>
    <row r="13" spans="1:6">
      <c r="A13" t="s">
        <v>19</v>
      </c>
      <c r="B13" t="s">
        <v>193</v>
      </c>
      <c r="C13" t="s">
        <v>177</v>
      </c>
      <c r="D13" t="s">
        <v>187</v>
      </c>
      <c r="E13" t="s">
        <v>194</v>
      </c>
      <c r="F13" s="5">
        <v>45753</v>
      </c>
    </row>
    <row r="14" spans="1:6">
      <c r="A14" t="s">
        <v>38</v>
      </c>
      <c r="B14" t="s">
        <v>195</v>
      </c>
      <c r="C14" t="s">
        <v>177</v>
      </c>
      <c r="D14" t="s">
        <v>171</v>
      </c>
      <c r="E14" t="s">
        <v>179</v>
      </c>
      <c r="F14" s="5">
        <v>45476</v>
      </c>
    </row>
    <row r="15" spans="1:6">
      <c r="A15" t="s">
        <v>158</v>
      </c>
      <c r="B15" t="s">
        <v>196</v>
      </c>
      <c r="C15" t="s">
        <v>190</v>
      </c>
      <c r="D15" t="s">
        <v>171</v>
      </c>
      <c r="E15" t="s">
        <v>181</v>
      </c>
      <c r="F15" s="5">
        <v>45492</v>
      </c>
    </row>
    <row r="16" spans="1:6">
      <c r="A16" t="s">
        <v>84</v>
      </c>
      <c r="B16" t="s">
        <v>197</v>
      </c>
      <c r="C16" t="s">
        <v>177</v>
      </c>
      <c r="D16" t="s">
        <v>187</v>
      </c>
      <c r="E16" t="s">
        <v>198</v>
      </c>
      <c r="F16" s="5">
        <v>45809</v>
      </c>
    </row>
    <row r="17" spans="1:6">
      <c r="A17" t="s">
        <v>48</v>
      </c>
      <c r="B17" t="s">
        <v>199</v>
      </c>
      <c r="C17" t="s">
        <v>177</v>
      </c>
      <c r="D17" t="s">
        <v>187</v>
      </c>
      <c r="E17" t="s">
        <v>188</v>
      </c>
      <c r="F17" s="5">
        <v>45648</v>
      </c>
    </row>
    <row r="18" spans="1:6">
      <c r="A18" t="s">
        <v>112</v>
      </c>
      <c r="B18" t="s">
        <v>200</v>
      </c>
      <c r="C18" t="s">
        <v>170</v>
      </c>
      <c r="D18" t="s">
        <v>171</v>
      </c>
      <c r="E18" t="s">
        <v>172</v>
      </c>
      <c r="F18" s="5">
        <v>45160</v>
      </c>
    </row>
    <row r="19" spans="1:6">
      <c r="A19" t="s">
        <v>63</v>
      </c>
      <c r="B19" t="s">
        <v>201</v>
      </c>
      <c r="C19" t="s">
        <v>170</v>
      </c>
      <c r="D19" t="s">
        <v>187</v>
      </c>
      <c r="E19" t="s">
        <v>188</v>
      </c>
      <c r="F19" s="5">
        <v>45814</v>
      </c>
    </row>
    <row r="20" spans="1:6">
      <c r="A20" t="s">
        <v>91</v>
      </c>
      <c r="B20" t="s">
        <v>202</v>
      </c>
      <c r="C20" t="s">
        <v>190</v>
      </c>
      <c r="D20" t="s">
        <v>171</v>
      </c>
      <c r="E20" t="s">
        <v>179</v>
      </c>
      <c r="F20" s="5">
        <v>45391</v>
      </c>
    </row>
    <row r="21" spans="1:6">
      <c r="A21" t="s">
        <v>41</v>
      </c>
      <c r="B21" t="s">
        <v>203</v>
      </c>
      <c r="C21" t="s">
        <v>170</v>
      </c>
      <c r="D21" t="s">
        <v>187</v>
      </c>
      <c r="E21" t="s">
        <v>194</v>
      </c>
      <c r="F21" s="5">
        <v>45290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2B59-DAF9-458C-90B4-A909E9371421}">
  <dimension ref="B3:H57"/>
  <sheetViews>
    <sheetView zoomScale="115" zoomScaleNormal="115" workbookViewId="0">
      <selection activeCell="C63" sqref="C63"/>
    </sheetView>
  </sheetViews>
  <sheetFormatPr defaultRowHeight="14.25"/>
  <cols>
    <col min="2" max="2" width="20.375" bestFit="1" customWidth="1"/>
    <col min="3" max="3" width="16.125" bestFit="1" customWidth="1"/>
    <col min="4" max="5" width="12.375" bestFit="1" customWidth="1"/>
  </cols>
  <sheetData>
    <row r="3" spans="2:8">
      <c r="B3" s="8" t="s">
        <v>229</v>
      </c>
      <c r="C3" t="s">
        <v>231</v>
      </c>
      <c r="D3" t="s">
        <v>232</v>
      </c>
    </row>
    <row r="4" spans="2:8">
      <c r="B4" s="9" t="s">
        <v>187</v>
      </c>
      <c r="C4" s="10">
        <v>80334.25</v>
      </c>
      <c r="D4" s="10">
        <v>34164.25</v>
      </c>
      <c r="F4" t="str">
        <f>B4</f>
        <v>Central</v>
      </c>
      <c r="G4">
        <f t="shared" ref="G4:H4" si="0">C4</f>
        <v>80334.25</v>
      </c>
      <c r="H4">
        <f t="shared" si="0"/>
        <v>34164.25</v>
      </c>
    </row>
    <row r="5" spans="2:8">
      <c r="B5" s="9" t="s">
        <v>184</v>
      </c>
      <c r="C5" s="10">
        <v>66400.38</v>
      </c>
      <c r="D5" s="10">
        <v>26340.38</v>
      </c>
      <c r="F5" t="str">
        <f t="shared" ref="F5:F7" si="1">B5</f>
        <v>Mindanao</v>
      </c>
      <c r="G5">
        <f t="shared" ref="G5:G7" si="2">C5</f>
        <v>66400.38</v>
      </c>
      <c r="H5">
        <f t="shared" ref="H5:H7" si="3">D5</f>
        <v>26340.38</v>
      </c>
    </row>
    <row r="6" spans="2:8">
      <c r="B6" s="9" t="s">
        <v>171</v>
      </c>
      <c r="C6" s="10">
        <v>82148.649999999994</v>
      </c>
      <c r="D6" s="10">
        <v>34103.65</v>
      </c>
      <c r="F6" t="str">
        <f t="shared" si="1"/>
        <v>North</v>
      </c>
      <c r="G6">
        <f t="shared" si="2"/>
        <v>82148.649999999994</v>
      </c>
      <c r="H6">
        <f t="shared" si="3"/>
        <v>34103.65</v>
      </c>
    </row>
    <row r="7" spans="2:8">
      <c r="B7" s="9" t="s">
        <v>174</v>
      </c>
      <c r="C7" s="10">
        <v>48793.279999999999</v>
      </c>
      <c r="D7" s="10">
        <v>19793.28</v>
      </c>
      <c r="F7" t="str">
        <f t="shared" si="1"/>
        <v>South</v>
      </c>
      <c r="G7">
        <f t="shared" si="2"/>
        <v>48793.279999999999</v>
      </c>
      <c r="H7">
        <f t="shared" si="3"/>
        <v>19793.28</v>
      </c>
    </row>
    <row r="8" spans="2:8">
      <c r="B8" s="9" t="s">
        <v>230</v>
      </c>
      <c r="C8" s="10">
        <v>277676.56</v>
      </c>
      <c r="D8" s="10">
        <v>114401.56</v>
      </c>
    </row>
    <row r="13" spans="2:8">
      <c r="B13" s="8" t="s">
        <v>229</v>
      </c>
      <c r="C13" t="s">
        <v>231</v>
      </c>
      <c r="D13" t="s">
        <v>232</v>
      </c>
    </row>
    <row r="14" spans="2:8">
      <c r="B14" s="9" t="s">
        <v>223</v>
      </c>
      <c r="C14" s="10">
        <v>21509.200000000001</v>
      </c>
      <c r="D14" s="10">
        <v>10159.200000000001</v>
      </c>
      <c r="F14" t="str">
        <f>B14</f>
        <v>Apparel</v>
      </c>
      <c r="G14">
        <f t="shared" ref="G14:H14" si="4">C14</f>
        <v>21509.200000000001</v>
      </c>
      <c r="H14">
        <f t="shared" si="4"/>
        <v>10159.200000000001</v>
      </c>
    </row>
    <row r="15" spans="2:8">
      <c r="B15" s="9" t="s">
        <v>208</v>
      </c>
      <c r="C15" s="10">
        <v>187857.26</v>
      </c>
      <c r="D15" s="10">
        <v>72967.259999999995</v>
      </c>
      <c r="F15" t="str">
        <f t="shared" ref="F15:F17" si="5">B15</f>
        <v>Electronics</v>
      </c>
      <c r="G15">
        <f t="shared" ref="G15:G17" si="6">C15</f>
        <v>187857.26</v>
      </c>
      <c r="H15">
        <f t="shared" ref="H15:H17" si="7">D15</f>
        <v>72967.259999999995</v>
      </c>
    </row>
    <row r="16" spans="2:8">
      <c r="B16" s="9" t="s">
        <v>218</v>
      </c>
      <c r="C16" s="10">
        <v>33718</v>
      </c>
      <c r="D16" s="10">
        <v>15348</v>
      </c>
      <c r="F16" t="str">
        <f t="shared" si="5"/>
        <v>Home</v>
      </c>
      <c r="G16">
        <f t="shared" si="6"/>
        <v>33718</v>
      </c>
      <c r="H16">
        <f t="shared" si="7"/>
        <v>15348</v>
      </c>
    </row>
    <row r="17" spans="2:8">
      <c r="B17" s="9" t="s">
        <v>213</v>
      </c>
      <c r="C17" s="10">
        <v>34592.1</v>
      </c>
      <c r="D17" s="10">
        <v>15927.1</v>
      </c>
      <c r="F17" t="str">
        <f t="shared" si="5"/>
        <v>Office Supplies</v>
      </c>
      <c r="G17">
        <f t="shared" si="6"/>
        <v>34592.1</v>
      </c>
      <c r="H17">
        <f t="shared" si="7"/>
        <v>15927.1</v>
      </c>
    </row>
    <row r="18" spans="2:8">
      <c r="B18" s="9" t="s">
        <v>230</v>
      </c>
      <c r="C18" s="10">
        <v>277676.56</v>
      </c>
      <c r="D18" s="10">
        <v>114401.56</v>
      </c>
    </row>
    <row r="23" spans="2:8">
      <c r="B23" s="8" t="s">
        <v>245</v>
      </c>
      <c r="C23" t="s">
        <v>231</v>
      </c>
      <c r="D23" t="s">
        <v>232</v>
      </c>
    </row>
    <row r="24" spans="2:8">
      <c r="B24" t="s">
        <v>233</v>
      </c>
      <c r="C24" s="10">
        <v>18719.099999999999</v>
      </c>
      <c r="D24" s="10">
        <v>7379.1</v>
      </c>
    </row>
    <row r="25" spans="2:8">
      <c r="B25" t="s">
        <v>234</v>
      </c>
      <c r="C25" s="10">
        <v>20586.150000000001</v>
      </c>
      <c r="D25" s="10">
        <v>9251.15</v>
      </c>
    </row>
    <row r="26" spans="2:8">
      <c r="B26" t="s">
        <v>235</v>
      </c>
      <c r="C26" s="10">
        <v>20480.25</v>
      </c>
      <c r="D26" s="10">
        <v>8560.25</v>
      </c>
    </row>
    <row r="27" spans="2:8">
      <c r="B27" t="s">
        <v>236</v>
      </c>
      <c r="C27" s="10">
        <v>28154.9</v>
      </c>
      <c r="D27" s="10">
        <v>9634.9</v>
      </c>
    </row>
    <row r="28" spans="2:8">
      <c r="B28" t="s">
        <v>237</v>
      </c>
      <c r="C28" s="10">
        <v>47321.05</v>
      </c>
      <c r="D28" s="10">
        <v>19416.05</v>
      </c>
    </row>
    <row r="29" spans="2:8">
      <c r="B29" t="s">
        <v>238</v>
      </c>
      <c r="C29" s="10">
        <v>18673.95</v>
      </c>
      <c r="D29" s="10">
        <v>8333.9500000000007</v>
      </c>
    </row>
    <row r="30" spans="2:8">
      <c r="B30" t="s">
        <v>239</v>
      </c>
      <c r="C30" s="10">
        <v>31764.25</v>
      </c>
      <c r="D30" s="10">
        <v>13569.25</v>
      </c>
    </row>
    <row r="31" spans="2:8">
      <c r="B31" t="s">
        <v>240</v>
      </c>
      <c r="C31" s="10">
        <v>31500.65</v>
      </c>
      <c r="D31" s="10">
        <v>12340.65</v>
      </c>
    </row>
    <row r="32" spans="2:8">
      <c r="B32" t="s">
        <v>241</v>
      </c>
      <c r="C32" s="10">
        <v>13200.88</v>
      </c>
      <c r="D32" s="10">
        <v>5580.88</v>
      </c>
    </row>
    <row r="33" spans="2:4">
      <c r="B33" t="s">
        <v>242</v>
      </c>
      <c r="C33" s="10">
        <v>23309.98</v>
      </c>
      <c r="D33" s="10">
        <v>10049.98</v>
      </c>
    </row>
    <row r="34" spans="2:4">
      <c r="B34" t="s">
        <v>243</v>
      </c>
      <c r="C34" s="10">
        <v>10717.3</v>
      </c>
      <c r="D34" s="10">
        <v>5057.3</v>
      </c>
    </row>
    <row r="35" spans="2:4">
      <c r="B35" t="s">
        <v>244</v>
      </c>
      <c r="C35" s="10">
        <v>13248.1</v>
      </c>
      <c r="D35" s="10">
        <v>5228.1000000000004</v>
      </c>
    </row>
    <row r="36" spans="2:4">
      <c r="B36" t="s">
        <v>230</v>
      </c>
      <c r="C36" s="10">
        <v>277676.56</v>
      </c>
      <c r="D36" s="10">
        <v>114401.56</v>
      </c>
    </row>
    <row r="40" spans="2:4">
      <c r="B40" s="8" t="s">
        <v>229</v>
      </c>
      <c r="C40" t="s">
        <v>249</v>
      </c>
    </row>
    <row r="41" spans="2:4">
      <c r="B41" s="9" t="s">
        <v>23</v>
      </c>
      <c r="C41" s="2">
        <v>0.19</v>
      </c>
    </row>
    <row r="42" spans="2:4">
      <c r="B42" s="9" t="s">
        <v>33</v>
      </c>
      <c r="C42" s="2">
        <v>0.6</v>
      </c>
    </row>
    <row r="43" spans="2:4">
      <c r="B43" s="9" t="s">
        <v>29</v>
      </c>
      <c r="C43" s="2">
        <v>0.21</v>
      </c>
    </row>
    <row r="44" spans="2:4">
      <c r="B44" s="9" t="s">
        <v>230</v>
      </c>
      <c r="C44" s="14">
        <v>1</v>
      </c>
    </row>
    <row r="50" spans="2:4">
      <c r="C50" t="s">
        <v>253</v>
      </c>
      <c r="D50" s="4">
        <f>AVERAGEIF(TransactionsTable[Order Status],"Completed",TransactionsTable[Satisfaction Score])</f>
        <v>2.8833333333333333</v>
      </c>
    </row>
    <row r="53" spans="2:4">
      <c r="B53" s="15">
        <v>0</v>
      </c>
      <c r="C53" t="s">
        <v>251</v>
      </c>
      <c r="D53" s="16">
        <f>D50*20</f>
        <v>57.666666666666664</v>
      </c>
    </row>
    <row r="54" spans="2:4">
      <c r="B54" s="15">
        <v>0.25</v>
      </c>
      <c r="C54" t="s">
        <v>252</v>
      </c>
      <c r="D54" s="16">
        <v>2</v>
      </c>
    </row>
    <row r="55" spans="2:4">
      <c r="B55" s="15">
        <v>0.5</v>
      </c>
      <c r="D55" s="16">
        <f>200-D53-D54</f>
        <v>140.33333333333334</v>
      </c>
    </row>
    <row r="56" spans="2:4">
      <c r="B56" s="15">
        <v>0.25</v>
      </c>
    </row>
    <row r="57" spans="2:4">
      <c r="B57" s="15">
        <v>1</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election activeCell="C5" sqref="A2:E16"/>
    </sheetView>
  </sheetViews>
  <sheetFormatPr defaultRowHeight="14.25"/>
  <cols>
    <col min="1" max="1" width="10.25" bestFit="1" customWidth="1"/>
    <col min="2" max="2" width="15.875" bestFit="1" customWidth="1"/>
    <col min="3" max="3" width="13.375" bestFit="1" customWidth="1"/>
    <col min="4" max="4" width="9.125" bestFit="1" customWidth="1"/>
    <col min="5" max="5" width="9.25" bestFit="1" customWidth="1"/>
  </cols>
  <sheetData>
    <row r="1" spans="1:5" ht="15">
      <c r="A1" s="1" t="s">
        <v>3</v>
      </c>
      <c r="B1" s="1" t="s">
        <v>204</v>
      </c>
      <c r="C1" s="1" t="s">
        <v>205</v>
      </c>
      <c r="D1" s="1" t="s">
        <v>13</v>
      </c>
      <c r="E1" s="1" t="s">
        <v>206</v>
      </c>
    </row>
    <row r="2" spans="1:5">
      <c r="A2" t="s">
        <v>46</v>
      </c>
      <c r="B2" t="s">
        <v>207</v>
      </c>
      <c r="C2" t="s">
        <v>208</v>
      </c>
      <c r="D2" s="3">
        <v>950</v>
      </c>
      <c r="E2" s="3">
        <v>1650</v>
      </c>
    </row>
    <row r="3" spans="1:5">
      <c r="A3" t="s">
        <v>73</v>
      </c>
      <c r="B3" t="s">
        <v>209</v>
      </c>
      <c r="C3" t="s">
        <v>208</v>
      </c>
      <c r="D3" s="3">
        <v>310</v>
      </c>
      <c r="E3" s="3">
        <v>620</v>
      </c>
    </row>
    <row r="4" spans="1:5">
      <c r="A4" t="s">
        <v>20</v>
      </c>
      <c r="B4" t="s">
        <v>210</v>
      </c>
      <c r="C4" t="s">
        <v>208</v>
      </c>
      <c r="D4" s="3">
        <v>850</v>
      </c>
      <c r="E4" s="3">
        <v>1450</v>
      </c>
    </row>
    <row r="5" spans="1:5">
      <c r="A5" t="s">
        <v>26</v>
      </c>
      <c r="B5" t="s">
        <v>211</v>
      </c>
      <c r="C5" t="s">
        <v>208</v>
      </c>
      <c r="D5" s="3">
        <v>700</v>
      </c>
      <c r="E5" s="3">
        <v>1250</v>
      </c>
    </row>
    <row r="6" spans="1:5">
      <c r="A6" t="s">
        <v>70</v>
      </c>
      <c r="B6" t="s">
        <v>212</v>
      </c>
      <c r="C6" t="s">
        <v>213</v>
      </c>
      <c r="D6" s="3">
        <v>80</v>
      </c>
      <c r="E6" s="3">
        <v>150</v>
      </c>
    </row>
    <row r="7" spans="1:5">
      <c r="A7" t="s">
        <v>55</v>
      </c>
      <c r="B7" t="s">
        <v>214</v>
      </c>
      <c r="C7" t="s">
        <v>213</v>
      </c>
      <c r="D7" s="3">
        <v>45</v>
      </c>
      <c r="E7" s="3">
        <v>90</v>
      </c>
    </row>
    <row r="8" spans="1:5">
      <c r="A8" t="s">
        <v>58</v>
      </c>
      <c r="B8" t="s">
        <v>215</v>
      </c>
      <c r="C8" t="s">
        <v>213</v>
      </c>
      <c r="D8" s="3">
        <v>180</v>
      </c>
      <c r="E8" s="3">
        <v>340</v>
      </c>
    </row>
    <row r="9" spans="1:5">
      <c r="A9" t="s">
        <v>51</v>
      </c>
      <c r="B9" t="s">
        <v>216</v>
      </c>
      <c r="C9" t="s">
        <v>213</v>
      </c>
      <c r="D9" s="3">
        <v>210</v>
      </c>
      <c r="E9" s="3">
        <v>380</v>
      </c>
    </row>
    <row r="10" spans="1:5">
      <c r="A10" t="s">
        <v>61</v>
      </c>
      <c r="B10" t="s">
        <v>217</v>
      </c>
      <c r="C10" t="s">
        <v>218</v>
      </c>
      <c r="D10" s="3">
        <v>90</v>
      </c>
      <c r="E10" s="3">
        <v>170</v>
      </c>
    </row>
    <row r="11" spans="1:5">
      <c r="A11" t="s">
        <v>39</v>
      </c>
      <c r="B11" t="s">
        <v>219</v>
      </c>
      <c r="C11" t="s">
        <v>218</v>
      </c>
      <c r="D11" s="3">
        <v>420</v>
      </c>
      <c r="E11" s="3">
        <v>760</v>
      </c>
    </row>
    <row r="12" spans="1:5">
      <c r="A12" t="s">
        <v>32</v>
      </c>
      <c r="B12" t="s">
        <v>220</v>
      </c>
      <c r="C12" t="s">
        <v>218</v>
      </c>
      <c r="D12" s="3">
        <v>130</v>
      </c>
      <c r="E12" s="3">
        <v>260</v>
      </c>
    </row>
    <row r="13" spans="1:5">
      <c r="A13" t="s">
        <v>82</v>
      </c>
      <c r="B13" t="s">
        <v>221</v>
      </c>
      <c r="C13" t="s">
        <v>218</v>
      </c>
      <c r="D13" s="3">
        <v>160</v>
      </c>
      <c r="E13" s="3">
        <v>300</v>
      </c>
    </row>
    <row r="14" spans="1:5">
      <c r="A14" t="s">
        <v>130</v>
      </c>
      <c r="B14" t="s">
        <v>222</v>
      </c>
      <c r="C14" t="s">
        <v>223</v>
      </c>
      <c r="D14" s="3">
        <v>140</v>
      </c>
      <c r="E14" s="3">
        <v>320</v>
      </c>
    </row>
    <row r="15" spans="1:5">
      <c r="A15" t="s">
        <v>36</v>
      </c>
      <c r="B15" t="s">
        <v>224</v>
      </c>
      <c r="C15" t="s">
        <v>223</v>
      </c>
      <c r="D15" s="3">
        <v>120</v>
      </c>
      <c r="E15" s="3">
        <v>270</v>
      </c>
    </row>
    <row r="16" spans="1:5">
      <c r="A16" t="s">
        <v>95</v>
      </c>
      <c r="B16" t="s">
        <v>225</v>
      </c>
      <c r="C16" t="s">
        <v>223</v>
      </c>
      <c r="D16" s="3">
        <v>450</v>
      </c>
      <c r="E16" s="3">
        <v>900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089726F-6C9D-4D00-8C21-957B8BBED159}">
  <ds:schemaRefs/>
</ds:datastoreItem>
</file>

<file path=customXml/itemProps2.xml><?xml version="1.0" encoding="utf-8"?>
<ds:datastoreItem xmlns:ds="http://schemas.openxmlformats.org/officeDocument/2006/customXml" ds:itemID="{821A9E24-272C-49BA-80DC-C88D8B18306D}">
  <ds:schemaRefs/>
</ds:datastoreItem>
</file>

<file path=customXml/itemProps3.xml><?xml version="1.0" encoding="utf-8"?>
<ds:datastoreItem xmlns:ds="http://schemas.openxmlformats.org/officeDocument/2006/customXml" ds:itemID="{4BC53854-1A16-40A3-B43A-A010B98F6469}">
  <ds:schemaRefs/>
</ds:datastoreItem>
</file>

<file path=customXml/itemProps4.xml><?xml version="1.0" encoding="utf-8"?>
<ds:datastoreItem xmlns:ds="http://schemas.openxmlformats.org/officeDocument/2006/customXml" ds:itemID="{B72891A7-4E21-4F5C-9BAA-E0DF4A53C7DC}">
  <ds:schemaRefs/>
</ds:datastoreItem>
</file>

<file path=customXml/itemProps5.xml><?xml version="1.0" encoding="utf-8"?>
<ds:datastoreItem xmlns:ds="http://schemas.openxmlformats.org/officeDocument/2006/customXml" ds:itemID="{92F15A4E-4CE1-46B8-B08B-9E4E10F9CEF3}">
  <ds:schemaRefs/>
</ds:datastoreItem>
</file>

<file path=customXml/itemProps6.xml><?xml version="1.0" encoding="utf-8"?>
<ds:datastoreItem xmlns:ds="http://schemas.openxmlformats.org/officeDocument/2006/customXml" ds:itemID="{DD8225C0-AC8A-4987-9E4F-84F67EA3A8BC}">
  <ds:schemaRefs/>
</ds:datastoreItem>
</file>

<file path=customXml/itemProps7.xml><?xml version="1.0" encoding="utf-8"?>
<ds:datastoreItem xmlns:ds="http://schemas.openxmlformats.org/officeDocument/2006/customXml" ds:itemID="{994089AE-7349-4692-AEDE-37F91BA11095}">
  <ds:schemaRefs/>
</ds:datastoreItem>
</file>

<file path=customXml/itemProps8.xml><?xml version="1.0" encoding="utf-8"?>
<ds:datastoreItem xmlns:ds="http://schemas.openxmlformats.org/officeDocument/2006/customXml" ds:itemID="{B53FDDB7-2CB0-4418-A074-FB594B0B5195}">
  <ds:schemaRefs/>
</ds:datastoreItem>
</file>

<file path=customXml/itemProps9.xml><?xml version="1.0" encoding="utf-8"?>
<ds:datastoreItem xmlns:ds="http://schemas.openxmlformats.org/officeDocument/2006/customXml" ds:itemID="{65E80743-2844-4162-88F2-C119F246C289}">
  <ds:schemaRefs/>
</ds:datastoreItem>
</file>

<file path=customXml/itemProps10.xml><?xml version="1.0" encoding="utf-8"?>
<ds:datastoreItem xmlns:ds="http://schemas.openxmlformats.org/officeDocument/2006/customXml" ds:itemID="{5719A413-CE4D-492B-AC11-70AB0B223765}">
  <ds:schemaRefs/>
</ds:datastoreItem>
</file>

<file path=customXml/itemProps11.xml><?xml version="1.0" encoding="utf-8"?>
<ds:datastoreItem xmlns:ds="http://schemas.openxmlformats.org/officeDocument/2006/customXml" ds:itemID="{9B3E449B-D480-48E6-B69D-0F52C375396B}">
  <ds:schemaRefs/>
</ds:datastoreItem>
</file>

<file path=customXml/itemProps12.xml><?xml version="1.0" encoding="utf-8"?>
<ds:datastoreItem xmlns:ds="http://schemas.openxmlformats.org/officeDocument/2006/customXml" ds:itemID="{A0A74583-8E3B-4F89-856C-42BD366FEAF3}">
  <ds:schemaRefs/>
</ds:datastoreItem>
</file>

<file path=customXml/itemProps13.xml><?xml version="1.0" encoding="utf-8"?>
<ds:datastoreItem xmlns:ds="http://schemas.openxmlformats.org/officeDocument/2006/customXml" ds:itemID="{15480A5D-67A5-4C4C-B7D9-F8A92B976ECE}">
  <ds:schemaRefs/>
</ds:datastoreItem>
</file>

<file path=customXml/itemProps14.xml><?xml version="1.0" encoding="utf-8"?>
<ds:datastoreItem xmlns:ds="http://schemas.openxmlformats.org/officeDocument/2006/customXml" ds:itemID="{E81DAF22-4282-476D-81D0-864745EC8CFC}">
  <ds:schemaRefs/>
</ds:datastoreItem>
</file>

<file path=customXml/itemProps15.xml><?xml version="1.0" encoding="utf-8"?>
<ds:datastoreItem xmlns:ds="http://schemas.openxmlformats.org/officeDocument/2006/customXml" ds:itemID="{0084280D-6544-4D4E-848A-FCFDE8DC5B58}">
  <ds:schemaRefs/>
</ds:datastoreItem>
</file>

<file path=customXml/itemProps16.xml><?xml version="1.0" encoding="utf-8"?>
<ds:datastoreItem xmlns:ds="http://schemas.openxmlformats.org/officeDocument/2006/customXml" ds:itemID="{5472BEBA-BB2A-40B3-91B6-78966CD827C3}">
  <ds:schemaRefs/>
</ds:datastoreItem>
</file>

<file path=customXml/itemProps17.xml><?xml version="1.0" encoding="utf-8"?>
<ds:datastoreItem xmlns:ds="http://schemas.openxmlformats.org/officeDocument/2006/customXml" ds:itemID="{41A8C035-BE7D-4BBF-A407-FD8B1DC65B31}">
  <ds:schemaRefs/>
</ds:datastoreItem>
</file>

<file path=customXml/itemProps18.xml><?xml version="1.0" encoding="utf-8"?>
<ds:datastoreItem xmlns:ds="http://schemas.openxmlformats.org/officeDocument/2006/customXml" ds:itemID="{8CECBB58-EDF7-4BAF-8A79-DA082371D6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Analysis</vt:lpstr>
      <vt:lpstr>Transactions</vt:lpstr>
      <vt:lpstr>Customers</vt:lpstr>
      <vt:lpstr>Analyze</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NCOL</dc:creator>
  <cp:lastModifiedBy>Nichole Munlawin</cp:lastModifiedBy>
  <dcterms:created xsi:type="dcterms:W3CDTF">2026-05-14T13:13:11Z</dcterms:created>
  <dcterms:modified xsi:type="dcterms:W3CDTF">2026-05-20T14:26:21Z</dcterms:modified>
</cp:coreProperties>
</file>